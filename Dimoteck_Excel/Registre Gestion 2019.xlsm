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af49aaa7e513ef6/Bureau/Stage 2020-2021  Dimoteck/Dimoteck_Excel/"/>
    </mc:Choice>
  </mc:AlternateContent>
  <xr:revisionPtr revIDLastSave="382" documentId="8_{618BD761-8414-467C-A092-5CFA0ACD05DD}" xr6:coauthVersionLast="46" xr6:coauthVersionMax="46" xr10:uidLastSave="{C0A1C661-937E-431A-8368-EE517E8EA7DF}"/>
  <bookViews>
    <workbookView xWindow="-108" yWindow="-108" windowWidth="23256" windowHeight="12576" tabRatio="621" activeTab="1" xr2:uid="{00000000-000D-0000-FFFF-FFFF00000000}"/>
  </bookViews>
  <sheets>
    <sheet name="Devis" sheetId="1" r:id="rId1"/>
    <sheet name="Facture" sheetId="2" r:id="rId2"/>
    <sheet name="Commande ST" sheetId="3" r:id="rId3"/>
    <sheet name="AO" sheetId="4" r:id="rId4"/>
  </sheets>
  <definedNames>
    <definedName name="_xlnm._FilterDatabase" localSheetId="2" hidden="1">'Commande ST'!$A$7:$M$80</definedName>
    <definedName name="_xlnm._FilterDatabase" localSheetId="0" hidden="1">Devis!$A$7:$N$221</definedName>
    <definedName name="_xlnm._FilterDatabase" localSheetId="1" hidden="1">Facture!$A$9:$R$372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40" i="2" l="1"/>
  <c r="K140" i="2" s="1"/>
  <c r="J114" i="2"/>
  <c r="K114" i="2" s="1"/>
  <c r="N112" i="2"/>
  <c r="J112" i="2"/>
  <c r="K112" i="2" s="1"/>
  <c r="N117" i="2"/>
  <c r="J117" i="2"/>
  <c r="K117" i="2" s="1"/>
  <c r="J94" i="2"/>
  <c r="K94" i="2" s="1"/>
  <c r="S35" i="2"/>
  <c r="S28" i="2"/>
  <c r="S27" i="2"/>
  <c r="S17" i="2"/>
  <c r="S16" i="2"/>
  <c r="S15" i="2"/>
  <c r="J72" i="2"/>
  <c r="K72" i="2" s="1"/>
  <c r="N36" i="2"/>
  <c r="J36" i="2"/>
  <c r="K36" i="2" s="1"/>
  <c r="N214" i="2"/>
  <c r="J214" i="2"/>
  <c r="K214" i="2" s="1"/>
  <c r="N211" i="2"/>
  <c r="J211" i="2"/>
  <c r="K211" i="2" s="1"/>
  <c r="J207" i="2"/>
  <c r="K207" i="2" s="1"/>
  <c r="N144" i="2"/>
  <c r="J144" i="2"/>
  <c r="K144" i="2" s="1"/>
  <c r="J139" i="2"/>
  <c r="K139" i="2" s="1"/>
  <c r="J126" i="2"/>
  <c r="K126" i="2" s="1"/>
  <c r="J62" i="2"/>
  <c r="K62" i="2" s="1"/>
  <c r="H8" i="3"/>
  <c r="I8" i="3" s="1"/>
  <c r="H9" i="3"/>
  <c r="I9" i="3" s="1"/>
  <c r="H10" i="3"/>
  <c r="I10" i="3" s="1"/>
  <c r="H11" i="3"/>
  <c r="I11" i="3"/>
  <c r="H12" i="3"/>
  <c r="I12" i="3" s="1"/>
  <c r="H14" i="3"/>
  <c r="I14" i="3"/>
  <c r="H15" i="3"/>
  <c r="I15" i="3" s="1"/>
  <c r="H16" i="3"/>
  <c r="I16" i="3"/>
  <c r="H17" i="3"/>
  <c r="I17" i="3" s="1"/>
  <c r="H18" i="3"/>
  <c r="I18" i="3"/>
  <c r="J10" i="2"/>
  <c r="K10" i="2" s="1"/>
  <c r="N10" i="2"/>
  <c r="J11" i="2"/>
  <c r="K11" i="2" s="1"/>
  <c r="N11" i="2"/>
  <c r="J12" i="2"/>
  <c r="K12" i="2" s="1"/>
  <c r="N12" i="2"/>
  <c r="J13" i="2"/>
  <c r="K13" i="2" s="1"/>
  <c r="N13" i="2"/>
  <c r="J14" i="2"/>
  <c r="K14" i="2" s="1"/>
  <c r="N14" i="2"/>
  <c r="J15" i="2"/>
  <c r="K15" i="2" s="1"/>
  <c r="N15" i="2"/>
  <c r="J16" i="2"/>
  <c r="K16" i="2" s="1"/>
  <c r="N16" i="2"/>
  <c r="J17" i="2"/>
  <c r="K17" i="2" s="1"/>
  <c r="N17" i="2"/>
  <c r="J18" i="2"/>
  <c r="K18" i="2" s="1"/>
  <c r="N18" i="2"/>
  <c r="J19" i="2"/>
  <c r="K19" i="2" s="1"/>
  <c r="N19" i="2"/>
  <c r="J20" i="2"/>
  <c r="K20" i="2" s="1"/>
  <c r="N20" i="2"/>
  <c r="J21" i="2"/>
  <c r="K21" i="2" s="1"/>
  <c r="N21" i="2"/>
  <c r="J22" i="2"/>
  <c r="K22" i="2" s="1"/>
  <c r="N22" i="2"/>
  <c r="J23" i="2"/>
  <c r="K23" i="2" s="1"/>
  <c r="N23" i="2"/>
  <c r="N24" i="2"/>
  <c r="J25" i="2"/>
  <c r="K25" i="2" s="1"/>
  <c r="N25" i="2"/>
  <c r="J26" i="2"/>
  <c r="K26" i="2" s="1"/>
  <c r="N26" i="2"/>
  <c r="J27" i="2"/>
  <c r="K27" i="2" s="1"/>
  <c r="N27" i="2"/>
  <c r="J28" i="2"/>
  <c r="K28" i="2" s="1"/>
  <c r="N28" i="2"/>
  <c r="J29" i="2"/>
  <c r="K29" i="2" s="1"/>
  <c r="N29" i="2"/>
  <c r="J30" i="2"/>
  <c r="K30" i="2" s="1"/>
  <c r="N30" i="2"/>
  <c r="J31" i="2"/>
  <c r="K31" i="2" s="1"/>
  <c r="N31" i="2"/>
  <c r="J32" i="2"/>
  <c r="K32" i="2" s="1"/>
  <c r="N32" i="2"/>
  <c r="J33" i="2"/>
  <c r="K33" i="2" s="1"/>
  <c r="N33" i="2"/>
  <c r="J34" i="2"/>
  <c r="K34" i="2" s="1"/>
  <c r="N34" i="2"/>
  <c r="J35" i="2"/>
  <c r="K35" i="2" s="1"/>
  <c r="N35" i="2"/>
  <c r="J37" i="2"/>
  <c r="K37" i="2" s="1"/>
  <c r="N37" i="2"/>
  <c r="J38" i="2"/>
  <c r="K38" i="2" s="1"/>
  <c r="N38" i="2"/>
  <c r="J39" i="2"/>
  <c r="K39" i="2" s="1"/>
  <c r="N39" i="2"/>
  <c r="J40" i="2"/>
  <c r="K40" i="2" s="1"/>
  <c r="N40" i="2"/>
  <c r="J41" i="2"/>
  <c r="K41" i="2" s="1"/>
  <c r="N41" i="2"/>
  <c r="J42" i="2"/>
  <c r="K42" i="2" s="1"/>
  <c r="N42" i="2"/>
  <c r="J43" i="2"/>
  <c r="K43" i="2" s="1"/>
  <c r="N43" i="2"/>
  <c r="J44" i="2"/>
  <c r="K44" i="2" s="1"/>
  <c r="N44" i="2"/>
  <c r="J45" i="2"/>
  <c r="K45" i="2" s="1"/>
  <c r="N45" i="2"/>
  <c r="J46" i="2"/>
  <c r="K46" i="2" s="1"/>
  <c r="N46" i="2"/>
  <c r="J47" i="2"/>
  <c r="K47" i="2" s="1"/>
  <c r="N47" i="2"/>
  <c r="J48" i="2"/>
  <c r="K48" i="2" s="1"/>
  <c r="N48" i="2"/>
  <c r="J49" i="2"/>
  <c r="K49" i="2" s="1"/>
  <c r="N49" i="2"/>
  <c r="J50" i="2"/>
  <c r="K50" i="2" s="1"/>
  <c r="N50" i="2"/>
  <c r="J51" i="2"/>
  <c r="K51" i="2" s="1"/>
  <c r="N51" i="2"/>
  <c r="J52" i="2"/>
  <c r="K52" i="2" s="1"/>
  <c r="N52" i="2"/>
  <c r="J53" i="2"/>
  <c r="K53" i="2" s="1"/>
  <c r="N53" i="2"/>
  <c r="J54" i="2"/>
  <c r="K54" i="2" s="1"/>
  <c r="N54" i="2"/>
  <c r="J55" i="2"/>
  <c r="K55" i="2" s="1"/>
  <c r="N55" i="2"/>
  <c r="J56" i="2"/>
  <c r="K56" i="2" s="1"/>
  <c r="N56" i="2"/>
  <c r="J57" i="2"/>
  <c r="K57" i="2" s="1"/>
  <c r="N57" i="2"/>
  <c r="J58" i="2"/>
  <c r="K58" i="2" s="1"/>
  <c r="N58" i="2"/>
  <c r="J59" i="2"/>
  <c r="K59" i="2" s="1"/>
  <c r="N59" i="2"/>
  <c r="J60" i="2"/>
  <c r="K60" i="2" s="1"/>
  <c r="N60" i="2"/>
  <c r="J61" i="2"/>
  <c r="K61" i="2" s="1"/>
  <c r="N61" i="2"/>
  <c r="N62" i="2"/>
  <c r="J63" i="2"/>
  <c r="K63" i="2" s="1"/>
  <c r="N63" i="2"/>
  <c r="J64" i="2"/>
  <c r="K64" i="2" s="1"/>
  <c r="N64" i="2"/>
  <c r="J65" i="2"/>
  <c r="K65" i="2" s="1"/>
  <c r="N65" i="2"/>
  <c r="J66" i="2"/>
  <c r="K66" i="2" s="1"/>
  <c r="N66" i="2"/>
  <c r="J67" i="2"/>
  <c r="K67" i="2" s="1"/>
  <c r="N67" i="2"/>
  <c r="J68" i="2"/>
  <c r="K68" i="2" s="1"/>
  <c r="N68" i="2"/>
  <c r="J69" i="2"/>
  <c r="K69" i="2" s="1"/>
  <c r="N69" i="2"/>
  <c r="J70" i="2"/>
  <c r="K70" i="2" s="1"/>
  <c r="N70" i="2"/>
  <c r="J71" i="2"/>
  <c r="K71" i="2" s="1"/>
  <c r="N71" i="2"/>
  <c r="N72" i="2"/>
  <c r="J73" i="2"/>
  <c r="K73" i="2" s="1"/>
  <c r="N73" i="2"/>
  <c r="J74" i="2"/>
  <c r="K74" i="2" s="1"/>
  <c r="N74" i="2"/>
  <c r="J75" i="2"/>
  <c r="K75" i="2" s="1"/>
  <c r="N75" i="2"/>
  <c r="J76" i="2"/>
  <c r="K76" i="2" s="1"/>
  <c r="N76" i="2"/>
  <c r="J77" i="2"/>
  <c r="K77" i="2" s="1"/>
  <c r="N77" i="2"/>
  <c r="J78" i="2"/>
  <c r="K78" i="2" s="1"/>
  <c r="N78" i="2"/>
  <c r="J79" i="2"/>
  <c r="K79" i="2" s="1"/>
  <c r="N79" i="2"/>
  <c r="J80" i="2"/>
  <c r="K80" i="2" s="1"/>
  <c r="N80" i="2"/>
  <c r="J81" i="2"/>
  <c r="K81" i="2" s="1"/>
  <c r="N81" i="2"/>
  <c r="J82" i="2"/>
  <c r="K82" i="2" s="1"/>
  <c r="N82" i="2"/>
  <c r="J83" i="2"/>
  <c r="K83" i="2" s="1"/>
  <c r="N83" i="2"/>
  <c r="J84" i="2"/>
  <c r="K84" i="2" s="1"/>
  <c r="N84" i="2"/>
  <c r="J85" i="2"/>
  <c r="K85" i="2" s="1"/>
  <c r="N85" i="2"/>
  <c r="J86" i="2"/>
  <c r="K86" i="2" s="1"/>
  <c r="N86" i="2"/>
  <c r="J87" i="2"/>
  <c r="K87" i="2" s="1"/>
  <c r="N87" i="2"/>
  <c r="J88" i="2"/>
  <c r="K88" i="2" s="1"/>
  <c r="N88" i="2"/>
  <c r="J89" i="2"/>
  <c r="K89" i="2" s="1"/>
  <c r="N89" i="2"/>
  <c r="J90" i="2"/>
  <c r="K90" i="2" s="1"/>
  <c r="N90" i="2"/>
  <c r="J91" i="2"/>
  <c r="K91" i="2" s="1"/>
  <c r="N91" i="2"/>
  <c r="J92" i="2"/>
  <c r="K92" i="2" s="1"/>
  <c r="N92" i="2"/>
  <c r="J93" i="2"/>
  <c r="K93" i="2" s="1"/>
  <c r="N93" i="2"/>
  <c r="N94" i="2"/>
  <c r="J95" i="2"/>
  <c r="K95" i="2" s="1"/>
  <c r="N95" i="2"/>
  <c r="J96" i="2"/>
  <c r="K96" i="2" s="1"/>
  <c r="N96" i="2"/>
  <c r="J97" i="2"/>
  <c r="K97" i="2" s="1"/>
  <c r="N97" i="2"/>
  <c r="J98" i="2"/>
  <c r="K98" i="2" s="1"/>
  <c r="N98" i="2"/>
  <c r="J99" i="2"/>
  <c r="K99" i="2" s="1"/>
  <c r="N99" i="2"/>
  <c r="J100" i="2"/>
  <c r="K100" i="2" s="1"/>
  <c r="N100" i="2"/>
  <c r="J101" i="2"/>
  <c r="K101" i="2" s="1"/>
  <c r="N101" i="2"/>
  <c r="J102" i="2"/>
  <c r="K102" i="2" s="1"/>
  <c r="N102" i="2"/>
  <c r="J103" i="2"/>
  <c r="K103" i="2" s="1"/>
  <c r="N103" i="2"/>
  <c r="J104" i="2"/>
  <c r="K104" i="2" s="1"/>
  <c r="N104" i="2"/>
  <c r="J105" i="2"/>
  <c r="K105" i="2" s="1"/>
  <c r="N105" i="2"/>
  <c r="J106" i="2"/>
  <c r="K106" i="2" s="1"/>
  <c r="N106" i="2"/>
  <c r="J107" i="2"/>
  <c r="K107" i="2" s="1"/>
  <c r="N107" i="2"/>
  <c r="J108" i="2"/>
  <c r="K108" i="2" s="1"/>
  <c r="N108" i="2"/>
  <c r="J109" i="2"/>
  <c r="K109" i="2" s="1"/>
  <c r="N109" i="2"/>
  <c r="J110" i="2"/>
  <c r="K110" i="2" s="1"/>
  <c r="N110" i="2"/>
  <c r="J111" i="2"/>
  <c r="K111" i="2" s="1"/>
  <c r="N111" i="2"/>
  <c r="J113" i="2"/>
  <c r="K113" i="2" s="1"/>
  <c r="N113" i="2"/>
  <c r="J115" i="2"/>
  <c r="K115" i="2" s="1"/>
  <c r="N115" i="2"/>
  <c r="J116" i="2"/>
  <c r="K116" i="2" s="1"/>
  <c r="N116" i="2"/>
  <c r="J118" i="2"/>
  <c r="K118" i="2" s="1"/>
  <c r="N118" i="2"/>
  <c r="J119" i="2"/>
  <c r="K119" i="2" s="1"/>
  <c r="N119" i="2"/>
  <c r="J120" i="2"/>
  <c r="K120" i="2" s="1"/>
  <c r="N120" i="2"/>
  <c r="J121" i="2"/>
  <c r="K121" i="2" s="1"/>
  <c r="N121" i="2"/>
  <c r="J122" i="2"/>
  <c r="K122" i="2" s="1"/>
  <c r="N122" i="2"/>
  <c r="J123" i="2"/>
  <c r="K123" i="2" s="1"/>
  <c r="N123" i="2"/>
  <c r="J124" i="2"/>
  <c r="K124" i="2" s="1"/>
  <c r="N124" i="2"/>
  <c r="J125" i="2"/>
  <c r="K125" i="2" s="1"/>
  <c r="N125" i="2"/>
  <c r="N126" i="2"/>
  <c r="J127" i="2"/>
  <c r="K127" i="2" s="1"/>
  <c r="N127" i="2"/>
  <c r="J128" i="2"/>
  <c r="K128" i="2" s="1"/>
  <c r="N128" i="2"/>
  <c r="J129" i="2"/>
  <c r="K129" i="2" s="1"/>
  <c r="N129" i="2"/>
  <c r="J130" i="2"/>
  <c r="K130" i="2" s="1"/>
  <c r="N130" i="2"/>
  <c r="J131" i="2"/>
  <c r="K131" i="2" s="1"/>
  <c r="N131" i="2"/>
  <c r="J132" i="2"/>
  <c r="K132" i="2" s="1"/>
  <c r="N132" i="2"/>
  <c r="J133" i="2"/>
  <c r="K133" i="2" s="1"/>
  <c r="N133" i="2"/>
  <c r="J134" i="2"/>
  <c r="K134" i="2" s="1"/>
  <c r="N134" i="2"/>
  <c r="J135" i="2"/>
  <c r="K135" i="2" s="1"/>
  <c r="N135" i="2"/>
  <c r="J136" i="2"/>
  <c r="K136" i="2" s="1"/>
  <c r="N136" i="2"/>
  <c r="J137" i="2"/>
  <c r="K137" i="2" s="1"/>
  <c r="N137" i="2"/>
  <c r="J138" i="2"/>
  <c r="K138" i="2" s="1"/>
  <c r="N138" i="2"/>
  <c r="N139" i="2"/>
  <c r="J141" i="2"/>
  <c r="K141" i="2" s="1"/>
  <c r="N141" i="2"/>
  <c r="J142" i="2"/>
  <c r="K142" i="2" s="1"/>
  <c r="N142" i="2"/>
  <c r="J143" i="2"/>
  <c r="K143" i="2" s="1"/>
  <c r="N143" i="2"/>
  <c r="J145" i="2"/>
  <c r="K145" i="2" s="1"/>
  <c r="N145" i="2"/>
  <c r="J146" i="2"/>
  <c r="K146" i="2" s="1"/>
  <c r="N146" i="2"/>
  <c r="J147" i="2"/>
  <c r="K147" i="2" s="1"/>
  <c r="N147" i="2"/>
  <c r="J148" i="2"/>
  <c r="K148" i="2" s="1"/>
  <c r="N148" i="2"/>
  <c r="J149" i="2"/>
  <c r="K149" i="2" s="1"/>
  <c r="N149" i="2"/>
  <c r="J150" i="2"/>
  <c r="K150" i="2" s="1"/>
  <c r="N150" i="2"/>
  <c r="J151" i="2"/>
  <c r="K151" i="2" s="1"/>
  <c r="N151" i="2"/>
  <c r="J152" i="2"/>
  <c r="K152" i="2" s="1"/>
  <c r="N152" i="2"/>
  <c r="J153" i="2"/>
  <c r="K153" i="2" s="1"/>
  <c r="N153" i="2"/>
  <c r="J154" i="2"/>
  <c r="K154" i="2" s="1"/>
  <c r="N154" i="2"/>
  <c r="J155" i="2"/>
  <c r="K155" i="2" s="1"/>
  <c r="N155" i="2"/>
  <c r="J156" i="2"/>
  <c r="K156" i="2" s="1"/>
  <c r="N156" i="2"/>
  <c r="J157" i="2"/>
  <c r="K157" i="2" s="1"/>
  <c r="N157" i="2"/>
  <c r="J158" i="2"/>
  <c r="K158" i="2" s="1"/>
  <c r="N158" i="2"/>
  <c r="J159" i="2"/>
  <c r="K159" i="2" s="1"/>
  <c r="N159" i="2"/>
  <c r="J160" i="2"/>
  <c r="K160" i="2" s="1"/>
  <c r="N160" i="2"/>
  <c r="J161" i="2"/>
  <c r="K161" i="2" s="1"/>
  <c r="N161" i="2"/>
  <c r="J162" i="2"/>
  <c r="K162" i="2" s="1"/>
  <c r="N162" i="2"/>
  <c r="J163" i="2"/>
  <c r="K163" i="2" s="1"/>
  <c r="N163" i="2"/>
  <c r="J164" i="2"/>
  <c r="K164" i="2" s="1"/>
  <c r="N164" i="2"/>
  <c r="J165" i="2"/>
  <c r="K165" i="2" s="1"/>
  <c r="N165" i="2"/>
  <c r="J166" i="2"/>
  <c r="K166" i="2" s="1"/>
  <c r="N166" i="2"/>
  <c r="J167" i="2"/>
  <c r="K167" i="2" s="1"/>
  <c r="N167" i="2"/>
  <c r="J168" i="2"/>
  <c r="K168" i="2" s="1"/>
  <c r="N168" i="2"/>
  <c r="J169" i="2"/>
  <c r="K169" i="2" s="1"/>
  <c r="N169" i="2"/>
  <c r="J170" i="2"/>
  <c r="K170" i="2" s="1"/>
  <c r="N170" i="2"/>
  <c r="J171" i="2"/>
  <c r="K171" i="2" s="1"/>
  <c r="N171" i="2"/>
  <c r="J172" i="2"/>
  <c r="K172" i="2" s="1"/>
  <c r="N172" i="2"/>
  <c r="J173" i="2"/>
  <c r="K173" i="2" s="1"/>
  <c r="N173" i="2"/>
  <c r="J174" i="2"/>
  <c r="K174" i="2" s="1"/>
  <c r="N174" i="2"/>
  <c r="J175" i="2"/>
  <c r="K175" i="2" s="1"/>
  <c r="N175" i="2"/>
  <c r="J176" i="2"/>
  <c r="K176" i="2" s="1"/>
  <c r="N176" i="2"/>
  <c r="J177" i="2"/>
  <c r="K177" i="2" s="1"/>
  <c r="N177" i="2"/>
  <c r="J178" i="2"/>
  <c r="K178" i="2" s="1"/>
  <c r="N178" i="2"/>
  <c r="J179" i="2"/>
  <c r="K179" i="2" s="1"/>
  <c r="N179" i="2"/>
  <c r="J180" i="2"/>
  <c r="K180" i="2" s="1"/>
  <c r="N180" i="2"/>
  <c r="J181" i="2"/>
  <c r="K181" i="2" s="1"/>
  <c r="N181" i="2"/>
  <c r="J182" i="2"/>
  <c r="K182" i="2" s="1"/>
  <c r="N182" i="2"/>
  <c r="J183" i="2"/>
  <c r="K183" i="2" s="1"/>
  <c r="N183" i="2"/>
  <c r="J184" i="2"/>
  <c r="K184" i="2" s="1"/>
  <c r="N184" i="2"/>
  <c r="J185" i="2"/>
  <c r="K185" i="2" s="1"/>
  <c r="N185" i="2"/>
  <c r="J186" i="2"/>
  <c r="K186" i="2" s="1"/>
  <c r="N186" i="2"/>
  <c r="J187" i="2"/>
  <c r="K187" i="2" s="1"/>
  <c r="N187" i="2"/>
  <c r="J188" i="2"/>
  <c r="K188" i="2" s="1"/>
  <c r="N188" i="2"/>
  <c r="J189" i="2"/>
  <c r="K189" i="2" s="1"/>
  <c r="N189" i="2"/>
  <c r="J190" i="2"/>
  <c r="K190" i="2" s="1"/>
  <c r="N190" i="2"/>
  <c r="J191" i="2"/>
  <c r="K191" i="2" s="1"/>
  <c r="N191" i="2"/>
  <c r="J192" i="2"/>
  <c r="K192" i="2" s="1"/>
  <c r="N192" i="2"/>
  <c r="J193" i="2"/>
  <c r="K193" i="2" s="1"/>
  <c r="N193" i="2"/>
  <c r="J194" i="2"/>
  <c r="K194" i="2" s="1"/>
  <c r="N194" i="2"/>
  <c r="J195" i="2"/>
  <c r="K195" i="2" s="1"/>
  <c r="N195" i="2"/>
  <c r="J196" i="2"/>
  <c r="K196" i="2" s="1"/>
  <c r="N196" i="2"/>
  <c r="J197" i="2"/>
  <c r="K197" i="2" s="1"/>
  <c r="N197" i="2"/>
  <c r="J198" i="2"/>
  <c r="K198" i="2" s="1"/>
  <c r="N198" i="2"/>
  <c r="J199" i="2"/>
  <c r="K199" i="2" s="1"/>
  <c r="N199" i="2"/>
  <c r="J200" i="2"/>
  <c r="K200" i="2" s="1"/>
  <c r="N200" i="2"/>
  <c r="J201" i="2"/>
  <c r="K201" i="2" s="1"/>
  <c r="N201" i="2"/>
  <c r="J202" i="2"/>
  <c r="K202" i="2" s="1"/>
  <c r="N202" i="2"/>
  <c r="J203" i="2"/>
  <c r="K203" i="2" s="1"/>
  <c r="N203" i="2"/>
  <c r="J204" i="2"/>
  <c r="K204" i="2" s="1"/>
  <c r="N204" i="2"/>
  <c r="J205" i="2"/>
  <c r="K205" i="2" s="1"/>
  <c r="N205" i="2"/>
  <c r="J206" i="2"/>
  <c r="K206" i="2" s="1"/>
  <c r="N206" i="2"/>
  <c r="J208" i="2"/>
  <c r="K208" i="2" s="1"/>
  <c r="N208" i="2"/>
  <c r="J209" i="2"/>
  <c r="K209" i="2" s="1"/>
  <c r="N209" i="2"/>
  <c r="J210" i="2"/>
  <c r="K210" i="2" s="1"/>
  <c r="N210" i="2"/>
  <c r="J212" i="2"/>
  <c r="K212" i="2" s="1"/>
  <c r="N212" i="2"/>
  <c r="J213" i="2"/>
  <c r="K213" i="2" s="1"/>
  <c r="N213" i="2"/>
  <c r="J215" i="2"/>
  <c r="K215" i="2" s="1"/>
  <c r="N215" i="2"/>
  <c r="J216" i="2"/>
  <c r="K216" i="2" s="1"/>
  <c r="N216" i="2"/>
  <c r="J217" i="2"/>
  <c r="K217" i="2" s="1"/>
  <c r="N217" i="2"/>
  <c r="J218" i="2"/>
  <c r="K218" i="2" s="1"/>
  <c r="N218" i="2"/>
  <c r="J219" i="2"/>
  <c r="K219" i="2" s="1"/>
  <c r="N219" i="2"/>
  <c r="J220" i="2"/>
  <c r="K220" i="2" s="1"/>
  <c r="N220" i="2"/>
  <c r="J221" i="2"/>
  <c r="K221" i="2" s="1"/>
  <c r="N221" i="2"/>
  <c r="J222" i="2"/>
  <c r="K222" i="2" s="1"/>
  <c r="N222" i="2"/>
  <c r="J223" i="2"/>
  <c r="K223" i="2" s="1"/>
  <c r="N223" i="2"/>
  <c r="J224" i="2"/>
  <c r="K224" i="2" s="1"/>
  <c r="N224" i="2"/>
  <c r="J225" i="2"/>
  <c r="K225" i="2" s="1"/>
  <c r="N225" i="2"/>
  <c r="J226" i="2"/>
  <c r="K226" i="2" s="1"/>
  <c r="N226" i="2"/>
  <c r="J227" i="2"/>
  <c r="K227" i="2" s="1"/>
  <c r="N227" i="2"/>
  <c r="J228" i="2"/>
  <c r="K228" i="2" s="1"/>
  <c r="N228" i="2"/>
  <c r="J229" i="2"/>
  <c r="K229" i="2" s="1"/>
  <c r="N229" i="2"/>
  <c r="J230" i="2"/>
  <c r="K230" i="2" s="1"/>
  <c r="N230" i="2"/>
  <c r="J231" i="2"/>
  <c r="K231" i="2" s="1"/>
  <c r="N231" i="2"/>
  <c r="J232" i="2"/>
  <c r="K232" i="2" s="1"/>
  <c r="N232" i="2"/>
  <c r="J233" i="2"/>
  <c r="K233" i="2" s="1"/>
  <c r="N233" i="2"/>
  <c r="J234" i="2"/>
  <c r="K234" i="2" s="1"/>
  <c r="N234" i="2"/>
  <c r="J235" i="2"/>
  <c r="K235" i="2" s="1"/>
  <c r="N235" i="2"/>
  <c r="J236" i="2"/>
  <c r="K236" i="2" s="1"/>
  <c r="N236" i="2"/>
  <c r="J237" i="2"/>
  <c r="K237" i="2" s="1"/>
  <c r="N237" i="2"/>
  <c r="J238" i="2"/>
  <c r="K238" i="2" s="1"/>
  <c r="N238" i="2"/>
  <c r="J239" i="2"/>
  <c r="K239" i="2" s="1"/>
  <c r="N239" i="2"/>
  <c r="J240" i="2"/>
  <c r="K240" i="2" s="1"/>
  <c r="N240" i="2"/>
  <c r="J241" i="2"/>
  <c r="K241" i="2" s="1"/>
  <c r="N241" i="2"/>
  <c r="J242" i="2"/>
  <c r="K242" i="2" s="1"/>
  <c r="N242" i="2"/>
  <c r="J243" i="2"/>
  <c r="K243" i="2" s="1"/>
  <c r="N243" i="2"/>
  <c r="J244" i="2"/>
  <c r="K244" i="2" s="1"/>
  <c r="N244" i="2"/>
  <c r="J245" i="2"/>
  <c r="K245" i="2" s="1"/>
  <c r="N245" i="2"/>
  <c r="J246" i="2"/>
  <c r="K246" i="2" s="1"/>
  <c r="N246" i="2"/>
  <c r="J247" i="2"/>
  <c r="K247" i="2" s="1"/>
  <c r="N247" i="2"/>
  <c r="J248" i="2"/>
  <c r="K248" i="2" s="1"/>
  <c r="N248" i="2"/>
  <c r="J249" i="2"/>
  <c r="K249" i="2" s="1"/>
  <c r="N249" i="2"/>
  <c r="J250" i="2"/>
  <c r="K250" i="2" s="1"/>
  <c r="N250" i="2"/>
  <c r="J251" i="2"/>
  <c r="K251" i="2" s="1"/>
  <c r="N251" i="2"/>
  <c r="J252" i="2"/>
  <c r="K252" i="2" s="1"/>
  <c r="N252" i="2"/>
  <c r="J253" i="2"/>
  <c r="K253" i="2" s="1"/>
  <c r="N253" i="2"/>
  <c r="J254" i="2"/>
  <c r="K254" i="2" s="1"/>
  <c r="N254" i="2"/>
  <c r="J255" i="2"/>
  <c r="K255" i="2" s="1"/>
  <c r="N255" i="2"/>
  <c r="J256" i="2"/>
  <c r="K256" i="2" s="1"/>
  <c r="N256" i="2"/>
  <c r="J257" i="2"/>
  <c r="K257" i="2" s="1"/>
  <c r="N257" i="2"/>
  <c r="J258" i="2"/>
  <c r="K258" i="2" s="1"/>
  <c r="N258" i="2"/>
  <c r="J259" i="2"/>
  <c r="K259" i="2" s="1"/>
  <c r="N259" i="2"/>
  <c r="J260" i="2"/>
  <c r="K260" i="2" s="1"/>
  <c r="N260" i="2"/>
  <c r="J261" i="2"/>
  <c r="K261" i="2" s="1"/>
  <c r="N261" i="2"/>
  <c r="J262" i="2"/>
  <c r="K262" i="2" s="1"/>
  <c r="N262" i="2"/>
  <c r="J263" i="2"/>
  <c r="K263" i="2" s="1"/>
  <c r="N263" i="2"/>
  <c r="J264" i="2"/>
  <c r="K264" i="2" s="1"/>
  <c r="N264" i="2"/>
  <c r="J265" i="2"/>
  <c r="K265" i="2" s="1"/>
  <c r="N265" i="2"/>
  <c r="J266" i="2"/>
  <c r="K266" i="2" s="1"/>
  <c r="N266" i="2"/>
  <c r="J267" i="2"/>
  <c r="K267" i="2" s="1"/>
  <c r="N267" i="2"/>
  <c r="J268" i="2"/>
  <c r="K268" i="2" s="1"/>
  <c r="N268" i="2"/>
  <c r="J269" i="2"/>
  <c r="K269" i="2" s="1"/>
  <c r="N269" i="2"/>
  <c r="J270" i="2"/>
  <c r="K270" i="2" s="1"/>
  <c r="N270" i="2"/>
  <c r="J271" i="2"/>
  <c r="K271" i="2" s="1"/>
  <c r="N271" i="2"/>
  <c r="J272" i="2"/>
  <c r="K272" i="2" s="1"/>
  <c r="N272" i="2"/>
  <c r="J273" i="2"/>
  <c r="K273" i="2" s="1"/>
  <c r="N273" i="2"/>
  <c r="J274" i="2"/>
  <c r="K274" i="2" s="1"/>
  <c r="N274" i="2"/>
  <c r="J275" i="2"/>
  <c r="K275" i="2" s="1"/>
  <c r="N275" i="2"/>
  <c r="J276" i="2"/>
  <c r="K276" i="2" s="1"/>
  <c r="N276" i="2"/>
  <c r="J277" i="2"/>
  <c r="K277" i="2" s="1"/>
  <c r="N277" i="2"/>
  <c r="J278" i="2"/>
  <c r="K278" i="2" s="1"/>
  <c r="N278" i="2"/>
  <c r="J279" i="2"/>
  <c r="K279" i="2" s="1"/>
  <c r="N279" i="2"/>
  <c r="J280" i="2"/>
  <c r="K280" i="2" s="1"/>
  <c r="N280" i="2"/>
  <c r="J281" i="2"/>
  <c r="K281" i="2" s="1"/>
  <c r="N281" i="2"/>
  <c r="J282" i="2"/>
  <c r="K282" i="2" s="1"/>
  <c r="N282" i="2"/>
  <c r="J283" i="2"/>
  <c r="K283" i="2" s="1"/>
  <c r="N283" i="2"/>
  <c r="J284" i="2"/>
  <c r="K284" i="2" s="1"/>
  <c r="N284" i="2"/>
  <c r="J285" i="2"/>
  <c r="K285" i="2" s="1"/>
  <c r="N285" i="2"/>
  <c r="J286" i="2"/>
  <c r="K286" i="2" s="1"/>
  <c r="N286" i="2"/>
  <c r="J287" i="2"/>
  <c r="K287" i="2" s="1"/>
  <c r="N287" i="2"/>
  <c r="J288" i="2"/>
  <c r="K288" i="2" s="1"/>
  <c r="N288" i="2"/>
  <c r="J289" i="2"/>
  <c r="K289" i="2" s="1"/>
  <c r="N289" i="2"/>
  <c r="J290" i="2"/>
  <c r="K290" i="2" s="1"/>
  <c r="N290" i="2"/>
  <c r="J291" i="2"/>
  <c r="K291" i="2" s="1"/>
  <c r="N291" i="2"/>
  <c r="J292" i="2"/>
  <c r="K292" i="2" s="1"/>
  <c r="N292" i="2"/>
  <c r="J293" i="2"/>
  <c r="K293" i="2" s="1"/>
  <c r="N293" i="2"/>
  <c r="J294" i="2"/>
  <c r="K294" i="2" s="1"/>
  <c r="N294" i="2"/>
  <c r="J295" i="2"/>
  <c r="K295" i="2" s="1"/>
  <c r="N295" i="2"/>
  <c r="J296" i="2"/>
  <c r="K296" i="2" s="1"/>
  <c r="N296" i="2"/>
  <c r="J297" i="2"/>
  <c r="K297" i="2" s="1"/>
  <c r="N297" i="2"/>
  <c r="J298" i="2"/>
  <c r="K298" i="2" s="1"/>
  <c r="N298" i="2"/>
  <c r="J299" i="2"/>
  <c r="K299" i="2" s="1"/>
  <c r="N299" i="2"/>
  <c r="J300" i="2"/>
  <c r="K300" i="2" s="1"/>
  <c r="N300" i="2"/>
  <c r="J301" i="2"/>
  <c r="K301" i="2" s="1"/>
  <c r="N301" i="2"/>
  <c r="J302" i="2"/>
  <c r="K302" i="2" s="1"/>
  <c r="N302" i="2"/>
  <c r="J303" i="2"/>
  <c r="K303" i="2" s="1"/>
  <c r="N303" i="2"/>
  <c r="J304" i="2"/>
  <c r="K304" i="2" s="1"/>
  <c r="N304" i="2"/>
  <c r="J305" i="2"/>
  <c r="K305" i="2" s="1"/>
  <c r="N305" i="2"/>
  <c r="J306" i="2"/>
  <c r="K306" i="2" s="1"/>
  <c r="N306" i="2"/>
  <c r="J307" i="2"/>
  <c r="K307" i="2" s="1"/>
  <c r="N307" i="2"/>
  <c r="J308" i="2"/>
  <c r="K308" i="2" s="1"/>
  <c r="N308" i="2"/>
  <c r="J309" i="2"/>
  <c r="K309" i="2" s="1"/>
  <c r="N309" i="2"/>
  <c r="J310" i="2"/>
  <c r="K310" i="2" s="1"/>
  <c r="N310" i="2"/>
  <c r="J311" i="2"/>
  <c r="K311" i="2" s="1"/>
  <c r="N311" i="2"/>
  <c r="J312" i="2"/>
  <c r="K312" i="2" s="1"/>
  <c r="N312" i="2"/>
  <c r="J313" i="2"/>
  <c r="K313" i="2" s="1"/>
  <c r="N313" i="2"/>
  <c r="J314" i="2"/>
  <c r="K314" i="2" s="1"/>
  <c r="N314" i="2"/>
  <c r="J315" i="2"/>
  <c r="K315" i="2" s="1"/>
  <c r="N315" i="2"/>
  <c r="J316" i="2"/>
  <c r="K316" i="2" s="1"/>
  <c r="N316" i="2"/>
  <c r="J317" i="2"/>
  <c r="K317" i="2" s="1"/>
  <c r="N317" i="2"/>
  <c r="J318" i="2"/>
  <c r="K318" i="2" s="1"/>
  <c r="N318" i="2"/>
  <c r="J319" i="2"/>
  <c r="K319" i="2" s="1"/>
  <c r="N319" i="2"/>
  <c r="J320" i="2"/>
  <c r="K320" i="2" s="1"/>
  <c r="N320" i="2"/>
  <c r="J321" i="2"/>
  <c r="K321" i="2" s="1"/>
  <c r="N321" i="2"/>
  <c r="J322" i="2"/>
  <c r="K322" i="2" s="1"/>
  <c r="N322" i="2"/>
  <c r="J323" i="2"/>
  <c r="K323" i="2" s="1"/>
  <c r="N323" i="2"/>
  <c r="J324" i="2"/>
  <c r="K324" i="2" s="1"/>
  <c r="N324" i="2"/>
  <c r="J325" i="2"/>
  <c r="K325" i="2" s="1"/>
  <c r="N325" i="2"/>
  <c r="J326" i="2"/>
  <c r="K326" i="2" s="1"/>
  <c r="N326" i="2"/>
  <c r="J327" i="2"/>
  <c r="K327" i="2" s="1"/>
  <c r="N327" i="2"/>
  <c r="J328" i="2"/>
  <c r="K328" i="2" s="1"/>
  <c r="N328" i="2"/>
  <c r="J329" i="2"/>
  <c r="K329" i="2" s="1"/>
  <c r="N329" i="2"/>
  <c r="J330" i="2"/>
  <c r="K330" i="2" s="1"/>
  <c r="N330" i="2"/>
  <c r="J331" i="2"/>
  <c r="K331" i="2" s="1"/>
  <c r="N331" i="2"/>
  <c r="J332" i="2"/>
  <c r="K332" i="2" s="1"/>
  <c r="N332" i="2"/>
  <c r="J333" i="2"/>
  <c r="K333" i="2" s="1"/>
  <c r="N333" i="2"/>
  <c r="J334" i="2"/>
  <c r="K334" i="2" s="1"/>
  <c r="N334" i="2"/>
  <c r="J335" i="2"/>
  <c r="K335" i="2" s="1"/>
  <c r="N335" i="2"/>
  <c r="J336" i="2"/>
  <c r="K336" i="2" s="1"/>
  <c r="N336" i="2"/>
  <c r="J337" i="2"/>
  <c r="K337" i="2" s="1"/>
  <c r="N337" i="2"/>
  <c r="J338" i="2"/>
  <c r="K338" i="2" s="1"/>
  <c r="N338" i="2"/>
  <c r="J339" i="2"/>
  <c r="K339" i="2" s="1"/>
  <c r="N339" i="2"/>
  <c r="J340" i="2"/>
  <c r="K340" i="2" s="1"/>
  <c r="N340" i="2"/>
  <c r="J341" i="2"/>
  <c r="K341" i="2" s="1"/>
  <c r="N341" i="2"/>
  <c r="J342" i="2"/>
  <c r="K342" i="2" s="1"/>
  <c r="N342" i="2"/>
  <c r="J343" i="2"/>
  <c r="K343" i="2" s="1"/>
  <c r="N343" i="2"/>
  <c r="J344" i="2"/>
  <c r="K344" i="2" s="1"/>
  <c r="N344" i="2"/>
  <c r="J345" i="2"/>
  <c r="K345" i="2" s="1"/>
  <c r="N345" i="2"/>
  <c r="H19" i="3"/>
  <c r="I19" i="3" s="1"/>
  <c r="H20" i="3"/>
  <c r="I20" i="3"/>
  <c r="H21" i="3"/>
  <c r="I21" i="3" s="1"/>
  <c r="H22" i="3"/>
  <c r="I22" i="3"/>
  <c r="H23" i="3"/>
  <c r="I23" i="3" s="1"/>
  <c r="H24" i="3"/>
  <c r="I24" i="3"/>
  <c r="H25" i="3"/>
  <c r="I25" i="3" s="1"/>
  <c r="H26" i="3"/>
  <c r="I26" i="3"/>
  <c r="H27" i="3"/>
  <c r="I27" i="3" s="1"/>
  <c r="H28" i="3"/>
  <c r="I28" i="3"/>
  <c r="H29" i="3"/>
  <c r="I29" i="3" s="1"/>
  <c r="H30" i="3"/>
  <c r="I30" i="3"/>
  <c r="H31" i="3"/>
  <c r="I31" i="3" s="1"/>
  <c r="H32" i="3"/>
  <c r="I32" i="3"/>
  <c r="H33" i="3"/>
  <c r="I33" i="3" s="1"/>
  <c r="H34" i="3"/>
  <c r="I34" i="3"/>
  <c r="H35" i="3"/>
  <c r="I35" i="3" s="1"/>
  <c r="H36" i="3"/>
  <c r="I36" i="3"/>
  <c r="H37" i="3"/>
  <c r="I37" i="3" s="1"/>
  <c r="H38" i="3"/>
  <c r="I38" i="3"/>
  <c r="H39" i="3"/>
  <c r="I39" i="3" s="1"/>
  <c r="H40" i="3"/>
  <c r="I40" i="3"/>
  <c r="H41" i="3"/>
  <c r="I41" i="3" s="1"/>
  <c r="H42" i="3"/>
  <c r="I42" i="3"/>
  <c r="H43" i="3"/>
  <c r="I43" i="3" s="1"/>
  <c r="H44" i="3"/>
  <c r="I44" i="3"/>
  <c r="H45" i="3"/>
  <c r="I45" i="3" s="1"/>
  <c r="H46" i="3"/>
  <c r="I46" i="3"/>
  <c r="H47" i="3"/>
  <c r="I47" i="3" s="1"/>
  <c r="H48" i="3"/>
  <c r="I48" i="3"/>
  <c r="H49" i="3"/>
  <c r="I49" i="3" s="1"/>
  <c r="H50" i="3"/>
  <c r="I50" i="3"/>
  <c r="H51" i="3"/>
  <c r="I51" i="3" s="1"/>
  <c r="H52" i="3"/>
  <c r="I52" i="3"/>
  <c r="H53" i="3"/>
  <c r="I53" i="3" s="1"/>
  <c r="H54" i="3"/>
  <c r="I54" i="3"/>
  <c r="H55" i="3"/>
  <c r="I55" i="3" s="1"/>
  <c r="H56" i="3"/>
  <c r="I56" i="3"/>
  <c r="H57" i="3"/>
  <c r="I57" i="3" s="1"/>
  <c r="H58" i="3"/>
  <c r="I58" i="3"/>
  <c r="H59" i="3"/>
  <c r="I59" i="3" s="1"/>
  <c r="H60" i="3"/>
  <c r="I60" i="3"/>
  <c r="H61" i="3"/>
  <c r="I61" i="3" s="1"/>
  <c r="H62" i="3"/>
  <c r="I62" i="3"/>
  <c r="H63" i="3"/>
  <c r="I63" i="3" s="1"/>
  <c r="H64" i="3"/>
  <c r="I64" i="3"/>
  <c r="H65" i="3"/>
  <c r="I65" i="3" s="1"/>
  <c r="H66" i="3"/>
  <c r="I66" i="3"/>
  <c r="H67" i="3"/>
  <c r="I67" i="3" s="1"/>
  <c r="H68" i="3"/>
  <c r="I68" i="3"/>
  <c r="H69" i="3"/>
  <c r="I69" i="3" s="1"/>
  <c r="H70" i="3"/>
  <c r="I70" i="3"/>
  <c r="H71" i="3"/>
  <c r="I71" i="3" s="1"/>
  <c r="H72" i="3"/>
  <c r="I72" i="3"/>
  <c r="H73" i="3"/>
  <c r="I73" i="3" s="1"/>
  <c r="H74" i="3"/>
  <c r="I74" i="3"/>
  <c r="H75" i="3"/>
  <c r="I75" i="3" s="1"/>
  <c r="H76" i="3"/>
  <c r="I76" i="3"/>
  <c r="H77" i="3"/>
  <c r="I77" i="3" s="1"/>
  <c r="H78" i="3"/>
  <c r="I78" i="3"/>
  <c r="H79" i="3"/>
  <c r="I79" i="3" s="1"/>
  <c r="H80" i="3"/>
  <c r="I80" i="3"/>
  <c r="H81" i="3"/>
  <c r="I81" i="3" s="1"/>
  <c r="H82" i="3"/>
  <c r="I82" i="3"/>
  <c r="H83" i="3"/>
  <c r="I83" i="3" s="1"/>
  <c r="H84" i="3"/>
  <c r="I84" i="3"/>
  <c r="H85" i="3"/>
  <c r="I85" i="3" s="1"/>
  <c r="H86" i="3"/>
  <c r="I86" i="3"/>
  <c r="H87" i="3"/>
  <c r="I87" i="3" s="1"/>
  <c r="H88" i="3"/>
  <c r="I88" i="3"/>
  <c r="H89" i="3"/>
  <c r="I89" i="3" s="1"/>
  <c r="H90" i="3"/>
  <c r="I90" i="3"/>
  <c r="H91" i="3"/>
  <c r="I91" i="3" s="1"/>
  <c r="H92" i="3"/>
  <c r="I92" i="3"/>
  <c r="H93" i="3"/>
  <c r="I93" i="3" s="1"/>
  <c r="H94" i="3"/>
  <c r="I94" i="3"/>
  <c r="H95" i="3"/>
  <c r="I95" i="3" s="1"/>
  <c r="H96" i="3"/>
  <c r="I96" i="3"/>
  <c r="H97" i="3"/>
  <c r="I97" i="3" s="1"/>
  <c r="H98" i="3"/>
  <c r="I98" i="3"/>
  <c r="H99" i="3"/>
  <c r="I99" i="3" s="1"/>
  <c r="H100" i="3"/>
  <c r="I100" i="3"/>
  <c r="H101" i="3"/>
  <c r="I101" i="3" s="1"/>
  <c r="H102" i="3"/>
  <c r="I102" i="3"/>
  <c r="H103" i="3"/>
  <c r="I103" i="3" s="1"/>
  <c r="H104" i="3"/>
  <c r="I104" i="3"/>
  <c r="H105" i="3"/>
  <c r="I105" i="3" s="1"/>
  <c r="H106" i="3"/>
  <c r="I106" i="3"/>
  <c r="H107" i="3"/>
  <c r="I107" i="3" s="1"/>
  <c r="H108" i="3"/>
  <c r="I108" i="3"/>
  <c r="H109" i="3"/>
  <c r="I109" i="3" s="1"/>
  <c r="H110" i="3"/>
  <c r="I110" i="3"/>
  <c r="H111" i="3"/>
  <c r="I111" i="3" s="1"/>
  <c r="H112" i="3"/>
  <c r="I112" i="3"/>
  <c r="H113" i="3"/>
  <c r="I113" i="3" s="1"/>
  <c r="H114" i="3"/>
  <c r="I114" i="3"/>
  <c r="H115" i="3"/>
  <c r="I115" i="3" s="1"/>
  <c r="H116" i="3"/>
  <c r="I116" i="3"/>
  <c r="H117" i="3"/>
  <c r="I117" i="3" s="1"/>
  <c r="H118" i="3"/>
  <c r="I118" i="3"/>
  <c r="H119" i="3"/>
  <c r="I119" i="3" s="1"/>
  <c r="H120" i="3"/>
  <c r="I120" i="3"/>
  <c r="H121" i="3"/>
  <c r="I121" i="3" s="1"/>
  <c r="H122" i="3"/>
  <c r="I122" i="3"/>
  <c r="H123" i="3"/>
  <c r="I123" i="3" s="1"/>
  <c r="H124" i="3"/>
  <c r="I124" i="3"/>
  <c r="H125" i="3"/>
  <c r="I125" i="3" s="1"/>
  <c r="J346" i="2"/>
  <c r="K346" i="2" s="1"/>
  <c r="N346" i="2"/>
  <c r="J347" i="2"/>
  <c r="K347" i="2" s="1"/>
  <c r="N347" i="2"/>
  <c r="J348" i="2"/>
  <c r="K348" i="2" s="1"/>
  <c r="N348" i="2"/>
  <c r="J349" i="2"/>
  <c r="K349" i="2" s="1"/>
  <c r="N349" i="2"/>
  <c r="J350" i="2"/>
  <c r="K350" i="2" s="1"/>
  <c r="N350" i="2"/>
  <c r="J351" i="2"/>
  <c r="K351" i="2" s="1"/>
  <c r="N351" i="2"/>
  <c r="J352" i="2"/>
  <c r="K352" i="2" s="1"/>
  <c r="N352" i="2"/>
  <c r="J353" i="2"/>
  <c r="K353" i="2" s="1"/>
  <c r="N353" i="2"/>
  <c r="J354" i="2"/>
  <c r="K354" i="2" s="1"/>
  <c r="N354" i="2"/>
  <c r="J355" i="2"/>
  <c r="K355" i="2" s="1"/>
  <c r="N355" i="2"/>
  <c r="J356" i="2"/>
  <c r="K356" i="2" s="1"/>
  <c r="N356" i="2"/>
  <c r="J357" i="2"/>
  <c r="K357" i="2" s="1"/>
  <c r="N357" i="2"/>
  <c r="J358" i="2"/>
  <c r="K358" i="2" s="1"/>
  <c r="N358" i="2"/>
  <c r="J359" i="2"/>
  <c r="K359" i="2" s="1"/>
  <c r="N359" i="2"/>
  <c r="J360" i="2"/>
  <c r="K360" i="2" s="1"/>
  <c r="N360" i="2"/>
  <c r="J361" i="2"/>
  <c r="K361" i="2" s="1"/>
  <c r="N361" i="2"/>
  <c r="J362" i="2"/>
  <c r="K362" i="2" s="1"/>
  <c r="N362" i="2"/>
  <c r="J363" i="2"/>
  <c r="K363" i="2" s="1"/>
  <c r="N363" i="2"/>
  <c r="J364" i="2"/>
  <c r="K364" i="2" s="1"/>
  <c r="N364" i="2"/>
  <c r="J365" i="2"/>
  <c r="K365" i="2" s="1"/>
  <c r="N365" i="2"/>
  <c r="J366" i="2"/>
  <c r="K366" i="2" s="1"/>
  <c r="N366" i="2"/>
  <c r="J367" i="2"/>
  <c r="K367" i="2" s="1"/>
  <c r="N367" i="2"/>
  <c r="J368" i="2"/>
  <c r="K368" i="2" s="1"/>
  <c r="N368" i="2"/>
  <c r="J369" i="2"/>
  <c r="K369" i="2" s="1"/>
  <c r="N369" i="2"/>
  <c r="J370" i="2"/>
  <c r="K370" i="2" s="1"/>
  <c r="N370" i="2"/>
  <c r="J371" i="2"/>
  <c r="K371" i="2" s="1"/>
  <c r="N371" i="2"/>
  <c r="J372" i="2"/>
  <c r="K372" i="2" s="1"/>
  <c r="N372" i="2"/>
</calcChain>
</file>

<file path=xl/sharedStrings.xml><?xml version="1.0" encoding="utf-8"?>
<sst xmlns="http://schemas.openxmlformats.org/spreadsheetml/2006/main" count="3494" uniqueCount="1927">
  <si>
    <t>N°</t>
  </si>
  <si>
    <t>Client</t>
  </si>
  <si>
    <t>Désignation</t>
  </si>
  <si>
    <t>Prestation</t>
  </si>
  <si>
    <t>Site</t>
  </si>
  <si>
    <t>Coordonnées</t>
  </si>
  <si>
    <t>Prix H.T.</t>
  </si>
  <si>
    <t>Surface</t>
  </si>
  <si>
    <t>Date</t>
  </si>
  <si>
    <t>Statut</t>
  </si>
  <si>
    <t>Registre Factures 2014</t>
  </si>
  <si>
    <t>Échéance</t>
  </si>
  <si>
    <t>Bon de commande</t>
  </si>
  <si>
    <t>Prix H.T.
Total</t>
  </si>
  <si>
    <t>Prix unitaire
échantillons</t>
  </si>
  <si>
    <t>Qté</t>
  </si>
  <si>
    <t>Prix total échantillons H.T.</t>
  </si>
  <si>
    <t>Indice</t>
  </si>
  <si>
    <t>Révision</t>
  </si>
  <si>
    <t>TVA</t>
  </si>
  <si>
    <t>TTC</t>
  </si>
  <si>
    <t>Adresse</t>
  </si>
  <si>
    <t>Ville</t>
  </si>
  <si>
    <t>CLT /N° de mission</t>
  </si>
  <si>
    <t>Tarif Analyses</t>
  </si>
  <si>
    <t>BC-Facturé</t>
  </si>
  <si>
    <t>Désignation / Lgt/Mission</t>
  </si>
  <si>
    <t>Registre Devis 2019</t>
  </si>
  <si>
    <t>DV-DIM-19-0001</t>
  </si>
  <si>
    <t>DV-DIM-19-0002</t>
  </si>
  <si>
    <t>DV-DIM-19-0003</t>
  </si>
  <si>
    <t>DV-DIM-19-0004</t>
  </si>
  <si>
    <t>DV-DIM-19-0005</t>
  </si>
  <si>
    <t>DV-DIM-19-0006</t>
  </si>
  <si>
    <t>DV-DIM-19-0007</t>
  </si>
  <si>
    <t>DV-DIM-19-0008</t>
  </si>
  <si>
    <t>DV-DIM-19-0009</t>
  </si>
  <si>
    <t>DV-DIM-19-0010</t>
  </si>
  <si>
    <t>DV-DIM-19-0011</t>
  </si>
  <si>
    <t>DV-DIM-19-0012</t>
  </si>
  <si>
    <t>DV-DIM-19-0013</t>
  </si>
  <si>
    <t>DV-DIM-19-0014</t>
  </si>
  <si>
    <t>DV-DIM-19-0015</t>
  </si>
  <si>
    <t>DV-DIM-19-0016</t>
  </si>
  <si>
    <t>DV-DIM-19-0017</t>
  </si>
  <si>
    <t>DV-DIM-19-0018</t>
  </si>
  <si>
    <t>DV-DIM-19-0019</t>
  </si>
  <si>
    <t>DV-DIM-19-0020</t>
  </si>
  <si>
    <t>DV-DIM-19-0021</t>
  </si>
  <si>
    <t>DV-DIM-19-0022</t>
  </si>
  <si>
    <t>DV-DIM-19-0023</t>
  </si>
  <si>
    <t>DV-DIM-19-0024</t>
  </si>
  <si>
    <t>DV-DIM-19-0025</t>
  </si>
  <si>
    <t>DV-DIM-19-0026</t>
  </si>
  <si>
    <t>DV-DIM-19-0027</t>
  </si>
  <si>
    <t>DV-DIM-19-0028</t>
  </si>
  <si>
    <t>DV-DIM-19-0029</t>
  </si>
  <si>
    <t>DV-DIM-19-0030</t>
  </si>
  <si>
    <t>DV-DIM-19-0031</t>
  </si>
  <si>
    <t>DV-DIM-19-0032</t>
  </si>
  <si>
    <t>DV-DIM-19-0033</t>
  </si>
  <si>
    <t>DV-DIM-19-0034</t>
  </si>
  <si>
    <t>DV-DIM-19-0035</t>
  </si>
  <si>
    <t>DV-DIM-19-0036</t>
  </si>
  <si>
    <t>DV-DIM-19-0037</t>
  </si>
  <si>
    <t>DV-DIM-19-0038</t>
  </si>
  <si>
    <t>DV-DIM-19-0039</t>
  </si>
  <si>
    <t>DV-DIM-19-0040</t>
  </si>
  <si>
    <t>DV-DIM-19-0041</t>
  </si>
  <si>
    <t>DV-DIM-19-0042</t>
  </si>
  <si>
    <t>DV-DIM-19-0043</t>
  </si>
  <si>
    <t>DV-DIM-19-0044</t>
  </si>
  <si>
    <t>DV-DIM-19-0045</t>
  </si>
  <si>
    <t>DV-DIM-19-0046</t>
  </si>
  <si>
    <t>DV-DIM-19-0047</t>
  </si>
  <si>
    <t>DV-DIM-19-0048</t>
  </si>
  <si>
    <t>DV-DIM-19-0049</t>
  </si>
  <si>
    <t>DV-DIM-19-0050</t>
  </si>
  <si>
    <t>DV-DIM-19-0051</t>
  </si>
  <si>
    <t>DV-DIM-19-0052</t>
  </si>
  <si>
    <t>DV-DIM-19-0053</t>
  </si>
  <si>
    <t>DV-DIM-19-0054</t>
  </si>
  <si>
    <t>DV-DIM-19-0055</t>
  </si>
  <si>
    <t>DV-DIM-19-0056</t>
  </si>
  <si>
    <t>DV-DIM-19-0057</t>
  </si>
  <si>
    <t>DV-DIM-19-0058</t>
  </si>
  <si>
    <t>DV-DIM-19-0059</t>
  </si>
  <si>
    <t>DV-DIM-19-0060</t>
  </si>
  <si>
    <t>DV-DIM-19-0061</t>
  </si>
  <si>
    <t>DV-DIM-19-0062</t>
  </si>
  <si>
    <t>DV-DIM-19-0063</t>
  </si>
  <si>
    <t>DV-DIM-19-0064</t>
  </si>
  <si>
    <t>DV-DIM-19-0065</t>
  </si>
  <si>
    <t>DV-DIM-19-0066</t>
  </si>
  <si>
    <t>DV-DIM-19-0067</t>
  </si>
  <si>
    <t>DV-DIM-19-0068</t>
  </si>
  <si>
    <t>DV-DIM-19-0069</t>
  </si>
  <si>
    <t>DV-DIM-19-0070</t>
  </si>
  <si>
    <t>DV-DIM-19-0071</t>
  </si>
  <si>
    <t>DV-DIM-19-0072</t>
  </si>
  <si>
    <t>DV-DIM-19-0073</t>
  </si>
  <si>
    <t>DV-DIM-19-0074</t>
  </si>
  <si>
    <t>DV-DIM-19-0075</t>
  </si>
  <si>
    <t>DV-DIM-19-0076</t>
  </si>
  <si>
    <t>DV-DIM-19-0077</t>
  </si>
  <si>
    <t>DV-DIM-19-0078</t>
  </si>
  <si>
    <t>DV-DIM-19-0079</t>
  </si>
  <si>
    <t>DV-DIM-19-0080</t>
  </si>
  <si>
    <t>DV-DIM-19-0081</t>
  </si>
  <si>
    <t>DV-DIM-19-0082</t>
  </si>
  <si>
    <t>DV-DIM-19-0083</t>
  </si>
  <si>
    <t>DV-DIM-19-0084</t>
  </si>
  <si>
    <t>DV-DIM-19-0086</t>
  </si>
  <si>
    <t>DV-DIM-19-0087</t>
  </si>
  <si>
    <t>DV-DIM-19-0088</t>
  </si>
  <si>
    <t>DV-DIM-19-0089</t>
  </si>
  <si>
    <t>DV-DIM-19-0090</t>
  </si>
  <si>
    <t>DV-DIM-19-0091</t>
  </si>
  <si>
    <t>DV-DIM-19-0092</t>
  </si>
  <si>
    <t>DV-DIM-19-0093</t>
  </si>
  <si>
    <t>DV-DIM-19-0094</t>
  </si>
  <si>
    <t>DV-DIM-19-0095</t>
  </si>
  <si>
    <t>DV-DIM-19-0096</t>
  </si>
  <si>
    <t>DV-DIM-19-0097</t>
  </si>
  <si>
    <t>DV-DIM-19-0098</t>
  </si>
  <si>
    <t>DV-DIM-19-0099</t>
  </si>
  <si>
    <t>DV-DIM-19-0100</t>
  </si>
  <si>
    <t>DV-DIM-19-0101</t>
  </si>
  <si>
    <t>DV-DIM-19-0102</t>
  </si>
  <si>
    <t>DV-DIM-19-0103</t>
  </si>
  <si>
    <t>DV-DIM-19-0104</t>
  </si>
  <si>
    <t>DV-DIM-19-0105</t>
  </si>
  <si>
    <t>DV-DIM-19-0106</t>
  </si>
  <si>
    <t>DV-DIM-19-0107</t>
  </si>
  <si>
    <t>DV-DIM-19-0108</t>
  </si>
  <si>
    <t>DV-DIM-19-0109</t>
  </si>
  <si>
    <t>DV-DIM-19-0110</t>
  </si>
  <si>
    <t>DV-DIM-19-0111</t>
  </si>
  <si>
    <t>DV-DIM-19-0112</t>
  </si>
  <si>
    <t>DV-DIM-19-0113</t>
  </si>
  <si>
    <t>DV-DIM-19-0114</t>
  </si>
  <si>
    <t>DV-DIM-19-0115</t>
  </si>
  <si>
    <t>DV-DIM-19-0116</t>
  </si>
  <si>
    <t>DV-DIM-19-0117</t>
  </si>
  <si>
    <t>DV-DIM-19-0118</t>
  </si>
  <si>
    <t>DV-DIM-19-0119</t>
  </si>
  <si>
    <t>DV-DIM-19-0120</t>
  </si>
  <si>
    <t>DV-DIM-19-0121</t>
  </si>
  <si>
    <t>DV-DIM-19-0122</t>
  </si>
  <si>
    <t>DV-DIM-19-0123</t>
  </si>
  <si>
    <t>DV-DIM-19-0124</t>
  </si>
  <si>
    <t>DV-DIM-19-0125</t>
  </si>
  <si>
    <t>DV-DIM-19-0126</t>
  </si>
  <si>
    <t>DV-DIM-19-0127</t>
  </si>
  <si>
    <t>DV-DIM-19-0128</t>
  </si>
  <si>
    <t>DV-DIM-19-0129</t>
  </si>
  <si>
    <t>DV-DIM-19-0130</t>
  </si>
  <si>
    <t>DV-DIM-19-0131</t>
  </si>
  <si>
    <t>DV-DIM-19-0132</t>
  </si>
  <si>
    <t>DV-DIM-19-0133</t>
  </si>
  <si>
    <t>DV-DIM-19-0134</t>
  </si>
  <si>
    <t>DV-DIM-19-0135</t>
  </si>
  <si>
    <t>DV-DIM-19-0136</t>
  </si>
  <si>
    <t>DV-DIM-19-0137</t>
  </si>
  <si>
    <t>DV-DIM-19-0138</t>
  </si>
  <si>
    <t>DV-DIM-19-0139</t>
  </si>
  <si>
    <t>DV-DIM-19-0140</t>
  </si>
  <si>
    <t>DV-DIM-19-0141</t>
  </si>
  <si>
    <t>DV-DIM-19-0142</t>
  </si>
  <si>
    <t>DV-DIM-19-0143</t>
  </si>
  <si>
    <t>DV-DIM-19-0144</t>
  </si>
  <si>
    <t>DV-DIM-19-0145</t>
  </si>
  <si>
    <t>DV-DIM-19-0146</t>
  </si>
  <si>
    <t>DV-DIM-19-0147</t>
  </si>
  <si>
    <t>DV-DIM-19-0148</t>
  </si>
  <si>
    <t>DV-DIM-19-0149</t>
  </si>
  <si>
    <t>DV-DIM-19-0150</t>
  </si>
  <si>
    <t>DV-DIM-19-0151</t>
  </si>
  <si>
    <t>DV-DIM-19-0152</t>
  </si>
  <si>
    <t>DV-DIM-19-0153</t>
  </si>
  <si>
    <t>DV-DIM-19-0154</t>
  </si>
  <si>
    <t>DV-DIM-19-0155</t>
  </si>
  <si>
    <t>DV-DIM-19-0156</t>
  </si>
  <si>
    <t>DV-DIM-19-0157</t>
  </si>
  <si>
    <t>DV-DIM-19-0158</t>
  </si>
  <si>
    <t>DV-DIM-19-0159</t>
  </si>
  <si>
    <t>DV-DIM-19-0160</t>
  </si>
  <si>
    <t>DV-DIM-19-0161</t>
  </si>
  <si>
    <t>DV-DIM-19-0162</t>
  </si>
  <si>
    <t>DV-DIM-19-0163</t>
  </si>
  <si>
    <t>DV-DIM-19-0164</t>
  </si>
  <si>
    <t>DV-DIM-19-0165</t>
  </si>
  <si>
    <t>DV-DIM-19-0166</t>
  </si>
  <si>
    <t>DV-DIM-19-0167</t>
  </si>
  <si>
    <t>DV-DIM-19-0168</t>
  </si>
  <si>
    <t>DV-DIM-19-0169</t>
  </si>
  <si>
    <t>DV-DIM-19-0170</t>
  </si>
  <si>
    <t>DV-DIM-19-0171</t>
  </si>
  <si>
    <t>DV-DIM-19-0172</t>
  </si>
  <si>
    <t>DV-DIM-19-0173</t>
  </si>
  <si>
    <t>DV-DIM-19-0174</t>
  </si>
  <si>
    <t>DV-DIM-19-0175</t>
  </si>
  <si>
    <t>DV-DIM-19-0176</t>
  </si>
  <si>
    <t>DV-DIM-19-0177</t>
  </si>
  <si>
    <t>DV-DIM-19-0178</t>
  </si>
  <si>
    <t>DV-DIM-19-0179</t>
  </si>
  <si>
    <t>DV-DIM-19-0180</t>
  </si>
  <si>
    <t>DV-DIM-19-0181</t>
  </si>
  <si>
    <t>DV-DIM-19-0182</t>
  </si>
  <si>
    <t>DV-DIM-19-0183</t>
  </si>
  <si>
    <t>DV-DIM-19-0184</t>
  </si>
  <si>
    <t>DV-DIM-19-0185</t>
  </si>
  <si>
    <t>DV-DIM-19-0186</t>
  </si>
  <si>
    <t>DV-DIM-19-0187</t>
  </si>
  <si>
    <t>DV-DIM-19-0188</t>
  </si>
  <si>
    <t>DV-DIM-19-0189</t>
  </si>
  <si>
    <t>DV-DIM-19-0190</t>
  </si>
  <si>
    <t>DV-DIM-19-0191</t>
  </si>
  <si>
    <t>DV-DIM-19-0192</t>
  </si>
  <si>
    <t>DV-DIM-19-0193</t>
  </si>
  <si>
    <t>DV-DIM-19-0194</t>
  </si>
  <si>
    <t>DV-DIM-19-0195</t>
  </si>
  <si>
    <t>DV-DIM-19-0196</t>
  </si>
  <si>
    <t>DV-DIM-19-0197</t>
  </si>
  <si>
    <t>DV-DIM-19-0198</t>
  </si>
  <si>
    <t>DV-DIM-19-0199</t>
  </si>
  <si>
    <t>DV-DIM-19-0200</t>
  </si>
  <si>
    <t>DV-DIM-19-0201</t>
  </si>
  <si>
    <t>DV-DIM-19-0202</t>
  </si>
  <si>
    <t>DV-DIM-19-0203</t>
  </si>
  <si>
    <t>DV-DIM-19-0204</t>
  </si>
  <si>
    <t>DV-DIM-19-0205</t>
  </si>
  <si>
    <t>DV-DIM-19-0206</t>
  </si>
  <si>
    <t>DV-DIM-19-0207</t>
  </si>
  <si>
    <t>DV-DIM-19-0208</t>
  </si>
  <si>
    <t>DV-DIM-19-0209</t>
  </si>
  <si>
    <t>DV-DIM-19-0210</t>
  </si>
  <si>
    <t>DV-DIM-19-0211</t>
  </si>
  <si>
    <t>DV-DIM-19-0212</t>
  </si>
  <si>
    <t>Registre des factures 2019</t>
  </si>
  <si>
    <t>FA-DIM-19-0001</t>
  </si>
  <si>
    <t>FA-DIM-19-0003</t>
  </si>
  <si>
    <t>FA-DIM-19-0004</t>
  </si>
  <si>
    <t>FA-DIM-19-0005</t>
  </si>
  <si>
    <t>FA-DIM-19-0006</t>
  </si>
  <si>
    <t>FA-DIM-19-0007</t>
  </si>
  <si>
    <t>FA-DIM-19-0008</t>
  </si>
  <si>
    <t>FA-DIM-19-0009</t>
  </si>
  <si>
    <t>FA-DIM-19-0010</t>
  </si>
  <si>
    <t>FA-DIM-19-0011</t>
  </si>
  <si>
    <t>FA-DIM-19-0012</t>
  </si>
  <si>
    <t>FA-DIM-19-0013</t>
  </si>
  <si>
    <t>FA-DIM-19-0014</t>
  </si>
  <si>
    <t>FA-DIM-19-0016</t>
  </si>
  <si>
    <t>FA-DIM-19-0017</t>
  </si>
  <si>
    <t>FA-DIM-19-0018</t>
  </si>
  <si>
    <t>FA-DIM-19-0019</t>
  </si>
  <si>
    <t>FA-DIM-19-0020</t>
  </si>
  <si>
    <t>FA-DIM-19-0021</t>
  </si>
  <si>
    <t>FA-DIM-19-0022</t>
  </si>
  <si>
    <t>FA-DIM-19-0023</t>
  </si>
  <si>
    <t>FA-DIM-19-0024</t>
  </si>
  <si>
    <t>FA-DIM-19-0025</t>
  </si>
  <si>
    <t>FA-DIM-19-0030</t>
  </si>
  <si>
    <t>FA-DIM-19-0031</t>
  </si>
  <si>
    <t>FA-DIM-19-0032</t>
  </si>
  <si>
    <t>FA-DIM-19-0033</t>
  </si>
  <si>
    <t>FA-DIM-19-0034</t>
  </si>
  <si>
    <t>FA-DIM-19-0035</t>
  </si>
  <si>
    <t>FA-DIM-19-0036</t>
  </si>
  <si>
    <t>FA-DIM-19-0038</t>
  </si>
  <si>
    <t>FA-DIM-19-0039</t>
  </si>
  <si>
    <t>FA-DIM-19-0040</t>
  </si>
  <si>
    <t>FA-DIM-19-0042</t>
  </si>
  <si>
    <t>FA-DIM-19-0043</t>
  </si>
  <si>
    <t>FA-DIM-19-0044</t>
  </si>
  <si>
    <t>FA-DIM-19-0045</t>
  </si>
  <si>
    <t>FA-DIM-19-0046</t>
  </si>
  <si>
    <t>FA-DIM-19-0047</t>
  </si>
  <si>
    <t>FA-DIM-19-0048</t>
  </si>
  <si>
    <t>FA-DIM-19-0049</t>
  </si>
  <si>
    <t>FA-DIM-19-0050</t>
  </si>
  <si>
    <t>FA-DIM-19-0053</t>
  </si>
  <si>
    <t>FA-DIM-19-0054</t>
  </si>
  <si>
    <t>FA-DIM-19-0055</t>
  </si>
  <si>
    <t>FA-DIM-19-0056</t>
  </si>
  <si>
    <t>FA-DIM-19-0057</t>
  </si>
  <si>
    <t>FA-DIM-19-0058</t>
  </si>
  <si>
    <t>FA-DIM-19-0059</t>
  </si>
  <si>
    <t>FA-DIM-19-0060</t>
  </si>
  <si>
    <t>FA-DIM-19-0061</t>
  </si>
  <si>
    <t>FA-DIM-19-0062</t>
  </si>
  <si>
    <t>FA-DIM-19-0063</t>
  </si>
  <si>
    <t>FA-DIM-19-0064</t>
  </si>
  <si>
    <t>FA-DIM-19-0066</t>
  </si>
  <si>
    <t>FA-DIM-19-0067</t>
  </si>
  <si>
    <t>FA-DIM-19-0069</t>
  </si>
  <si>
    <t>FA-DIM-19-0070</t>
  </si>
  <si>
    <t>FA-DIM-19-0071</t>
  </si>
  <si>
    <t>FA-DIM-19-0072</t>
  </si>
  <si>
    <t>FA-DIM-19-0073</t>
  </si>
  <si>
    <t>FA-DIM-19-0075</t>
  </si>
  <si>
    <t>FA-DIM-19-0077</t>
  </si>
  <si>
    <t>FA-DIM-19-0078</t>
  </si>
  <si>
    <t>FA-DIM-19-0079</t>
  </si>
  <si>
    <t>FA-DIM-19-0080</t>
  </si>
  <si>
    <t>FA-DIM-19-0081</t>
  </si>
  <si>
    <t>FA-DIM-19-0082</t>
  </si>
  <si>
    <t>FA-DIM-19-0083</t>
  </si>
  <si>
    <t>FA-DIM-19-0084</t>
  </si>
  <si>
    <t>FA-DIM-19-0085</t>
  </si>
  <si>
    <t>FA-DIM-19-0086</t>
  </si>
  <si>
    <t>FA-DIM-19-0087</t>
  </si>
  <si>
    <t>FA-DIM-19-0088</t>
  </si>
  <si>
    <t>FA-DIM-19-0090</t>
  </si>
  <si>
    <t>FA-DIM-19-0091</t>
  </si>
  <si>
    <t>FA-DIM-19-0092</t>
  </si>
  <si>
    <t>FA-DIM-19-0093</t>
  </si>
  <si>
    <t>FA-DIM-19-0094</t>
  </si>
  <si>
    <t>FA-DIM-19-0095</t>
  </si>
  <si>
    <t>FA-DIM-19-0097</t>
  </si>
  <si>
    <t>FA-DIM-19-0098</t>
  </si>
  <si>
    <t>FA-DIM-19-0100</t>
  </si>
  <si>
    <t>FA-DIM-19-0102</t>
  </si>
  <si>
    <t>FA-DIM-19-0104</t>
  </si>
  <si>
    <t>FA-DIM-19-0105</t>
  </si>
  <si>
    <t>FA-DIM-19-0106</t>
  </si>
  <si>
    <t>FA-DIM-19-0108</t>
  </si>
  <si>
    <t>FA-DIM-19-0109</t>
  </si>
  <si>
    <t>FA-DIM-19-0111</t>
  </si>
  <si>
    <t>FA-DIM-19-0112</t>
  </si>
  <si>
    <t>FA-DIM-19-0113</t>
  </si>
  <si>
    <t>FA-DIM-19-0114</t>
  </si>
  <si>
    <t>FA-DIM-19-0115</t>
  </si>
  <si>
    <t>FA-DIM-19-0116</t>
  </si>
  <si>
    <t>FA-DIM-19-0117</t>
  </si>
  <si>
    <t>FA-DIM-19-0118</t>
  </si>
  <si>
    <t>FA-DIM-19-0119</t>
  </si>
  <si>
    <t>FA-DIM-19-0121</t>
  </si>
  <si>
    <t>FA-DIM-19-0124</t>
  </si>
  <si>
    <t>FA-DIM-19-0125</t>
  </si>
  <si>
    <t>FA-DIM-19-0131</t>
  </si>
  <si>
    <t>FA-DIM-19-0132</t>
  </si>
  <si>
    <t>FA-DIM-19-0133</t>
  </si>
  <si>
    <t>FA-DIM-19-0135</t>
  </si>
  <si>
    <t>FA-DIM-19-0136</t>
  </si>
  <si>
    <t>FA-DIM-19-0137</t>
  </si>
  <si>
    <t>FA-DIM-19-0139</t>
  </si>
  <si>
    <t>FA-DIM-19-0140</t>
  </si>
  <si>
    <t>FA-DIM-19-0141</t>
  </si>
  <si>
    <t>FA-DIM-19-0143</t>
  </si>
  <si>
    <t>FA-DIM-19-0144</t>
  </si>
  <si>
    <t>FA-DIM-19-0145</t>
  </si>
  <si>
    <t>FA-DIM-19-0146</t>
  </si>
  <si>
    <t>FA-DIM-19-0147</t>
  </si>
  <si>
    <t>FA-DIM-19-0148</t>
  </si>
  <si>
    <t>FA-DIM-19-0149</t>
  </si>
  <si>
    <t>FA-DIM-19-0150</t>
  </si>
  <si>
    <t>FA-DIM-19-0151</t>
  </si>
  <si>
    <t>FA-DIM-19-0152</t>
  </si>
  <si>
    <t>FA-DIM-19-0153</t>
  </si>
  <si>
    <t>FA-DIM-19-0154</t>
  </si>
  <si>
    <t>FA-DIM-19-0155</t>
  </si>
  <si>
    <t>FA-DIM-19-0156</t>
  </si>
  <si>
    <t>FA-DIM-19-0157</t>
  </si>
  <si>
    <t>FA-DIM-19-0158</t>
  </si>
  <si>
    <t>FA-DIM-19-0160</t>
  </si>
  <si>
    <t>FA-DIM-19-0163</t>
  </si>
  <si>
    <t>FA-DIM-19-0164</t>
  </si>
  <si>
    <t>FA-DIM-19-0165</t>
  </si>
  <si>
    <t>FA-DIM-19-0167</t>
  </si>
  <si>
    <t>FA-DIM-19-0168</t>
  </si>
  <si>
    <t>FA-DIM-19-0169</t>
  </si>
  <si>
    <t>FA-DIM-19-0170</t>
  </si>
  <si>
    <t>FA-DIM-19-0171</t>
  </si>
  <si>
    <t>FA-DIM-19-0177</t>
  </si>
  <si>
    <t>FA-DIM-19-0178</t>
  </si>
  <si>
    <t>FA-DIM-19-0179</t>
  </si>
  <si>
    <t>FA-DIM-19-0180</t>
  </si>
  <si>
    <t>FA-DIM-19-0181</t>
  </si>
  <si>
    <t>FA-DIM-19-0182</t>
  </si>
  <si>
    <t>FA-DIM-19-0183</t>
  </si>
  <si>
    <t>FA-DIM-19-0184</t>
  </si>
  <si>
    <t>FA-DIM-19-0187</t>
  </si>
  <si>
    <t>FA-DIM-19-0188</t>
  </si>
  <si>
    <t>FA-DIM-19-0189</t>
  </si>
  <si>
    <t>FA-DIM-19-0190</t>
  </si>
  <si>
    <t>FA-DIM-19-0195</t>
  </si>
  <si>
    <t>FA-DIM-19-0196</t>
  </si>
  <si>
    <t>FA-DIM-19-0197</t>
  </si>
  <si>
    <t>FA-DIM-19-0198</t>
  </si>
  <si>
    <t>FA-DIM-19-0199</t>
  </si>
  <si>
    <t>FA-DIM-19-0200</t>
  </si>
  <si>
    <t>FA-DIM-19-0201</t>
  </si>
  <si>
    <t>FA-DIM-19-0202</t>
  </si>
  <si>
    <t>FA-DIM-19-0203</t>
  </si>
  <si>
    <t>FA-DIM-19-0204</t>
  </si>
  <si>
    <t>FA-DIM-19-0205</t>
  </si>
  <si>
    <t>FA-DIM-19-0206</t>
  </si>
  <si>
    <t>FA-DIM-19-0207</t>
  </si>
  <si>
    <t>FA-DIM-19-0208</t>
  </si>
  <si>
    <t>FA-DIM-19-0209</t>
  </si>
  <si>
    <t>FA-DIM-19-0210</t>
  </si>
  <si>
    <t>FA-DIM-19-0211</t>
  </si>
  <si>
    <t>FA-DIM-19-0212</t>
  </si>
  <si>
    <t>FA-DIM-19-0213</t>
  </si>
  <si>
    <t>FA-DIM-19-0214</t>
  </si>
  <si>
    <t>FA-DIM-19-0215</t>
  </si>
  <si>
    <t>FA-DIM-19-0216</t>
  </si>
  <si>
    <t>FA-DIM-19-0217</t>
  </si>
  <si>
    <t>FA-DIM-19-0218</t>
  </si>
  <si>
    <t>FA-DIM-19-0219</t>
  </si>
  <si>
    <t>FA-DIM-19-0220</t>
  </si>
  <si>
    <t>FA-DIM-19-0221</t>
  </si>
  <si>
    <t>FA-DIM-19-0222</t>
  </si>
  <si>
    <t>FA-DIM-19-0223</t>
  </si>
  <si>
    <t>FA-DIM-19-0224</t>
  </si>
  <si>
    <t>FA-DIM-19-0225</t>
  </si>
  <si>
    <t>FA-DIM-19-0226</t>
  </si>
  <si>
    <t>FA-DIM-19-0227</t>
  </si>
  <si>
    <t>FA-DIM-19-0228</t>
  </si>
  <si>
    <t>FA-DIM-19-0229</t>
  </si>
  <si>
    <t>FA-DIM-19-0230</t>
  </si>
  <si>
    <t>FA-DIM-19-0231</t>
  </si>
  <si>
    <t>FA-DIM-19-0232</t>
  </si>
  <si>
    <t>FA-DIM-19-0233</t>
  </si>
  <si>
    <t>FA-DIM-19-0234</t>
  </si>
  <si>
    <t>FA-DIM-19-0235</t>
  </si>
  <si>
    <t>FA-DIM-19-0236</t>
  </si>
  <si>
    <t>FA-DIM-19-0237</t>
  </si>
  <si>
    <t>FA-DIM-19-0238</t>
  </si>
  <si>
    <t>FA-DIM-19-0239</t>
  </si>
  <si>
    <t>FA-DIM-19-0240</t>
  </si>
  <si>
    <t>FA-DIM-19-0241</t>
  </si>
  <si>
    <t>FA-DIM-19-0242</t>
  </si>
  <si>
    <t>FA-DIM-19-0243</t>
  </si>
  <si>
    <t>FA-DIM-19-0244</t>
  </si>
  <si>
    <t>FA-DIM-19-0245</t>
  </si>
  <si>
    <t>FA-DIM-19-0246</t>
  </si>
  <si>
    <t>FA-DIM-19-0247</t>
  </si>
  <si>
    <t>FA-DIM-19-0248</t>
  </si>
  <si>
    <t>FA-DIM-19-0249</t>
  </si>
  <si>
    <t>FA-DIM-19-0250</t>
  </si>
  <si>
    <t>FA-DIM-19-0251</t>
  </si>
  <si>
    <t>FA-DIM-19-0252</t>
  </si>
  <si>
    <t>FA-DIM-19-0253</t>
  </si>
  <si>
    <t>FA-DIM-19-0254</t>
  </si>
  <si>
    <t>FA-DIM-19-0255</t>
  </si>
  <si>
    <t>FA-DIM-19-0256</t>
  </si>
  <si>
    <t>FA-DIM-19-0257</t>
  </si>
  <si>
    <t>FA-DIM-19-0258</t>
  </si>
  <si>
    <t>FA-DIM-19-0259</t>
  </si>
  <si>
    <t>FA-DIM-19-0260</t>
  </si>
  <si>
    <t>FA-DIM-19-0261</t>
  </si>
  <si>
    <t>FA-DIM-19-0262</t>
  </si>
  <si>
    <t>FA-DIM-19-0263</t>
  </si>
  <si>
    <t>FA-DIM-19-0264</t>
  </si>
  <si>
    <t>FA-DIM-19-0265</t>
  </si>
  <si>
    <t>FA-DIM-19-0266</t>
  </si>
  <si>
    <t>FA-DIM-19-0267</t>
  </si>
  <si>
    <t>FA-DIM-19-0268</t>
  </si>
  <si>
    <t>FA-DIM-19-0269</t>
  </si>
  <si>
    <t>FA-DIM-19-0270</t>
  </si>
  <si>
    <t>FA-DIM-19-0271</t>
  </si>
  <si>
    <t>FA-DIM-19-0272</t>
  </si>
  <si>
    <t>FA-DIM-19-0273</t>
  </si>
  <si>
    <t>FA-DIM-19-0274</t>
  </si>
  <si>
    <t>FA-DIM-19-0275</t>
  </si>
  <si>
    <t>FA-DIM-19-0276</t>
  </si>
  <si>
    <t>FA-DIM-19-0277</t>
  </si>
  <si>
    <t>FA-DIM-19-0278</t>
  </si>
  <si>
    <t>FA-DIM-19-0279</t>
  </si>
  <si>
    <t>FA-DIM-19-0280</t>
  </si>
  <si>
    <t>FA-DIM-19-0281</t>
  </si>
  <si>
    <t>FA-DIM-19-0282</t>
  </si>
  <si>
    <t>FA-DIM-19-0283</t>
  </si>
  <si>
    <t>FA-DIM-19-0284</t>
  </si>
  <si>
    <t>FA-DIM-19-0285</t>
  </si>
  <si>
    <t>FA-DIM-19-0286</t>
  </si>
  <si>
    <t>FA-DIM-19-0287</t>
  </si>
  <si>
    <t>FA-DIM-19-0288</t>
  </si>
  <si>
    <t>FA-DIM-19-0289</t>
  </si>
  <si>
    <t>FA-DIM-19-0290</t>
  </si>
  <si>
    <t>FA-DIM-19-0291</t>
  </si>
  <si>
    <t>FA-DIM-19-0292</t>
  </si>
  <si>
    <t>FA-DIM-19-0293</t>
  </si>
  <si>
    <t>FA-DIM-19-0294</t>
  </si>
  <si>
    <t>FA-DIM-19-0295</t>
  </si>
  <si>
    <t>FA-DIM-19-0296</t>
  </si>
  <si>
    <t>FA-DIM-19-0297</t>
  </si>
  <si>
    <t>FA-DIM-19-0298</t>
  </si>
  <si>
    <t>FA-DIM-19-0299</t>
  </si>
  <si>
    <t>FA-DIM-19-0300</t>
  </si>
  <si>
    <t>FA-DIM-19-0301</t>
  </si>
  <si>
    <t>FA-DIM-19-0302</t>
  </si>
  <si>
    <t>FA-DIM-19-0303</t>
  </si>
  <si>
    <t>FA-DIM-19-0304</t>
  </si>
  <si>
    <t>FA-DIM-19-0305</t>
  </si>
  <si>
    <t>FA-DIM-19-0306</t>
  </si>
  <si>
    <t>FA-DIM-19-0307</t>
  </si>
  <si>
    <t>FA-DIM-19-0308</t>
  </si>
  <si>
    <t>FA-DIM-19-0309</t>
  </si>
  <si>
    <t>FA-DIM-19-0310</t>
  </si>
  <si>
    <t>FA-DIM-19-0311</t>
  </si>
  <si>
    <t>FA-DIM-19-0312</t>
  </si>
  <si>
    <t>FA-DIM-19-0313</t>
  </si>
  <si>
    <t>FA-DIM-19-0314</t>
  </si>
  <si>
    <t>FA-DIM-19-0315</t>
  </si>
  <si>
    <t>FA-DIM-19-0316</t>
  </si>
  <si>
    <t>FA-DIM-19-0317</t>
  </si>
  <si>
    <t>FA-DIM-19-0318</t>
  </si>
  <si>
    <t>FA-DIM-19-0319</t>
  </si>
  <si>
    <t>FA-DIM-19-0320</t>
  </si>
  <si>
    <t>FA-DIM-19-0321</t>
  </si>
  <si>
    <t>FA-DIM-19-0322</t>
  </si>
  <si>
    <t>FA-DIM-19-0323</t>
  </si>
  <si>
    <t>FA-DIM-19-0324</t>
  </si>
  <si>
    <t>FA-DIM-19-0325</t>
  </si>
  <si>
    <t>FA-DIM-19-0326</t>
  </si>
  <si>
    <t>FA-DIM-19-0327</t>
  </si>
  <si>
    <t>FA-DIM-19-0328</t>
  </si>
  <si>
    <t>FA-DIM-19-0329</t>
  </si>
  <si>
    <t>FA-DIM-19-0330</t>
  </si>
  <si>
    <t>FA-DIM-19-0331</t>
  </si>
  <si>
    <t>FA-DIM-19-0332</t>
  </si>
  <si>
    <t>FA-DIM-19-0333</t>
  </si>
  <si>
    <t>FA-DIM-19-0334</t>
  </si>
  <si>
    <t>FA-DIM-19-0335</t>
  </si>
  <si>
    <t>FA-DIM-19-0336</t>
  </si>
  <si>
    <t>FA-DIM-19-0337</t>
  </si>
  <si>
    <t>FA-DIM-19-0338</t>
  </si>
  <si>
    <t>FA-DIM-19-0339</t>
  </si>
  <si>
    <t>FA-DIM-19-0340</t>
  </si>
  <si>
    <t>FA-DIM-19-0341</t>
  </si>
  <si>
    <t>FA-DIM-19-0342</t>
  </si>
  <si>
    <t>FA-DIM-19-0343</t>
  </si>
  <si>
    <t>FA-DIM-19-0344</t>
  </si>
  <si>
    <t>FA-DIM-19-0345</t>
  </si>
  <si>
    <t>FA-DIM-19-0346</t>
  </si>
  <si>
    <t>FA-DIM-19-0347</t>
  </si>
  <si>
    <t>FA-DIM-19-0348</t>
  </si>
  <si>
    <t>FA-DIM-19-0349</t>
  </si>
  <si>
    <t>FA-DIM-19-0350</t>
  </si>
  <si>
    <t>FA-DIM-19-0351</t>
  </si>
  <si>
    <t>FA-DIM-19-0352</t>
  </si>
  <si>
    <t>FA-DIM-19-0353</t>
  </si>
  <si>
    <t>FA-DIM-19-0354</t>
  </si>
  <si>
    <t>FA-DIM-19-0355</t>
  </si>
  <si>
    <t>FA-DIM-19-0356</t>
  </si>
  <si>
    <t>FA-DIM-19-0357</t>
  </si>
  <si>
    <t>FA-DIM-19-0358</t>
  </si>
  <si>
    <t>FA-DIM-19-0359</t>
  </si>
  <si>
    <t>FA-DIM-19-0360</t>
  </si>
  <si>
    <t>FA-DIM-19-0361</t>
  </si>
  <si>
    <t>FA-DIM-19-0362</t>
  </si>
  <si>
    <t>FA-DIM-19-0363</t>
  </si>
  <si>
    <t>FA-DIM-19-0364</t>
  </si>
  <si>
    <t>FA-DIM-19-0365</t>
  </si>
  <si>
    <t>FA-DIM-19-0366</t>
  </si>
  <si>
    <t>FA-DIM-19-0367</t>
  </si>
  <si>
    <t>FA-DIM-19-0368</t>
  </si>
  <si>
    <t>FA-DIM-19-0369</t>
  </si>
  <si>
    <t>FA-DIM-19-0370</t>
  </si>
  <si>
    <t>FA-DIM-19-0371</t>
  </si>
  <si>
    <t>FA-DIM-19-0372</t>
  </si>
  <si>
    <t>FA-DIM-19-0373</t>
  </si>
  <si>
    <t>FA-DIM-19-0374</t>
  </si>
  <si>
    <t>FA-DIM-19-0375</t>
  </si>
  <si>
    <t>FA-DIM-19-0376</t>
  </si>
  <si>
    <t>FA-DIM-19-0377</t>
  </si>
  <si>
    <t>FA-DIM-19-0378</t>
  </si>
  <si>
    <t>FA-DIM-19-0379</t>
  </si>
  <si>
    <t>FA-DIM-19-0380</t>
  </si>
  <si>
    <t>FA-DIM-19-0381</t>
  </si>
  <si>
    <t>FA-DIM-19-0382</t>
  </si>
  <si>
    <t>FA-DIM-19-0383</t>
  </si>
  <si>
    <t>FA-DIM-19-0384</t>
  </si>
  <si>
    <t>FA-DIM-19-0385</t>
  </si>
  <si>
    <t>FA-DIM-19-0386</t>
  </si>
  <si>
    <t>FA-DIM-19-0387</t>
  </si>
  <si>
    <t>FA-DIM-19-0388</t>
  </si>
  <si>
    <t>FA-DIM-19-0389</t>
  </si>
  <si>
    <t>FA-DIM-19-0390</t>
  </si>
  <si>
    <t>FA-DIM-19-0391</t>
  </si>
  <si>
    <t>FA-DIM-19-0392</t>
  </si>
  <si>
    <t>FA-DIM-19-0393</t>
  </si>
  <si>
    <t>FA-DIM-19-0394</t>
  </si>
  <si>
    <t>FA-DIM-19-0395</t>
  </si>
  <si>
    <t>FA-DIM-19-0396</t>
  </si>
  <si>
    <t>FA-DIM-19-0397</t>
  </si>
  <si>
    <t>FA-DIM-19-0398</t>
  </si>
  <si>
    <t>FA-DIM-19-0399</t>
  </si>
  <si>
    <t>FA-DIM-19-0400</t>
  </si>
  <si>
    <t>FA-DIM-19-0401</t>
  </si>
  <si>
    <t>FA-DIM-19-0402</t>
  </si>
  <si>
    <t>FA-DIM-19-0403</t>
  </si>
  <si>
    <t>FA-DIM-19-0404</t>
  </si>
  <si>
    <t>BC-DIM-19-001</t>
  </si>
  <si>
    <t>Registre commandes 2019 ST</t>
  </si>
  <si>
    <t>BC-DIM-19-002</t>
  </si>
  <si>
    <t>BC-DIM-19-003</t>
  </si>
  <si>
    <t>BC-DIM-19-004</t>
  </si>
  <si>
    <t>BC-DIM-19-005</t>
  </si>
  <si>
    <t>BC-DIM-19-006</t>
  </si>
  <si>
    <t>BC-DIM-19-007</t>
  </si>
  <si>
    <t>BC-DIM-19-008</t>
  </si>
  <si>
    <t>BC-DIM-19-009</t>
  </si>
  <si>
    <t>BC-DIM-19-010</t>
  </si>
  <si>
    <t>BC-DIM-19-011</t>
  </si>
  <si>
    <t>BC-DIM-19-012</t>
  </si>
  <si>
    <t>BC-DIM-19-013</t>
  </si>
  <si>
    <t>BC-DIM-19-014</t>
  </si>
  <si>
    <t>BC-DIM-19-015</t>
  </si>
  <si>
    <t>BC-DIM-19-016</t>
  </si>
  <si>
    <t>BC-DIM-19-017</t>
  </si>
  <si>
    <t>BC-DIM-19-018</t>
  </si>
  <si>
    <t>BC-DIM-19-019</t>
  </si>
  <si>
    <t>BC-DIM-19-020</t>
  </si>
  <si>
    <t>BC-DIM-19-021</t>
  </si>
  <si>
    <t>BC-DIM-19-022</t>
  </si>
  <si>
    <t>BC-DIM-19-023</t>
  </si>
  <si>
    <t>BC-DIM-19-024</t>
  </si>
  <si>
    <t>BC-DIM-19-025</t>
  </si>
  <si>
    <t>BC-DIM-19-026</t>
  </si>
  <si>
    <t>BC-DIM-19-027</t>
  </si>
  <si>
    <t>BC-DIM-19-028</t>
  </si>
  <si>
    <t>BC-DIM-19-029</t>
  </si>
  <si>
    <t>BC-DIM-19-030</t>
  </si>
  <si>
    <t>BC-DIM-19-031</t>
  </si>
  <si>
    <t>BC-DIM-19-032</t>
  </si>
  <si>
    <t>BC-DIM-19-033</t>
  </si>
  <si>
    <t>BC-DIM-19-034</t>
  </si>
  <si>
    <t>BC-DIM-19-035</t>
  </si>
  <si>
    <t>BC-DIM-19-036</t>
  </si>
  <si>
    <t>BC-DIM-19-037</t>
  </si>
  <si>
    <t>BC-DIM-19-038</t>
  </si>
  <si>
    <t>BC-DIM-19-039</t>
  </si>
  <si>
    <t>BC-DIM-19-040</t>
  </si>
  <si>
    <t>BC-DIM-19-041</t>
  </si>
  <si>
    <t>BC-DIM-19-042</t>
  </si>
  <si>
    <t>BC-DIM-19-043</t>
  </si>
  <si>
    <t>BC-DIM-19-044</t>
  </si>
  <si>
    <t>BC-DIM-19-045</t>
  </si>
  <si>
    <t>BC-DIM-19-046</t>
  </si>
  <si>
    <t>BC-DIM-19-047</t>
  </si>
  <si>
    <t>BC-DIM-19-048</t>
  </si>
  <si>
    <t>BC-DIM-19-049</t>
  </si>
  <si>
    <t>BC-DIM-19-050</t>
  </si>
  <si>
    <t>BC-DIM-19-051</t>
  </si>
  <si>
    <t>BC-DIM-19-052</t>
  </si>
  <si>
    <t>BC-DIM-19-053</t>
  </si>
  <si>
    <t>BC-DIM-19-054</t>
  </si>
  <si>
    <t>BC-DIM-19-055</t>
  </si>
  <si>
    <t>BC-DIM-19-056</t>
  </si>
  <si>
    <t>BC-DIM-19-057</t>
  </si>
  <si>
    <t>BC-DIM-19-058</t>
  </si>
  <si>
    <t>BC-DIM-19-059</t>
  </si>
  <si>
    <t>BC-DIM-19-060</t>
  </si>
  <si>
    <t>BC-DIM-19-061</t>
  </si>
  <si>
    <t>BC-DIM-19-062</t>
  </si>
  <si>
    <t>BC-DIM-19-063</t>
  </si>
  <si>
    <t>BC-DIM-19-064</t>
  </si>
  <si>
    <t>BC-DIM-19-065</t>
  </si>
  <si>
    <t>BC-DIM-19-066</t>
  </si>
  <si>
    <t>BC-DIM-19-067</t>
  </si>
  <si>
    <t>BC-DIM-19-068</t>
  </si>
  <si>
    <t>BC-DIM-19-069</t>
  </si>
  <si>
    <t>BC-DIM-19-070</t>
  </si>
  <si>
    <t>BC-DIM-19-071</t>
  </si>
  <si>
    <t>BC-DIM-19-072</t>
  </si>
  <si>
    <t>BC-DIM-19-073</t>
  </si>
  <si>
    <t>BC-DIM-19-074</t>
  </si>
  <si>
    <t>BC-DIM-19-075</t>
  </si>
  <si>
    <t>BC-DIM-19-076</t>
  </si>
  <si>
    <t>BC-DIM-19-077</t>
  </si>
  <si>
    <t>BC-DIM-19-078</t>
  </si>
  <si>
    <t>BC-DIM-19-079</t>
  </si>
  <si>
    <t>BC-DIM-19-080</t>
  </si>
  <si>
    <t>BC-DIM-19-081</t>
  </si>
  <si>
    <t>BC-DIM-19-082</t>
  </si>
  <si>
    <t>BC-DIM-19-083</t>
  </si>
  <si>
    <t>BC-DIM-19-084</t>
  </si>
  <si>
    <t>BC-DIM-19-085</t>
  </si>
  <si>
    <t>BC-DIM-19-086</t>
  </si>
  <si>
    <t>BC-DIM-19-087</t>
  </si>
  <si>
    <t>BC-DIM-19-088</t>
  </si>
  <si>
    <t>BC-DIM-19-089</t>
  </si>
  <si>
    <t>BC-DIM-19-090</t>
  </si>
  <si>
    <t>BC-DIM-19-091</t>
  </si>
  <si>
    <t>BC-DIM-19-092</t>
  </si>
  <si>
    <t>BC-DIM-19-093</t>
  </si>
  <si>
    <t>BC-DIM-19-094</t>
  </si>
  <si>
    <t>BC-DIM-19-095</t>
  </si>
  <si>
    <t>BC-DIM-19-096</t>
  </si>
  <si>
    <t>BC-DIM-19-097</t>
  </si>
  <si>
    <t>BC-DIM-19-098</t>
  </si>
  <si>
    <t>BC-DIM-19-099</t>
  </si>
  <si>
    <t>BC-DIM-19-100</t>
  </si>
  <si>
    <t>BC-DIM-19-101</t>
  </si>
  <si>
    <t>BC-DIM-19-102</t>
  </si>
  <si>
    <t>BC-DIM-19-103</t>
  </si>
  <si>
    <t>BC-DIM-19-104</t>
  </si>
  <si>
    <t>BC-DIM-19-105</t>
  </si>
  <si>
    <t>BC-DIM-19-106</t>
  </si>
  <si>
    <t>BC-DIM-19-107</t>
  </si>
  <si>
    <t>BC-DIM-19-108</t>
  </si>
  <si>
    <t>BC-DIM-19-109</t>
  </si>
  <si>
    <t>BC-DIM-19-110</t>
  </si>
  <si>
    <t>BC-DIM-19-111</t>
  </si>
  <si>
    <t>BC-DIM-19-112</t>
  </si>
  <si>
    <t>BC-DIM-19-113</t>
  </si>
  <si>
    <t>BC-DIM-19-114</t>
  </si>
  <si>
    <t>BC-DIM-19-115</t>
  </si>
  <si>
    <t>BC-DIM-19-116</t>
  </si>
  <si>
    <t>BC-DIM-19-117</t>
  </si>
  <si>
    <t>BC-DIM-19-118</t>
  </si>
  <si>
    <t>AO-DIM-19-001</t>
  </si>
  <si>
    <t>Registre Appel d'offres 2019</t>
  </si>
  <si>
    <t>AO-DIM-19-002</t>
  </si>
  <si>
    <t>AO-DIM-19-003</t>
  </si>
  <si>
    <t>AO-DIM-19-004</t>
  </si>
  <si>
    <t>AO-DIM-19-005</t>
  </si>
  <si>
    <t>AO-DIM-19-006</t>
  </si>
  <si>
    <t>AO-DIM-19-007</t>
  </si>
  <si>
    <t>AO-DIM-19-008</t>
  </si>
  <si>
    <t>AO-DIM-19-009</t>
  </si>
  <si>
    <t>AO-DIM-19-010</t>
  </si>
  <si>
    <t>AO-DIM-19-011</t>
  </si>
  <si>
    <t>AO-DIM-19-012</t>
  </si>
  <si>
    <t>AO-DIM-19-013</t>
  </si>
  <si>
    <t>AO-DIM-19-014</t>
  </si>
  <si>
    <t>AO-DIM-19-015</t>
  </si>
  <si>
    <t>AO-DIM-19-016</t>
  </si>
  <si>
    <t>AO-DIM-19-017</t>
  </si>
  <si>
    <t>AO-DIM-19-018</t>
  </si>
  <si>
    <t>AO-DIM-19-019</t>
  </si>
  <si>
    <t>AO-DIM-19-020</t>
  </si>
  <si>
    <t>AO-DIM-19-021</t>
  </si>
  <si>
    <t>AO-DIM-19-022</t>
  </si>
  <si>
    <t>AO-DIM-19-023</t>
  </si>
  <si>
    <t>AO-DIM-19-024</t>
  </si>
  <si>
    <t>AO-DIM-19-025</t>
  </si>
  <si>
    <t>AO-DIM-19-026</t>
  </si>
  <si>
    <t>AO-DIM-19-027</t>
  </si>
  <si>
    <t>AO-DIM-19-028</t>
  </si>
  <si>
    <t>AO-DIM-19-029</t>
  </si>
  <si>
    <t>AO-DIM-19-030</t>
  </si>
  <si>
    <t>AO-DIM-19-031</t>
  </si>
  <si>
    <t>AO-DIM-19-032</t>
  </si>
  <si>
    <t>AO-DIM-19-033</t>
  </si>
  <si>
    <t>AO-DIM-19-034</t>
  </si>
  <si>
    <t>AO-DIM-19-035</t>
  </si>
  <si>
    <t>AO-DIM-19-036</t>
  </si>
  <si>
    <t>AO-DIM-19-037</t>
  </si>
  <si>
    <t>AO-DIM-19-038</t>
  </si>
  <si>
    <t>AO-DIM-19-039</t>
  </si>
  <si>
    <t>AO-DIM-19-040</t>
  </si>
  <si>
    <t>AO-DIM-19-041</t>
  </si>
  <si>
    <t>AO-DIM-19-042</t>
  </si>
  <si>
    <t>AO-DIM-19-043</t>
  </si>
  <si>
    <t>AO-DIM-19-044</t>
  </si>
  <si>
    <t>AO-DIM-19-045</t>
  </si>
  <si>
    <t>AO-DIM-19-046</t>
  </si>
  <si>
    <t>AO-DIM-19-047</t>
  </si>
  <si>
    <t>AO-DIM-19-048</t>
  </si>
  <si>
    <t>AO-DIM-19-049</t>
  </si>
  <si>
    <t>AO-DIM-19-050</t>
  </si>
  <si>
    <t>AO-DIM-19-051</t>
  </si>
  <si>
    <t>AO-DIM-19-052</t>
  </si>
  <si>
    <t>AO-DIM-19-053</t>
  </si>
  <si>
    <t>AO-DIM-19-054</t>
  </si>
  <si>
    <t>AO-DIM-19-055</t>
  </si>
  <si>
    <t>AO-DIM-19-056</t>
  </si>
  <si>
    <t>AO-DIM-19-057</t>
  </si>
  <si>
    <t>AO-DIM-19-058</t>
  </si>
  <si>
    <t>AO-DIM-19-059</t>
  </si>
  <si>
    <t>AO-DIM-19-060</t>
  </si>
  <si>
    <t>AO-DIM-19-061</t>
  </si>
  <si>
    <t>AO-DIM-19-062</t>
  </si>
  <si>
    <t>AO-DIM-19-063</t>
  </si>
  <si>
    <t>AO-DIM-19-064</t>
  </si>
  <si>
    <t>AO-DIM-19-065</t>
  </si>
  <si>
    <t>AO-DIM-19-066</t>
  </si>
  <si>
    <t>AO-DIM-19-067</t>
  </si>
  <si>
    <t>AO-DIM-19-068</t>
  </si>
  <si>
    <t>AO-DIM-19-069</t>
  </si>
  <si>
    <t>AO-DIM-19-070</t>
  </si>
  <si>
    <t>AO-DIM-19-071</t>
  </si>
  <si>
    <t>AO-DIM-19-072</t>
  </si>
  <si>
    <t>AO-DIM-19-073</t>
  </si>
  <si>
    <t>AO-DIM-19-074</t>
  </si>
  <si>
    <t>AO-DIM-19-075</t>
  </si>
  <si>
    <t>AO-DIM-19-076</t>
  </si>
  <si>
    <t>AO-DIM-19-077</t>
  </si>
  <si>
    <t>AO-DIM-19-078</t>
  </si>
  <si>
    <t>AO-DIM-19-079</t>
  </si>
  <si>
    <t>AO-DIM-19-080</t>
  </si>
  <si>
    <t>AO-DIM-19-081</t>
  </si>
  <si>
    <t>AO-DIM-19-082</t>
  </si>
  <si>
    <t>AO-DIM-19-083</t>
  </si>
  <si>
    <t>AO-DIM-19-084</t>
  </si>
  <si>
    <t>AO-DIM-19-085</t>
  </si>
  <si>
    <t>AO-DIM-19-086</t>
  </si>
  <si>
    <t>AO-DIM-19-087</t>
  </si>
  <si>
    <t>AO-DIM-19-088</t>
  </si>
  <si>
    <t>AO-DIM-19-089</t>
  </si>
  <si>
    <t>AO-DIM-19-090</t>
  </si>
  <si>
    <t>AO-DIM-19-091</t>
  </si>
  <si>
    <t>AO-DIM-19-092</t>
  </si>
  <si>
    <t>AO-DIM-19-093</t>
  </si>
  <si>
    <t>AO-DIM-19-094</t>
  </si>
  <si>
    <t>AO-DIM-19-095</t>
  </si>
  <si>
    <t>AO-DIM-19-096</t>
  </si>
  <si>
    <t>AO-DIM-19-097</t>
  </si>
  <si>
    <t>AO-DIM-19-098</t>
  </si>
  <si>
    <t>AO-DIM-19-099</t>
  </si>
  <si>
    <t>AO-DIM-19-100</t>
  </si>
  <si>
    <t>AO-DIM-19-101</t>
  </si>
  <si>
    <t>AO-DIM-19-102</t>
  </si>
  <si>
    <t>AO-DIM-19-103</t>
  </si>
  <si>
    <t>AO-DIM-19-104</t>
  </si>
  <si>
    <t>AO-DIM-19-105</t>
  </si>
  <si>
    <t>AO-DIM-19-106</t>
  </si>
  <si>
    <t>AO-DIM-19-107</t>
  </si>
  <si>
    <t>AO-DIM-19-108</t>
  </si>
  <si>
    <t>AO-DIM-19-109</t>
  </si>
  <si>
    <t>AO-DIM-19-110</t>
  </si>
  <si>
    <t>AO-DIM-19-111</t>
  </si>
  <si>
    <t>AO-DIM-19-112</t>
  </si>
  <si>
    <t>AO-DIM-19-113</t>
  </si>
  <si>
    <t>AO-DIM-19-114</t>
  </si>
  <si>
    <t>AO-DIM-19-115</t>
  </si>
  <si>
    <t>AO-DIM-19-116</t>
  </si>
  <si>
    <t>AO-DIM-19-117</t>
  </si>
  <si>
    <t>AO-DIM-19-118</t>
  </si>
  <si>
    <t>AO-DIM-19-119</t>
  </si>
  <si>
    <t>AO-DIM-19-120</t>
  </si>
  <si>
    <t>AO-DIM-19-121</t>
  </si>
  <si>
    <t>AO-DIM-19-122</t>
  </si>
  <si>
    <t>AO-DIM-19-123</t>
  </si>
  <si>
    <t>AO-DIM-19-124</t>
  </si>
  <si>
    <t>AO-DIM-19-125</t>
  </si>
  <si>
    <t>AO-DIM-19-126</t>
  </si>
  <si>
    <t>AO-DIM-19-127</t>
  </si>
  <si>
    <t>AO-DIM-19-128</t>
  </si>
  <si>
    <t>AO-DIM-19-129</t>
  </si>
  <si>
    <t>AO-DIM-19-130</t>
  </si>
  <si>
    <t>AO-DIM-19-131</t>
  </si>
  <si>
    <t>AO-DIM-19-132</t>
  </si>
  <si>
    <t>AO-DIM-19-133</t>
  </si>
  <si>
    <t>AO-DIM-19-134</t>
  </si>
  <si>
    <t>AO-DIM-19-135</t>
  </si>
  <si>
    <t>AO-DIM-19-136</t>
  </si>
  <si>
    <t>AO-DIM-19-137</t>
  </si>
  <si>
    <t>AO-DIM-19-138</t>
  </si>
  <si>
    <t>AO-DIM-19-139</t>
  </si>
  <si>
    <t>AO-DIM-19-140</t>
  </si>
  <si>
    <t>AO-DIM-19-141</t>
  </si>
  <si>
    <t>AO-DIM-19-142</t>
  </si>
  <si>
    <t>AO-DIM-19-143</t>
  </si>
  <si>
    <t>AO-DIM-19-144</t>
  </si>
  <si>
    <t>AO-DIM-19-145</t>
  </si>
  <si>
    <t>AO-DIM-19-146</t>
  </si>
  <si>
    <t>GA Promotion</t>
  </si>
  <si>
    <t>16 av Georges V</t>
  </si>
  <si>
    <t>Lingettes plomb</t>
  </si>
  <si>
    <t>Paris</t>
  </si>
  <si>
    <t>SNCF</t>
  </si>
  <si>
    <t>Gare d'Austerlitz</t>
  </si>
  <si>
    <t>Hamadache</t>
  </si>
  <si>
    <t>Corby</t>
  </si>
  <si>
    <t>Paris 05</t>
  </si>
  <si>
    <t>Paris 06</t>
  </si>
  <si>
    <t>M. Bras Tél. 01.49.76.38.38 
contact@nuance3.fr</t>
  </si>
  <si>
    <t>Datp</t>
  </si>
  <si>
    <t xml:space="preserve">3 Rue de Grenelle </t>
  </si>
  <si>
    <t>12 Bd de l'Hopital</t>
  </si>
  <si>
    <t>43/-12</t>
  </si>
  <si>
    <t>façade</t>
  </si>
  <si>
    <t>43/-11</t>
  </si>
  <si>
    <t>Mme HAMADACHE</t>
  </si>
  <si>
    <t>67-4</t>
  </si>
  <si>
    <t>Bureaux</t>
  </si>
  <si>
    <t>Gagné</t>
  </si>
  <si>
    <t>CNRS</t>
  </si>
  <si>
    <t>BAT 7 -AD</t>
  </si>
  <si>
    <t>DAT</t>
  </si>
  <si>
    <t>Gif/Yvettes</t>
  </si>
  <si>
    <t>DYANI Najib</t>
  </si>
  <si>
    <t>complément mission</t>
  </si>
  <si>
    <t>5/-27</t>
  </si>
  <si>
    <t>CSB</t>
  </si>
  <si>
    <t>Van cleef arpel</t>
  </si>
  <si>
    <t>DATP</t>
  </si>
  <si>
    <t>Paris 02</t>
  </si>
  <si>
    <t>70*60</t>
  </si>
  <si>
    <t>17/-48</t>
  </si>
  <si>
    <t>HBH</t>
  </si>
  <si>
    <t>Chatenay Malabry</t>
  </si>
  <si>
    <t>Vaux Germains</t>
  </si>
  <si>
    <t>P.Vircondelet</t>
  </si>
  <si>
    <t>OS-</t>
  </si>
  <si>
    <t>Local EDF</t>
  </si>
  <si>
    <t>DA TVX</t>
  </si>
  <si>
    <t>Vitry sur seine</t>
  </si>
  <si>
    <t>Corvisier</t>
  </si>
  <si>
    <t>NC</t>
  </si>
  <si>
    <t>1*65</t>
  </si>
  <si>
    <t>Nuance 3</t>
  </si>
  <si>
    <t>3 rue de Grenelle</t>
  </si>
  <si>
    <t>Bât 7</t>
  </si>
  <si>
    <t>Gif sur Yvette</t>
  </si>
  <si>
    <t>Marchesseau</t>
  </si>
  <si>
    <t>2085L034868</t>
  </si>
  <si>
    <t>Bras</t>
  </si>
  <si>
    <t>Facturé</t>
  </si>
  <si>
    <t xml:space="preserve">Sercap </t>
  </si>
  <si>
    <t>DADP</t>
  </si>
  <si>
    <t>Chatillon</t>
  </si>
  <si>
    <t>w.bentot</t>
  </si>
  <si>
    <t>Dv-dim-18-0171-1</t>
  </si>
  <si>
    <t>DAD</t>
  </si>
  <si>
    <t>Dv-dim-18-0172</t>
  </si>
  <si>
    <t>Cergy</t>
  </si>
  <si>
    <t>Oréades</t>
  </si>
  <si>
    <t>DV-DIM-18-0158</t>
  </si>
  <si>
    <t>ADN</t>
  </si>
  <si>
    <t>2 rue de verdun</t>
  </si>
  <si>
    <t>Fontenay aux roses</t>
  </si>
  <si>
    <t>NSC</t>
  </si>
  <si>
    <t>DV-DIM-18-0155</t>
  </si>
  <si>
    <t>6/*65</t>
  </si>
  <si>
    <t>12 bd de l'Hopital</t>
  </si>
  <si>
    <t>DAP TVX</t>
  </si>
  <si>
    <t>BRAS</t>
  </si>
  <si>
    <t>43-11-1</t>
  </si>
  <si>
    <t>65*3</t>
  </si>
  <si>
    <t xml:space="preserve">CSE </t>
  </si>
  <si>
    <t>enrobés</t>
  </si>
  <si>
    <t>W. Bentot</t>
  </si>
  <si>
    <t>17-/49</t>
  </si>
  <si>
    <t>100*2</t>
  </si>
  <si>
    <t>Balcon vert (gare de l'est)</t>
  </si>
  <si>
    <t>En cours</t>
  </si>
  <si>
    <t>M. BINDA</t>
  </si>
  <si>
    <t>Sartrouville</t>
  </si>
  <si>
    <t xml:space="preserve">Elec </t>
  </si>
  <si>
    <t>Raise</t>
  </si>
  <si>
    <t>Beaugrenelle</t>
  </si>
  <si>
    <t>prélèvements</t>
  </si>
  <si>
    <t>payé</t>
  </si>
  <si>
    <t>Vermeersch</t>
  </si>
  <si>
    <t>bentot</t>
  </si>
  <si>
    <t>Perdu</t>
  </si>
  <si>
    <t>43-11-3</t>
  </si>
  <si>
    <t>65*1</t>
  </si>
  <si>
    <t>CIA</t>
  </si>
  <si>
    <t xml:space="preserve">Rue Hotel de ville </t>
  </si>
  <si>
    <t>MAJ DTA</t>
  </si>
  <si>
    <t>sequeira</t>
  </si>
  <si>
    <t>58*</t>
  </si>
  <si>
    <t>9/-24</t>
  </si>
  <si>
    <t>DPE + ERP</t>
  </si>
  <si>
    <t>Balcon vert</t>
  </si>
  <si>
    <t>di2€</t>
  </si>
  <si>
    <t>DATPT</t>
  </si>
  <si>
    <t>GAD</t>
  </si>
  <si>
    <t>Austerlitz</t>
  </si>
  <si>
    <t>Th Breton</t>
  </si>
  <si>
    <t>Jm. Butti</t>
  </si>
  <si>
    <t>5 rue françois lepine</t>
  </si>
  <si>
    <t>Daniel Martin</t>
  </si>
  <si>
    <t xml:space="preserve">4 rue du printemps </t>
  </si>
  <si>
    <t>43-13</t>
  </si>
  <si>
    <t>43-14</t>
  </si>
  <si>
    <t>65*</t>
  </si>
  <si>
    <t>Paris 18</t>
  </si>
  <si>
    <t>Paris 17</t>
  </si>
  <si>
    <t>façades</t>
  </si>
  <si>
    <t>Osica</t>
  </si>
  <si>
    <t xml:space="preserve">2/4 rue d’Athènes, 2 rue du Luxembourg et 2 rue de Copenhagues </t>
  </si>
  <si>
    <t>E. Auger</t>
  </si>
  <si>
    <t>PC</t>
  </si>
  <si>
    <t>15-/30</t>
  </si>
  <si>
    <t>1 place Louis Durey ; 1 place Georges Auric</t>
  </si>
  <si>
    <t>Elancourt</t>
  </si>
  <si>
    <t>Montigny</t>
  </si>
  <si>
    <t>SNC Balcon Vert</t>
  </si>
  <si>
    <t>Daumesnil centre technique</t>
  </si>
  <si>
    <t>enrobés+Hap</t>
  </si>
  <si>
    <t>paris</t>
  </si>
  <si>
    <t>Papelard- Branco</t>
  </si>
  <si>
    <t>2/-113</t>
  </si>
  <si>
    <t>mesures d'empoussièrement</t>
  </si>
  <si>
    <t>Vernet</t>
  </si>
  <si>
    <t>2-/131</t>
  </si>
  <si>
    <t>9 *235</t>
  </si>
  <si>
    <t xml:space="preserve">85 boulevard Vincent Auriol </t>
  </si>
  <si>
    <t>Derrien</t>
  </si>
  <si>
    <t xml:space="preserve"> 20/25m²</t>
  </si>
  <si>
    <t>2-133</t>
  </si>
  <si>
    <t>DV-DIM 19-0009</t>
  </si>
  <si>
    <t>18 rue de l'Hotel de ville</t>
  </si>
  <si>
    <t>9-/26</t>
  </si>
  <si>
    <t>Epahd</t>
  </si>
  <si>
    <t>mesure de fin de chantier</t>
  </si>
  <si>
    <t>Villejuif</t>
  </si>
  <si>
    <t>Hudzik</t>
  </si>
  <si>
    <t>Phase 5 (25%)</t>
  </si>
  <si>
    <t>18 rue de l'hotel de Ville</t>
  </si>
  <si>
    <t>DPE et ERP</t>
  </si>
  <si>
    <t>Sequeira</t>
  </si>
  <si>
    <t>Cabinet SOGI</t>
  </si>
  <si>
    <t>112 Chappelle</t>
  </si>
  <si>
    <t>DEGAS</t>
  </si>
  <si>
    <t>780 / OS 27057</t>
  </si>
  <si>
    <t>CSE</t>
  </si>
  <si>
    <t>Ecole Chasles Le roux</t>
  </si>
  <si>
    <t>DP TVX</t>
  </si>
  <si>
    <t>Boisemont</t>
  </si>
  <si>
    <t>Bentot</t>
  </si>
  <si>
    <t>2-134</t>
  </si>
  <si>
    <t>Ionis group</t>
  </si>
  <si>
    <t>15 rue Roquelaine</t>
  </si>
  <si>
    <t>DAPT TVX</t>
  </si>
  <si>
    <t>Toulouse</t>
  </si>
  <si>
    <t>Tragin</t>
  </si>
  <si>
    <t>18-0252-1</t>
  </si>
  <si>
    <t>Ville de houilles</t>
  </si>
  <si>
    <t>ARECH</t>
  </si>
  <si>
    <t>DAPT Démol</t>
  </si>
  <si>
    <t>Houilles</t>
  </si>
  <si>
    <t>Binda</t>
  </si>
  <si>
    <t>49-7</t>
  </si>
  <si>
    <t>18 hotel de ville</t>
  </si>
  <si>
    <t>19-0021</t>
  </si>
  <si>
    <t>14 Printemps</t>
  </si>
  <si>
    <t>19-0014</t>
  </si>
  <si>
    <t>Plvts d'eau Amiante et plomb</t>
  </si>
  <si>
    <t>2-135</t>
  </si>
  <si>
    <t>BBK</t>
  </si>
  <si>
    <t>BINDA</t>
  </si>
  <si>
    <t>18-0143-2</t>
  </si>
  <si>
    <t>Citya (Nuances3)</t>
  </si>
  <si>
    <t>60 rue de Montreuil</t>
  </si>
  <si>
    <t>versailles</t>
  </si>
  <si>
    <t>Mr Kavesan</t>
  </si>
  <si>
    <t>1</t>
  </si>
  <si>
    <t>6 ateliers</t>
  </si>
  <si>
    <t>9-/27</t>
  </si>
  <si>
    <t>55*60</t>
  </si>
  <si>
    <t>EDF</t>
  </si>
  <si>
    <t>Centre technique</t>
  </si>
  <si>
    <t>Chatou</t>
  </si>
  <si>
    <t>Caisey</t>
  </si>
  <si>
    <t>toiture</t>
  </si>
  <si>
    <t>CNRS/LIMSI</t>
  </si>
  <si>
    <t>Rostaing</t>
  </si>
  <si>
    <t>Orsay</t>
  </si>
  <si>
    <t>Campus universitaire-Rue John Von Neumann
91 405 ORSAY</t>
  </si>
  <si>
    <t>joint dilatation</t>
  </si>
  <si>
    <t>Paris 11</t>
  </si>
  <si>
    <t>M Contreras</t>
  </si>
  <si>
    <t>FCID</t>
  </si>
  <si>
    <t>3 tours</t>
  </si>
  <si>
    <t>DA Démol</t>
  </si>
  <si>
    <t>St Ouen</t>
  </si>
  <si>
    <t>M. NOTTE</t>
  </si>
  <si>
    <t>3 tours et 2 logts</t>
  </si>
  <si>
    <t>M. Derrien</t>
  </si>
  <si>
    <t>M. HERMANT</t>
  </si>
  <si>
    <t xml:space="preserve">Mercure 3 </t>
  </si>
  <si>
    <t>S. Gardy</t>
  </si>
  <si>
    <t>65*23+3*90</t>
  </si>
  <si>
    <t>68/-1-2</t>
  </si>
  <si>
    <t>48493-0000016326</t>
  </si>
  <si>
    <t>57/-3</t>
  </si>
  <si>
    <t>5/-29</t>
  </si>
  <si>
    <t>58*1</t>
  </si>
  <si>
    <t>Annulé</t>
  </si>
  <si>
    <t>Rue d'athénes</t>
  </si>
  <si>
    <t>ELANCOURT</t>
  </si>
  <si>
    <t>Auger</t>
  </si>
  <si>
    <t>Place louis durey</t>
  </si>
  <si>
    <t>Montigny le bretonneux</t>
  </si>
  <si>
    <t>RAISE</t>
  </si>
  <si>
    <t>Mercure 3</t>
  </si>
  <si>
    <t>Paris 15</t>
  </si>
  <si>
    <t>Gardy-Bentot</t>
  </si>
  <si>
    <t>Dv -dim 19-0033</t>
  </si>
  <si>
    <t>2085L035035</t>
  </si>
  <si>
    <t xml:space="preserve">  1 plvts amiante en urgence</t>
  </si>
  <si>
    <t>1*95</t>
  </si>
  <si>
    <t>mesures d'empoussièrement et 10 plvts amiante - 6 lingettes</t>
  </si>
  <si>
    <t>2-/133</t>
  </si>
  <si>
    <t>2/-133</t>
  </si>
  <si>
    <t>Perfotec</t>
  </si>
  <si>
    <t>39 rue trudaine</t>
  </si>
  <si>
    <t>Nicolas ADN</t>
  </si>
  <si>
    <t>72/-1</t>
  </si>
  <si>
    <t>65*35</t>
  </si>
  <si>
    <t>Phase 6 (25%)</t>
  </si>
  <si>
    <t>CASVP</t>
  </si>
  <si>
    <t>78 rue Bonaparte</t>
  </si>
  <si>
    <t>Me Benbunan</t>
  </si>
  <si>
    <t>73/-1</t>
  </si>
  <si>
    <t>25 bis rue de la rochefoucault</t>
  </si>
  <si>
    <t>Me Didelot</t>
  </si>
  <si>
    <t>73/-2</t>
  </si>
  <si>
    <t>Paris 9</t>
  </si>
  <si>
    <t>Dv-Dim-19-0035</t>
  </si>
  <si>
    <t>Bibliothèque FM</t>
  </si>
  <si>
    <t>DAPT Travaux</t>
  </si>
  <si>
    <t>M. Daniel Simon</t>
  </si>
  <si>
    <t>2-/136</t>
  </si>
  <si>
    <t>DV-DIM-19-0023-1</t>
  </si>
  <si>
    <t>5 rue de la Marne ARHEC</t>
  </si>
  <si>
    <t>58*10</t>
  </si>
  <si>
    <t>Mairie de houilles R-1</t>
  </si>
  <si>
    <t>DV-DIM-19-0022A</t>
  </si>
  <si>
    <t>Bat 27</t>
  </si>
  <si>
    <t>prélévement express</t>
  </si>
  <si>
    <t>Duarte</t>
  </si>
  <si>
    <t xml:space="preserve">Mairie de houilles </t>
  </si>
  <si>
    <t>Diag elec</t>
  </si>
  <si>
    <t>5 rue JF Lépine</t>
  </si>
  <si>
    <t>Martins</t>
  </si>
  <si>
    <t>Dv Dim-19-0013</t>
  </si>
  <si>
    <t>64 rue Victor Hugo</t>
  </si>
  <si>
    <t>DAT Vente</t>
  </si>
  <si>
    <t>Mazakian</t>
  </si>
  <si>
    <t>DAP Plvt</t>
  </si>
  <si>
    <t>2085L035056</t>
  </si>
  <si>
    <t>MAZAKIAN</t>
  </si>
  <si>
    <t>59168-0000091709</t>
  </si>
  <si>
    <t>Bat 10</t>
  </si>
  <si>
    <t>5/-30</t>
  </si>
  <si>
    <t>Constructa</t>
  </si>
  <si>
    <t>Mr Lebris (contact Toumanoff)</t>
  </si>
  <si>
    <t>46 rue du Général de lestraint</t>
  </si>
  <si>
    <t>74-1</t>
  </si>
  <si>
    <t>55*15</t>
  </si>
  <si>
    <t>Piscine Cergy</t>
  </si>
  <si>
    <t>Prélèvement en express</t>
  </si>
  <si>
    <t>cergy</t>
  </si>
  <si>
    <t>W Bentot</t>
  </si>
  <si>
    <t>17-36</t>
  </si>
  <si>
    <t>65*30</t>
  </si>
  <si>
    <t>Ben. Fardj Mohamed</t>
  </si>
  <si>
    <t>ABCIS</t>
  </si>
  <si>
    <t>Collége - SEGPA</t>
  </si>
  <si>
    <t>DAAD</t>
  </si>
  <si>
    <t>S.Bone</t>
  </si>
  <si>
    <t>55*380</t>
  </si>
  <si>
    <t>Degas cabinet Valiere cortez</t>
  </si>
  <si>
    <t xml:space="preserve">126 rue Oberkampf </t>
  </si>
  <si>
    <t>DAPT</t>
  </si>
  <si>
    <t>A.Degas</t>
  </si>
  <si>
    <t>Chatou Bat U</t>
  </si>
  <si>
    <t>8610-4320209718</t>
  </si>
  <si>
    <t>34*55</t>
  </si>
  <si>
    <t>Montigny - résidence Epines</t>
  </si>
  <si>
    <t>CluZaz Fabien</t>
  </si>
  <si>
    <t>58*12</t>
  </si>
  <si>
    <t xml:space="preserve">14 av Victoria </t>
  </si>
  <si>
    <t>Paris 01</t>
  </si>
  <si>
    <t>P Descacq</t>
  </si>
  <si>
    <t>Vernouillet</t>
  </si>
  <si>
    <t>lgt</t>
  </si>
  <si>
    <t>3 rue pain</t>
  </si>
  <si>
    <t>Dubois</t>
  </si>
  <si>
    <t>72-3</t>
  </si>
  <si>
    <t>Dv-19-0045</t>
  </si>
  <si>
    <t>Enrobés</t>
  </si>
  <si>
    <t>JP Marchesseau</t>
  </si>
  <si>
    <t>5/-31</t>
  </si>
  <si>
    <t>JM Haerty</t>
  </si>
  <si>
    <t xml:space="preserve">l’EHPAD Harmonie 2, place Charles Louis </t>
  </si>
  <si>
    <t>73-/3</t>
  </si>
  <si>
    <t>50*8</t>
  </si>
  <si>
    <t xml:space="preserve">DAT </t>
  </si>
  <si>
    <t>Son Tran Ha</t>
  </si>
  <si>
    <t>2/-138</t>
  </si>
  <si>
    <t>55*20</t>
  </si>
  <si>
    <t>M. Caisey</t>
  </si>
  <si>
    <t>16 Gambetta</t>
  </si>
  <si>
    <t>Selon DV-DIM-19-0039-1</t>
  </si>
  <si>
    <t>Curie Trouillet</t>
  </si>
  <si>
    <t>17/-33</t>
  </si>
  <si>
    <t>65*7</t>
  </si>
  <si>
    <t>Curie - trouillet</t>
  </si>
  <si>
    <t>Salon DV 19-0053</t>
  </si>
  <si>
    <t>Phase 7 (75%)</t>
  </si>
  <si>
    <t>50*11</t>
  </si>
  <si>
    <t>Salon DV 19-0055</t>
  </si>
  <si>
    <t>30 rue Pierre demour</t>
  </si>
  <si>
    <t>Paris 75017</t>
  </si>
  <si>
    <t>43/-16</t>
  </si>
  <si>
    <t>10 place andré Malraux</t>
  </si>
  <si>
    <t>Raat - Mesures empoussiérement</t>
  </si>
  <si>
    <t>F Coutant</t>
  </si>
  <si>
    <t>48493-0000016675</t>
  </si>
  <si>
    <t>prelevements</t>
  </si>
  <si>
    <t>Didelot</t>
  </si>
  <si>
    <t>50*7</t>
  </si>
  <si>
    <t>73-2</t>
  </si>
  <si>
    <t>Dat</t>
  </si>
  <si>
    <t>S.Gardy</t>
  </si>
  <si>
    <t>68/-5</t>
  </si>
  <si>
    <t>46 rue du Gnal Delestraint</t>
  </si>
  <si>
    <t>Le Bris</t>
  </si>
  <si>
    <t>Os2019/00034</t>
  </si>
  <si>
    <t>5/-28</t>
  </si>
  <si>
    <t>ok</t>
  </si>
  <si>
    <t>Bat 19</t>
  </si>
  <si>
    <t>B Duarte</t>
  </si>
  <si>
    <t>5/-32</t>
  </si>
  <si>
    <t>58*60</t>
  </si>
  <si>
    <t>78 Bonaparte</t>
  </si>
  <si>
    <t>75006 Paris</t>
  </si>
  <si>
    <t>BENBUNAN</t>
  </si>
  <si>
    <t>BC19/C19/008332</t>
  </si>
  <si>
    <t>BC19/C19/009913</t>
  </si>
  <si>
    <t>B. Duarte</t>
  </si>
  <si>
    <t>2085L035099</t>
  </si>
  <si>
    <t xml:space="preserve"> extérieur </t>
  </si>
  <si>
    <t>75009 Paris</t>
  </si>
  <si>
    <t>BC19/C19/008963</t>
  </si>
  <si>
    <t>Résidence Stendhal</t>
  </si>
  <si>
    <t>Me Cabany</t>
  </si>
  <si>
    <t>Trappes 78190</t>
  </si>
  <si>
    <t>Curie (trouillet)</t>
  </si>
  <si>
    <t>Spi Batignolle</t>
  </si>
  <si>
    <t>JM. Butti</t>
  </si>
  <si>
    <t>75/-2</t>
  </si>
  <si>
    <t>4*65</t>
  </si>
  <si>
    <t>Balcon Vert</t>
  </si>
  <si>
    <t>Dv-19-0061</t>
  </si>
  <si>
    <t>Plomb lingettes</t>
  </si>
  <si>
    <t>M. VERNET</t>
  </si>
  <si>
    <t>2-140</t>
  </si>
  <si>
    <t>43/-15</t>
  </si>
  <si>
    <t>Dv-19-0049</t>
  </si>
  <si>
    <t>65*2</t>
  </si>
  <si>
    <t>126 Oberkampf</t>
  </si>
  <si>
    <t>Dv-19-0048</t>
  </si>
  <si>
    <t>2085L035120</t>
  </si>
  <si>
    <t>NUANCE 3</t>
  </si>
  <si>
    <t>30 Demour</t>
  </si>
  <si>
    <t>Dv-19-0056</t>
  </si>
  <si>
    <t>54*90</t>
  </si>
  <si>
    <t>Dv-19-0058</t>
  </si>
  <si>
    <t>Bât 10</t>
  </si>
  <si>
    <t>Colin</t>
  </si>
  <si>
    <t>Domaxis</t>
  </si>
  <si>
    <t>Noisiel</t>
  </si>
  <si>
    <t>DPE</t>
  </si>
  <si>
    <t>Mme ROBERT</t>
  </si>
  <si>
    <t>25-/12</t>
  </si>
  <si>
    <t>68-7</t>
  </si>
  <si>
    <t>74/-2</t>
  </si>
  <si>
    <t>Immo de France</t>
  </si>
  <si>
    <t>DAT/Contôles visuels</t>
  </si>
  <si>
    <t>Contôles visuels/seconde restit</t>
  </si>
  <si>
    <t xml:space="preserve">169/171 rue St Maur </t>
  </si>
  <si>
    <t>CDB (Fred)</t>
  </si>
  <si>
    <t>Cnrs</t>
  </si>
  <si>
    <t xml:space="preserve">Bat 31 </t>
  </si>
  <si>
    <t>Dynani</t>
  </si>
  <si>
    <t>Banque de France</t>
  </si>
  <si>
    <t>DAT - Mesure environnementale.</t>
  </si>
  <si>
    <t>O. Guillemot</t>
  </si>
  <si>
    <t>39, rue Croix des Petits Champs</t>
  </si>
  <si>
    <t>76-/1</t>
  </si>
  <si>
    <t>76/2</t>
  </si>
  <si>
    <t xml:space="preserve">DATP </t>
  </si>
  <si>
    <t>76/3</t>
  </si>
  <si>
    <t>aymeric Guille</t>
  </si>
  <si>
    <t>3*95</t>
  </si>
  <si>
    <t>2*65</t>
  </si>
  <si>
    <t>Curie</t>
  </si>
  <si>
    <t>5/-27-2</t>
  </si>
  <si>
    <t>NEXITY</t>
  </si>
  <si>
    <t>Neuilly</t>
  </si>
  <si>
    <t>DA TVX enrobés</t>
  </si>
  <si>
    <t>Piddar</t>
  </si>
  <si>
    <t>4/12 rue Vincent Van Gogh</t>
  </si>
  <si>
    <t>43-/15</t>
  </si>
  <si>
    <t>302 rue des pyrénées</t>
  </si>
  <si>
    <t>Martin</t>
  </si>
  <si>
    <t>43-17</t>
  </si>
  <si>
    <t>DAT Ascenseurs</t>
  </si>
  <si>
    <t>9/-28</t>
  </si>
  <si>
    <t>Excogim (Degas)</t>
  </si>
  <si>
    <t xml:space="preserve">10 rue charles Nodier </t>
  </si>
  <si>
    <t>Degas</t>
  </si>
  <si>
    <t>50/-13</t>
  </si>
  <si>
    <t>50/-14</t>
  </si>
  <si>
    <t>Arco (Degas)</t>
  </si>
  <si>
    <t>DI2E</t>
  </si>
  <si>
    <t>Payé</t>
  </si>
  <si>
    <t>31/32, quai de Dion Bouton
PUTEAUX (92)</t>
  </si>
  <si>
    <t>A.Abansir</t>
  </si>
  <si>
    <t>Chatillon 92</t>
  </si>
  <si>
    <t>BNF</t>
  </si>
  <si>
    <t>DA Plvt</t>
  </si>
  <si>
    <t>Guille</t>
  </si>
  <si>
    <t>17-/47/-2</t>
  </si>
  <si>
    <t>Maury (Degas)</t>
  </si>
  <si>
    <t>36 saint Honoré</t>
  </si>
  <si>
    <t>50/-15</t>
  </si>
  <si>
    <t>11 rue Guy de la Brosse</t>
  </si>
  <si>
    <t>31/37 bd de Montmorency</t>
  </si>
  <si>
    <t>mesures 2 restitution</t>
  </si>
  <si>
    <t>WB-3,645</t>
  </si>
  <si>
    <t>65*70</t>
  </si>
  <si>
    <t>Gecina</t>
  </si>
  <si>
    <t>78/-1</t>
  </si>
  <si>
    <t>14 Victoria</t>
  </si>
  <si>
    <t>IRIS IMMOBILIER Bolloré</t>
  </si>
  <si>
    <t>OSICA</t>
  </si>
  <si>
    <t>Rue edith Piaf</t>
  </si>
  <si>
    <t>Chevilly La Rue</t>
  </si>
  <si>
    <t>Coutant</t>
  </si>
  <si>
    <t>argenteuil</t>
  </si>
  <si>
    <t>141-145 rue Michel Carré</t>
  </si>
  <si>
    <t>71/-4</t>
  </si>
  <si>
    <t>26 rue ulm</t>
  </si>
  <si>
    <t>17/-15-3</t>
  </si>
  <si>
    <t>Degas (Syndic Baratte et A)</t>
  </si>
  <si>
    <t>74 rue Duhesme</t>
  </si>
  <si>
    <t>A. Degas</t>
  </si>
  <si>
    <t>50/-17</t>
  </si>
  <si>
    <t>20*60</t>
  </si>
  <si>
    <t>2/-129</t>
  </si>
  <si>
    <t>gare d'austerlitz (coque commerce)</t>
  </si>
  <si>
    <t>Djeam Cherazade</t>
  </si>
  <si>
    <t>2/-141</t>
  </si>
  <si>
    <t>79/-1</t>
  </si>
  <si>
    <t>SAVILLS</t>
  </si>
  <si>
    <t>500 m²</t>
  </si>
  <si>
    <t>Mr Laillet</t>
  </si>
  <si>
    <t>4-6 Av Maurane Saulnier</t>
  </si>
  <si>
    <t>25*65</t>
  </si>
  <si>
    <t>90*29</t>
  </si>
  <si>
    <t>dv-dim-19-0064</t>
  </si>
  <si>
    <t xml:space="preserve">5 allée de la Sirène </t>
  </si>
  <si>
    <t>Creteil</t>
  </si>
  <si>
    <t>M. ALAU</t>
  </si>
  <si>
    <t>M. VERMEERSCH</t>
  </si>
  <si>
    <t>Bât 31</t>
  </si>
  <si>
    <t>DA PLVT</t>
  </si>
  <si>
    <t>DIYANI</t>
  </si>
  <si>
    <t>2085L035165</t>
  </si>
  <si>
    <t>Epad villejuiff</t>
  </si>
  <si>
    <t>Villejuiff</t>
  </si>
  <si>
    <t>HUDZIK</t>
  </si>
  <si>
    <t>Phase 8 (100%)</t>
  </si>
  <si>
    <t>Garer d'Austerlitz</t>
  </si>
  <si>
    <t>Velizy</t>
  </si>
  <si>
    <t>VARGAS</t>
  </si>
  <si>
    <t xml:space="preserve">La balestière </t>
  </si>
  <si>
    <t>Achères</t>
  </si>
  <si>
    <t>15-35</t>
  </si>
  <si>
    <t>30*36</t>
  </si>
  <si>
    <t>Iris Immobilier</t>
  </si>
  <si>
    <t>Tour bolloré</t>
  </si>
  <si>
    <t>Puteaux</t>
  </si>
  <si>
    <t>Avansir</t>
  </si>
  <si>
    <t>Guyancourt</t>
  </si>
  <si>
    <t>Latécoére</t>
  </si>
  <si>
    <t>Magnanville</t>
  </si>
  <si>
    <t>Le Marais</t>
  </si>
  <si>
    <t>achères</t>
  </si>
  <si>
    <t>15-36</t>
  </si>
  <si>
    <t>15-37</t>
  </si>
  <si>
    <t>15-38</t>
  </si>
  <si>
    <t>51*36</t>
  </si>
  <si>
    <t>François Franque</t>
  </si>
  <si>
    <t>Chatillon 93</t>
  </si>
  <si>
    <t>Chatillon (Villate)</t>
  </si>
  <si>
    <t>17 Chaudières</t>
  </si>
  <si>
    <t>6 Chaudières</t>
  </si>
  <si>
    <t>10 Chaudières</t>
  </si>
  <si>
    <t>3 rue Rouget de Lisle</t>
  </si>
  <si>
    <t>Pavillon 3 niveaux</t>
  </si>
  <si>
    <t>49-11</t>
  </si>
  <si>
    <t>Plvt bitume</t>
  </si>
  <si>
    <t>2-142</t>
  </si>
  <si>
    <t>DAP</t>
  </si>
  <si>
    <t>Guillemont</t>
  </si>
  <si>
    <t>Chauvin</t>
  </si>
  <si>
    <t>Quais A et B</t>
  </si>
  <si>
    <t>2-143</t>
  </si>
  <si>
    <t>Salle d'Echange</t>
  </si>
  <si>
    <t>non</t>
  </si>
  <si>
    <t>Mme ROUX</t>
  </si>
  <si>
    <t>7 rue Lalo</t>
  </si>
  <si>
    <t>Diag vente</t>
  </si>
  <si>
    <t>impayé</t>
  </si>
  <si>
    <t>cnrs</t>
  </si>
  <si>
    <t>Gif sur Yvette - Bat Neurospi</t>
  </si>
  <si>
    <t>M Diyani</t>
  </si>
  <si>
    <t>sorbonnes</t>
  </si>
  <si>
    <t>5/-27-3</t>
  </si>
  <si>
    <t>58*8</t>
  </si>
  <si>
    <t>rue des pervenches</t>
  </si>
  <si>
    <t>Mesure d'empoussiérment</t>
  </si>
  <si>
    <t>vernouillet</t>
  </si>
  <si>
    <t>auger</t>
  </si>
  <si>
    <t>15-/42</t>
  </si>
  <si>
    <t>21*65-95*6</t>
  </si>
  <si>
    <t>M Lantheaume</t>
  </si>
  <si>
    <t>7 Filles du calvaires</t>
  </si>
  <si>
    <t>M. LANTHEAUME</t>
  </si>
  <si>
    <t>Cse</t>
  </si>
  <si>
    <t>Curie rue d'ULM</t>
  </si>
  <si>
    <t>dv 19-0084</t>
  </si>
  <si>
    <t>boisement</t>
  </si>
  <si>
    <t>ecole de Boisemont</t>
  </si>
  <si>
    <t>14-45-1</t>
  </si>
  <si>
    <t>M. SEQUEIRA</t>
  </si>
  <si>
    <t>DOMAXIS</t>
  </si>
  <si>
    <t>143-145 rue Pierre Brosolette</t>
  </si>
  <si>
    <t>DPE vente</t>
  </si>
  <si>
    <t>Sarcelles</t>
  </si>
  <si>
    <t>Mme HELM</t>
  </si>
  <si>
    <t>BC 2019/25794</t>
  </si>
  <si>
    <t>66 cours des Roches</t>
  </si>
  <si>
    <t>BC 2019/22193</t>
  </si>
  <si>
    <t>Rue Pierre Poli</t>
  </si>
  <si>
    <t>Issy les Moulineaux</t>
  </si>
  <si>
    <t>M. COUTANT</t>
  </si>
  <si>
    <t>Rue du Reverend P Gilbert</t>
  </si>
  <si>
    <t>Asnières</t>
  </si>
  <si>
    <t>2/-144</t>
  </si>
  <si>
    <t>302 rue des Pyrénées</t>
  </si>
  <si>
    <t>3 rue Rouget de l'Isle</t>
  </si>
  <si>
    <t>DV-DIM-19-0093-1</t>
  </si>
  <si>
    <t>76-4</t>
  </si>
  <si>
    <t>Cartographie</t>
  </si>
  <si>
    <t>68/-8</t>
  </si>
  <si>
    <t>68/-9</t>
  </si>
  <si>
    <t>90*6</t>
  </si>
  <si>
    <t>Chéque 2413018</t>
  </si>
  <si>
    <t>Chéque 8487036</t>
  </si>
  <si>
    <t>Cabinet Valière Cortez</t>
  </si>
  <si>
    <t>Gif sur Yvette - Château</t>
  </si>
  <si>
    <t>Azevedo</t>
  </si>
  <si>
    <t>4*58</t>
  </si>
  <si>
    <t>DA Enrobés</t>
  </si>
  <si>
    <t>M. BENTOT</t>
  </si>
  <si>
    <t>Gare de la Porte de Clichy</t>
  </si>
  <si>
    <t>NAM</t>
  </si>
  <si>
    <t>2-145</t>
  </si>
  <si>
    <t>2-146</t>
  </si>
  <si>
    <t>39 croix des petits champs</t>
  </si>
  <si>
    <t>M. GUILLE</t>
  </si>
  <si>
    <t>Porte de St Ouen</t>
  </si>
  <si>
    <t>M. CORCESSIN</t>
  </si>
  <si>
    <t>Gare d'austerlitz</t>
  </si>
  <si>
    <t>Analyses plomb bois</t>
  </si>
  <si>
    <t>2-147</t>
  </si>
  <si>
    <t>CDC Habitat</t>
  </si>
  <si>
    <t>Square des Gaudonnes</t>
  </si>
  <si>
    <t>Rueil Malmaison</t>
  </si>
  <si>
    <t>Créche paul signac</t>
  </si>
  <si>
    <t>clichy</t>
  </si>
  <si>
    <t>Esther Abellakad</t>
  </si>
  <si>
    <t>45*100</t>
  </si>
  <si>
    <t>Presbytere</t>
  </si>
  <si>
    <t>Commune de Clichy lagarenne</t>
  </si>
  <si>
    <t>DV-DIM-19-085-18-060</t>
  </si>
  <si>
    <t>Mesures suite incident</t>
  </si>
  <si>
    <t>M Vinas</t>
  </si>
  <si>
    <t>90*3</t>
  </si>
  <si>
    <t>villa Radet 16 rue Girardon 75018 Paris</t>
  </si>
  <si>
    <t>9-/29</t>
  </si>
  <si>
    <t>Chilayee</t>
  </si>
  <si>
    <t>BF 945733</t>
  </si>
  <si>
    <t>Dat Fayat</t>
  </si>
  <si>
    <t>Mercure 3 Laser games</t>
  </si>
  <si>
    <t>Dat (laser games</t>
  </si>
  <si>
    <t>68/-10</t>
  </si>
  <si>
    <t>90*18</t>
  </si>
  <si>
    <t>Dv dim-19-0114</t>
  </si>
  <si>
    <t>osica</t>
  </si>
  <si>
    <t>villejuif ephad</t>
  </si>
  <si>
    <t>Contrôle visuel + restitution</t>
  </si>
  <si>
    <t>P. Hudzik</t>
  </si>
  <si>
    <t>15/-22-9</t>
  </si>
  <si>
    <t>2/-148</t>
  </si>
  <si>
    <t>45*70</t>
  </si>
  <si>
    <t>SDC 74 Duhesme</t>
  </si>
  <si>
    <t>DAP Tvx</t>
  </si>
  <si>
    <t>Dv dim-19-0085</t>
  </si>
  <si>
    <t xml:space="preserve">Cité universitaire international </t>
  </si>
  <si>
    <t>17 rue jourdan 75014</t>
  </si>
  <si>
    <t>H. Ravenelo</t>
  </si>
  <si>
    <t>80-/1</t>
  </si>
  <si>
    <t>44,5*70</t>
  </si>
  <si>
    <t>Allée des Glycines</t>
  </si>
  <si>
    <t>Allau</t>
  </si>
  <si>
    <t>M.Bras</t>
  </si>
  <si>
    <t>168 rue de la convention</t>
  </si>
  <si>
    <t>43/-18</t>
  </si>
  <si>
    <t>18 Hotel de Ville</t>
  </si>
  <si>
    <t>75004 Paris</t>
  </si>
  <si>
    <t>9-/30</t>
  </si>
  <si>
    <t>SCCV Mermoz</t>
  </si>
  <si>
    <t>8 rue Jean Mermoz</t>
  </si>
  <si>
    <t>ERP et termites</t>
  </si>
  <si>
    <t>Versailles</t>
  </si>
  <si>
    <t>LEPERS</t>
  </si>
  <si>
    <t>DAP et lingettes</t>
  </si>
  <si>
    <t>boisemont</t>
  </si>
  <si>
    <t>2/-149</t>
  </si>
  <si>
    <t>17-45-2</t>
  </si>
  <si>
    <t>43-19</t>
  </si>
  <si>
    <t>102 parmentier - 18 pierre larousse</t>
  </si>
  <si>
    <t>rue françois franque</t>
  </si>
  <si>
    <t>rue jules Michel</t>
  </si>
  <si>
    <t>achéres</t>
  </si>
  <si>
    <t>Résidence du marais</t>
  </si>
  <si>
    <t>Résidence la balastière</t>
  </si>
  <si>
    <t>SDC 11 Guy de la Brosse</t>
  </si>
  <si>
    <t>DV-DIM-19-0076-1</t>
  </si>
  <si>
    <t>Contrôle visuel+seconde restit</t>
  </si>
  <si>
    <t>os 2019/0055</t>
  </si>
  <si>
    <t>168 Convention</t>
  </si>
  <si>
    <t>Me Slvetana</t>
  </si>
  <si>
    <t>Commande 01419-0000022836</t>
  </si>
  <si>
    <t>2085L035291</t>
  </si>
  <si>
    <t>Paris 13</t>
  </si>
  <si>
    <t>Barbot Mathieu</t>
  </si>
  <si>
    <t>2-/150</t>
  </si>
  <si>
    <t>76/5</t>
  </si>
  <si>
    <t xml:space="preserve">Contrôle visuel </t>
  </si>
  <si>
    <t>2/-151</t>
  </si>
  <si>
    <t>Vernet B</t>
  </si>
  <si>
    <t>2/-149-1</t>
  </si>
  <si>
    <t>75011-75014</t>
  </si>
  <si>
    <t>Parmentier et Larousse</t>
  </si>
  <si>
    <t>65 rue desaix</t>
  </si>
  <si>
    <t>electricite</t>
  </si>
  <si>
    <t>dv 19-0040</t>
  </si>
  <si>
    <t>Ave du diag</t>
  </si>
  <si>
    <t>houilles</t>
  </si>
  <si>
    <t>Fred Scilla</t>
  </si>
  <si>
    <t>CNAV</t>
  </si>
  <si>
    <t>10 av de flandre</t>
  </si>
  <si>
    <t>Paris 10</t>
  </si>
  <si>
    <t>F De La verine</t>
  </si>
  <si>
    <t>81-1</t>
  </si>
  <si>
    <t xml:space="preserve">prélèvements </t>
  </si>
  <si>
    <t>95*5</t>
  </si>
  <si>
    <t>Briac MONNERAYE</t>
  </si>
  <si>
    <t>2-153</t>
  </si>
  <si>
    <t>6 rue Froment Basic Fitness</t>
  </si>
  <si>
    <t>Plomb lingettes + Mesures FX</t>
  </si>
  <si>
    <t>paris 11</t>
  </si>
  <si>
    <t>M Favrol</t>
  </si>
  <si>
    <t>82/-1</t>
  </si>
  <si>
    <t>AGEMA</t>
  </si>
  <si>
    <t>17/-45</t>
  </si>
  <si>
    <t xml:space="preserve">Batiment habitation </t>
  </si>
  <si>
    <t>DAT complément+enrobé</t>
  </si>
  <si>
    <t>90*</t>
  </si>
  <si>
    <t>5/-34</t>
  </si>
  <si>
    <t>Salle des marchés</t>
  </si>
  <si>
    <t>2 Cuisine universitaire</t>
  </si>
  <si>
    <t>M. PAPILLON</t>
  </si>
  <si>
    <t>Sté Philantropique</t>
  </si>
  <si>
    <t>16 cours de Vincennes</t>
  </si>
  <si>
    <t>M. AMAHAUT</t>
  </si>
  <si>
    <t>WC</t>
  </si>
  <si>
    <t>Loge et logement gardienne</t>
  </si>
  <si>
    <t>2 locaux</t>
  </si>
  <si>
    <t>Mme Saint Fort</t>
  </si>
  <si>
    <t>1 logement</t>
  </si>
  <si>
    <t>6 rue Froment Paris</t>
  </si>
  <si>
    <t>Lingettes et dp</t>
  </si>
  <si>
    <t>FAVROL</t>
  </si>
  <si>
    <t>OA192671</t>
  </si>
  <si>
    <t xml:space="preserve">Siège </t>
  </si>
  <si>
    <t>DV-DIM-19-0129-1</t>
  </si>
  <si>
    <t>Sté Roustan</t>
  </si>
  <si>
    <t>6 avenue de la Butte Blanche</t>
  </si>
  <si>
    <t>Bezons</t>
  </si>
  <si>
    <t>Decaux</t>
  </si>
  <si>
    <t>Cité U</t>
  </si>
  <si>
    <t>Pavillon Gréard</t>
  </si>
  <si>
    <t>Ravenel</t>
  </si>
  <si>
    <t>11932002-M19-6942</t>
  </si>
  <si>
    <t>Batiment Chateaufort</t>
  </si>
  <si>
    <t>2085L035337</t>
  </si>
  <si>
    <t xml:space="preserve">Paris </t>
  </si>
  <si>
    <t>Facade 6 rue de la Sarazine</t>
  </si>
  <si>
    <t>Bagneux</t>
  </si>
  <si>
    <t>Alau</t>
  </si>
  <si>
    <t xml:space="preserve">Osica </t>
  </si>
  <si>
    <t>65 rue karl Marx</t>
  </si>
  <si>
    <t>contrôles visuels</t>
  </si>
  <si>
    <t>Bf 950734</t>
  </si>
  <si>
    <t>Paris 14</t>
  </si>
  <si>
    <t>Empoussièrement plomb</t>
  </si>
  <si>
    <t>Paris 18+cdc habitat</t>
  </si>
  <si>
    <t>cse</t>
  </si>
  <si>
    <t>dv - 19-0120</t>
  </si>
  <si>
    <t>dat</t>
  </si>
  <si>
    <t>2-152</t>
  </si>
  <si>
    <t>SG2M</t>
  </si>
  <si>
    <t>17 rue de pontoise</t>
  </si>
  <si>
    <t>Nesle la vallée</t>
  </si>
  <si>
    <t>S.Maucolin</t>
  </si>
  <si>
    <t>nexity</t>
  </si>
  <si>
    <t>Syndic</t>
  </si>
  <si>
    <t>4452761 dv19-0132</t>
  </si>
  <si>
    <t>16 cours de vincennes</t>
  </si>
  <si>
    <t>Seiqueira</t>
  </si>
  <si>
    <t>Dv-19-0119</t>
  </si>
  <si>
    <t>6 rue de la Sarrazine</t>
  </si>
  <si>
    <t>bagneux</t>
  </si>
  <si>
    <t>alau</t>
  </si>
  <si>
    <t>BF 957786</t>
  </si>
  <si>
    <t>M.Maucolin</t>
  </si>
  <si>
    <t>Dv 19-141</t>
  </si>
  <si>
    <t>17 rue de pontoise (Nesles la vallée)</t>
  </si>
  <si>
    <t>SOGEAB EXCOGIM</t>
  </si>
  <si>
    <t>10 rue Charles Nodier</t>
  </si>
  <si>
    <t>Bleuzen</t>
  </si>
  <si>
    <t>DAPG</t>
  </si>
  <si>
    <t>Vanves</t>
  </si>
  <si>
    <t>Ouissi</t>
  </si>
  <si>
    <t>Debussy</t>
  </si>
  <si>
    <t>Mantes la jolie</t>
  </si>
  <si>
    <t>creche signac</t>
  </si>
  <si>
    <t>Clichy</t>
  </si>
  <si>
    <t>RAise</t>
  </si>
  <si>
    <t>Tragin (Sci Barbette)</t>
  </si>
  <si>
    <t>30-35 rue spontini</t>
  </si>
  <si>
    <t>Paris 16</t>
  </si>
  <si>
    <t>s.Gardy</t>
  </si>
  <si>
    <t>Dv 19-0142</t>
  </si>
  <si>
    <t>58-/5</t>
  </si>
  <si>
    <t>60*45</t>
  </si>
  <si>
    <t>La Philantropique</t>
  </si>
  <si>
    <t>Cuisine</t>
  </si>
  <si>
    <t>DV-DIM-19-0131 et 0133</t>
  </si>
  <si>
    <t xml:space="preserve">13 Marie Curie </t>
  </si>
  <si>
    <t>Prelevement amiante</t>
  </si>
  <si>
    <t>Saint Fort</t>
  </si>
  <si>
    <t>2591L005077</t>
  </si>
  <si>
    <t>Verdun</t>
  </si>
  <si>
    <t>Ste Catherine</t>
  </si>
  <si>
    <t>Vigne blanche</t>
  </si>
  <si>
    <t>Les Mureaux</t>
  </si>
  <si>
    <t>96 Diderot</t>
  </si>
  <si>
    <t>ERP</t>
  </si>
  <si>
    <t>24 Geoffroy l'asnier</t>
  </si>
  <si>
    <t>24 Geoffroy l'Asnier</t>
  </si>
  <si>
    <t xml:space="preserve">ERP </t>
  </si>
  <si>
    <t>13 rue Marie Curie</t>
  </si>
  <si>
    <t>CREP</t>
  </si>
  <si>
    <t>Labasle</t>
  </si>
  <si>
    <t>96 Bd voltaire</t>
  </si>
  <si>
    <t>Degas (Sogeab)</t>
  </si>
  <si>
    <t>50-/17</t>
  </si>
  <si>
    <t>95*6</t>
  </si>
  <si>
    <t>17/-36</t>
  </si>
  <si>
    <t>S Gardy</t>
  </si>
  <si>
    <t xml:space="preserve">24 Norvins </t>
  </si>
  <si>
    <t>Qivy</t>
  </si>
  <si>
    <t>Charenton</t>
  </si>
  <si>
    <t>Didier.DULUC</t>
  </si>
  <si>
    <t>3*65</t>
  </si>
  <si>
    <t>Bat 03 (Château)</t>
  </si>
  <si>
    <t>Allende</t>
  </si>
  <si>
    <t>Schlocher</t>
  </si>
  <si>
    <t>VALORIM</t>
  </si>
  <si>
    <t>3 rue D'Aboukir</t>
  </si>
  <si>
    <t>Vanessa Moretti</t>
  </si>
  <si>
    <t>110 Av de Flandres</t>
  </si>
  <si>
    <t>Contrôles visuels</t>
  </si>
  <si>
    <t>Me De La verrine</t>
  </si>
  <si>
    <t>DV-DIM-19-0126/1000262307</t>
  </si>
  <si>
    <t>92 Bd Joffre</t>
  </si>
  <si>
    <t>vente</t>
  </si>
  <si>
    <t>SCI NS Investissement</t>
  </si>
  <si>
    <t>Pascal</t>
  </si>
  <si>
    <t>1,5,6 rue Victor Hugo</t>
  </si>
  <si>
    <t>charenton 94</t>
  </si>
  <si>
    <t>M Dulac</t>
  </si>
  <si>
    <t>940371891-0-13193</t>
  </si>
  <si>
    <t>Syndic indépendant</t>
  </si>
  <si>
    <t>44 rue Coquillière</t>
  </si>
  <si>
    <t>M h Prawidlo</t>
  </si>
  <si>
    <t>Nelaton</t>
  </si>
  <si>
    <t>DAT TVX</t>
  </si>
  <si>
    <t>Dv -dim-19-162</t>
  </si>
  <si>
    <t>Marquise</t>
  </si>
  <si>
    <t>Monneraye</t>
  </si>
  <si>
    <t>DV-DIM-19-0163 B</t>
  </si>
  <si>
    <t>Centre cultuel</t>
  </si>
  <si>
    <t>M Douré</t>
  </si>
  <si>
    <t>100*48</t>
  </si>
  <si>
    <t>Cabinet ARCO</t>
  </si>
  <si>
    <t>5 Basly</t>
  </si>
  <si>
    <t>Gennevilliers</t>
  </si>
  <si>
    <t>Poret</t>
  </si>
  <si>
    <t>Mme MARQUE</t>
  </si>
  <si>
    <t>14 Ménilmontant</t>
  </si>
  <si>
    <t>M. CAVALIER</t>
  </si>
  <si>
    <t>M. CORVISIER</t>
  </si>
  <si>
    <t>M Legrelle</t>
  </si>
  <si>
    <t>archi 7/29</t>
  </si>
  <si>
    <t>Pontoise</t>
  </si>
  <si>
    <t>Ecole St Martin - 1 Av de Verdun</t>
  </si>
  <si>
    <t>Enrobés amiante</t>
  </si>
  <si>
    <t>M. DURAND</t>
  </si>
  <si>
    <t>24 Norvins</t>
  </si>
  <si>
    <t>Selon DV-DIM-19-0152</t>
  </si>
  <si>
    <t>55*55</t>
  </si>
  <si>
    <t>Air Lab tech</t>
  </si>
  <si>
    <t>Théatre du châtelet</t>
  </si>
  <si>
    <t>Mesures plomb</t>
  </si>
  <si>
    <t>Mr Xiong/Suppramiante</t>
  </si>
  <si>
    <t>La 55</t>
  </si>
  <si>
    <t>24 rue Geoffroy l'Asnier</t>
  </si>
  <si>
    <t>Mme DOUMERC</t>
  </si>
  <si>
    <t>Vente</t>
  </si>
  <si>
    <t>Cormeille en parisis</t>
  </si>
  <si>
    <t>Mr Henri</t>
  </si>
  <si>
    <t>Selon DV-DIM-19-0158</t>
  </si>
  <si>
    <t>SDC C/O ARCO</t>
  </si>
  <si>
    <t>5 rue Basly</t>
  </si>
  <si>
    <t>Me Poret</t>
  </si>
  <si>
    <t>Selon DV-DIM-19-0165</t>
  </si>
  <si>
    <t>résidence Clamart</t>
  </si>
  <si>
    <t>Clamart</t>
  </si>
  <si>
    <t>Me Montredon Emmanuelle</t>
  </si>
  <si>
    <t>15/-49</t>
  </si>
  <si>
    <t>2/-162</t>
  </si>
  <si>
    <t>2-161</t>
  </si>
  <si>
    <t>2-159</t>
  </si>
  <si>
    <t>2/-160</t>
  </si>
  <si>
    <t>9/-35</t>
  </si>
  <si>
    <t>LA 55</t>
  </si>
  <si>
    <t>Me Doumerc</t>
  </si>
  <si>
    <t>Dv-19-0171</t>
  </si>
  <si>
    <t>24 rue Geoffroy L'asniers</t>
  </si>
  <si>
    <t>2/-163</t>
  </si>
  <si>
    <t>Ecole allende</t>
  </si>
  <si>
    <t>Tragin-Barbéche</t>
  </si>
  <si>
    <t>V.Mallard</t>
  </si>
  <si>
    <t>30*44,5</t>
  </si>
  <si>
    <t>80/-2</t>
  </si>
  <si>
    <t>Gare d'Austerlitz - poste d'aiguillage</t>
  </si>
  <si>
    <t xml:space="preserve">M. C. DURAND </t>
  </si>
  <si>
    <t>2/-177</t>
  </si>
  <si>
    <t>5*60</t>
  </si>
  <si>
    <t>nelaton</t>
  </si>
  <si>
    <t>M. HAINEZ</t>
  </si>
  <si>
    <t>15-50</t>
  </si>
  <si>
    <t xml:space="preserve">HP Curie </t>
  </si>
  <si>
    <t>45*55</t>
  </si>
  <si>
    <t xml:space="preserve">Res Les Glycines </t>
  </si>
  <si>
    <t>M. Alau</t>
  </si>
  <si>
    <t>bc ok</t>
  </si>
  <si>
    <t>17-15</t>
  </si>
  <si>
    <t>place du louvre</t>
  </si>
  <si>
    <t>M Bras</t>
  </si>
  <si>
    <t>43/-20</t>
  </si>
  <si>
    <t>2/165</t>
  </si>
  <si>
    <t>M DUFES</t>
  </si>
  <si>
    <t>9/-30</t>
  </si>
  <si>
    <t>9/-34</t>
  </si>
  <si>
    <t>SSCV Mermoz</t>
  </si>
  <si>
    <t>Termites et ERP</t>
  </si>
  <si>
    <t>M. LEPERS</t>
  </si>
  <si>
    <t>Facture</t>
  </si>
  <si>
    <t>8 rue Mermoz</t>
  </si>
  <si>
    <t xml:space="preserve">Hotel de ville </t>
  </si>
  <si>
    <t>Paris 75001</t>
  </si>
  <si>
    <t>j.Sequeira</t>
  </si>
  <si>
    <t>Dv-19-0163</t>
  </si>
  <si>
    <t>81/-2</t>
  </si>
  <si>
    <t>Haut de bièvre Habitat</t>
  </si>
  <si>
    <t>rue brobert hertz</t>
  </si>
  <si>
    <t>Chatenay malabry</t>
  </si>
  <si>
    <t>Mr Vircondelet</t>
  </si>
  <si>
    <t>64/-4</t>
  </si>
  <si>
    <t>40*72</t>
  </si>
  <si>
    <t>Dv-19-0180</t>
  </si>
  <si>
    <t>houilles/pontoise</t>
  </si>
  <si>
    <t>59168-0000018374</t>
  </si>
  <si>
    <t>Mairie de clichy la garenne</t>
  </si>
  <si>
    <t>Benghy</t>
  </si>
  <si>
    <t>BT191067</t>
  </si>
  <si>
    <t>Mairie de Toulouse</t>
  </si>
  <si>
    <t>Atelier CIA</t>
  </si>
  <si>
    <t>N. Diette</t>
  </si>
  <si>
    <t>E1458991</t>
  </si>
  <si>
    <t>DV-DIM-19-0155-1</t>
  </si>
  <si>
    <t>CSE  prevention</t>
  </si>
  <si>
    <t>Terrain de tennis</t>
  </si>
  <si>
    <t>DAP et HAP démol</t>
  </si>
  <si>
    <t>2-166</t>
  </si>
  <si>
    <t>17-50</t>
  </si>
  <si>
    <t>Loge et logement</t>
  </si>
  <si>
    <t>Me. Pires</t>
  </si>
  <si>
    <t>Vinci</t>
  </si>
  <si>
    <t>22-32 clignancourt</t>
  </si>
  <si>
    <t>Vinci (bentot)</t>
  </si>
  <si>
    <t>DPGF</t>
  </si>
  <si>
    <t>90/-1</t>
  </si>
  <si>
    <t>Lingettes plomb+photos</t>
  </si>
  <si>
    <t>17*70</t>
  </si>
  <si>
    <t>2/167</t>
  </si>
  <si>
    <t>7-9 rue Nelaton</t>
  </si>
  <si>
    <t>M Coutant</t>
  </si>
  <si>
    <t>Eglise - Presbytere</t>
  </si>
  <si>
    <t>BT191106</t>
  </si>
  <si>
    <t>Campanile</t>
  </si>
  <si>
    <t>Nexity</t>
  </si>
  <si>
    <t>Bords de seine</t>
  </si>
  <si>
    <t>Pidar</t>
  </si>
  <si>
    <t>Selon DV-DIM-19-0071-1</t>
  </si>
  <si>
    <t>145 bd Ney</t>
  </si>
  <si>
    <t>Lebras</t>
  </si>
  <si>
    <t xml:space="preserve">3 Camille Pissarro </t>
  </si>
  <si>
    <t>Tarcuta</t>
  </si>
  <si>
    <t>15/-1</t>
  </si>
  <si>
    <t>7*36,99</t>
  </si>
  <si>
    <t>Avenue Bernard Hirsch</t>
  </si>
  <si>
    <t>Selon DV-DIM-19-0184</t>
  </si>
  <si>
    <t>Ville de clichy</t>
  </si>
  <si>
    <t>Ecoles</t>
  </si>
  <si>
    <t>DTA + CREP</t>
  </si>
  <si>
    <t>BOU ALI</t>
  </si>
  <si>
    <t>82/-2</t>
  </si>
  <si>
    <t>Ecole Saint Martin</t>
  </si>
  <si>
    <t>pontoise</t>
  </si>
  <si>
    <t>Ecole Saint Erembert - 7 rue Salomon Reinach</t>
  </si>
  <si>
    <t>78100 St Germain en Laye</t>
  </si>
  <si>
    <t>30-/5</t>
  </si>
  <si>
    <t>48493-0000018360</t>
  </si>
  <si>
    <t>Analyses</t>
  </si>
  <si>
    <t>M. ARNAUDON</t>
  </si>
  <si>
    <t>Square stendahl</t>
  </si>
  <si>
    <t>Trappes</t>
  </si>
  <si>
    <t>L. Cabany</t>
  </si>
  <si>
    <t>15-26</t>
  </si>
  <si>
    <t>FOPE</t>
  </si>
  <si>
    <t>17 rue de lyonnais</t>
  </si>
  <si>
    <t>Paris 75005</t>
  </si>
  <si>
    <t>Mr Legrelle</t>
  </si>
  <si>
    <t>Dv 19-168-1</t>
  </si>
  <si>
    <t>2-120</t>
  </si>
  <si>
    <t>96 bd Voltaire</t>
  </si>
  <si>
    <t>M. DEGAS</t>
  </si>
  <si>
    <t>Bât 26 et 23</t>
  </si>
  <si>
    <t>M. DUARTE</t>
  </si>
  <si>
    <t>2085L034828</t>
  </si>
  <si>
    <t xml:space="preserve">	Batiment GIF 110,Gif 170, Gif 260
</t>
  </si>
  <si>
    <t>M. Diyani</t>
  </si>
  <si>
    <t>5/-37</t>
  </si>
  <si>
    <t>15*55</t>
  </si>
  <si>
    <t>Mr Vinas</t>
  </si>
  <si>
    <t>77/-2</t>
  </si>
  <si>
    <t>103 av de Versalles</t>
  </si>
  <si>
    <t>DATP TVX</t>
  </si>
  <si>
    <t>Le Chesnay</t>
  </si>
  <si>
    <t>30/-6</t>
  </si>
  <si>
    <t>55*8</t>
  </si>
  <si>
    <t>93 boulevard Jean Jaurès – 1 Place du Marché</t>
  </si>
  <si>
    <t>M. GONDELLE</t>
  </si>
  <si>
    <t>43-22</t>
  </si>
  <si>
    <t>Real 31</t>
  </si>
  <si>
    <t>13 avenue du générale de gaulle</t>
  </si>
  <si>
    <t>Maisons laffitte</t>
  </si>
  <si>
    <t>Mme LHOTTE</t>
  </si>
  <si>
    <t>OA194770</t>
  </si>
  <si>
    <t>lingettes</t>
  </si>
  <si>
    <t>O.Favrol</t>
  </si>
  <si>
    <t>82-2</t>
  </si>
  <si>
    <t>Cergy prefecture</t>
  </si>
  <si>
    <t>w Bentot</t>
  </si>
  <si>
    <t>17-51</t>
  </si>
  <si>
    <t>12*95</t>
  </si>
  <si>
    <t>DTA</t>
  </si>
  <si>
    <t>55 rue de l'Ourcq</t>
  </si>
  <si>
    <t>Contrôle visuel</t>
  </si>
  <si>
    <t>Delaverine</t>
  </si>
  <si>
    <t>Mc do</t>
  </si>
  <si>
    <t>Gondelle</t>
  </si>
  <si>
    <t>Selon DV-DIM-19-0199</t>
  </si>
  <si>
    <t>2-160</t>
  </si>
  <si>
    <t>9*70</t>
  </si>
  <si>
    <t>Pont de la poste</t>
  </si>
  <si>
    <t>Selon DV-DIM-19-0202</t>
  </si>
  <si>
    <t>18 Bd Saint Germain</t>
  </si>
  <si>
    <t>P. Descacq</t>
  </si>
  <si>
    <t>43-/23</t>
  </si>
  <si>
    <t>AO 195050</t>
  </si>
  <si>
    <t>66 rue de paris</t>
  </si>
  <si>
    <t>2624L000758</t>
  </si>
  <si>
    <t>Poussières plomb</t>
  </si>
  <si>
    <t>Josset</t>
  </si>
  <si>
    <t>2/-168</t>
  </si>
  <si>
    <t>1 rue Pasquier</t>
  </si>
  <si>
    <t>Levallois Perret</t>
  </si>
  <si>
    <t>M T Vernier</t>
  </si>
  <si>
    <t>Theop</t>
  </si>
  <si>
    <t xml:space="preserve">  </t>
  </si>
  <si>
    <t>60*216</t>
  </si>
  <si>
    <t>15/12/2019*</t>
  </si>
  <si>
    <t>Impayé</t>
  </si>
  <si>
    <t>gfsgfdg</t>
  </si>
  <si>
    <t>gfsdsdgfdg</t>
  </si>
  <si>
    <t>fdf</t>
  </si>
  <si>
    <t>lkk</t>
  </si>
  <si>
    <t>FGJQGYQD</t>
  </si>
  <si>
    <t>AAERA</t>
  </si>
  <si>
    <t>12/12/2019</t>
  </si>
  <si>
    <t>AS256</t>
  </si>
  <si>
    <t>Q1R42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</si>
</sst>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€&quot;;[Red]\-#,##0\ &quot;€&quot;"/>
    <numFmt numFmtId="8" formatCode="#,##0.00\ &quot;€&quot;;[Red]\-#,##0.00\ &quot;€&quot;"/>
    <numFmt numFmtId="164" formatCode="#,##0.00\ &quot;€&quot;"/>
    <numFmt numFmtId="165" formatCode="#,##0_ ;[Red]\-#,##0\ "/>
    <numFmt numFmtId="166" formatCode="#,##0\ &quot;€&quot;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1F497D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3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9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6" fontId="0" fillId="0" borderId="1" xfId="0" applyNumberForma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8" fontId="5" fillId="3" borderId="1" xfId="0" applyNumberFormat="1" applyFont="1" applyFill="1" applyBorder="1" applyAlignment="1">
      <alignment horizontal="center" vertical="center" wrapText="1"/>
    </xf>
    <xf numFmtId="165" fontId="5" fillId="3" borderId="1" xfId="0" applyNumberFormat="1" applyFont="1" applyFill="1" applyBorder="1" applyAlignment="1">
      <alignment horizontal="center" vertical="center" wrapText="1"/>
    </xf>
    <xf numFmtId="14" fontId="5" fillId="3" borderId="1" xfId="0" applyNumberFormat="1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6" fontId="5" fillId="3" borderId="1" xfId="0" applyNumberFormat="1" applyFont="1" applyFill="1" applyBorder="1" applyAlignment="1">
      <alignment horizontal="center" vertical="center" wrapText="1"/>
    </xf>
    <xf numFmtId="6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/>
    <xf numFmtId="164" fontId="5" fillId="0" borderId="1" xfId="0" applyNumberFormat="1" applyFont="1" applyBorder="1" applyAlignment="1">
      <alignment vertical="center"/>
    </xf>
    <xf numFmtId="14" fontId="5" fillId="0" borderId="1" xfId="0" applyNumberFormat="1" applyFont="1" applyBorder="1"/>
    <xf numFmtId="164" fontId="5" fillId="3" borderId="1" xfId="0" applyNumberFormat="1" applyFont="1" applyFill="1" applyBorder="1" applyAlignment="1">
      <alignment horizontal="center" vertical="center"/>
    </xf>
    <xf numFmtId="0" fontId="5" fillId="3" borderId="0" xfId="0" applyFont="1" applyFill="1"/>
    <xf numFmtId="0" fontId="5" fillId="0" borderId="1" xfId="0" applyFont="1" applyBorder="1" applyAlignment="1">
      <alignment horizontal="center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5" fillId="2" borderId="1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6" fontId="13" fillId="3" borderId="1" xfId="0" applyNumberFormat="1" applyFont="1" applyFill="1" applyBorder="1" applyAlignment="1">
      <alignment horizontal="center" vertical="center" wrapText="1"/>
    </xf>
    <xf numFmtId="14" fontId="13" fillId="3" borderId="1" xfId="0" applyNumberFormat="1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/>
    </xf>
    <xf numFmtId="164" fontId="13" fillId="3" borderId="1" xfId="0" applyNumberFormat="1" applyFont="1" applyFill="1" applyBorder="1" applyAlignment="1">
      <alignment horizontal="center" vertical="center" wrapText="1"/>
    </xf>
    <xf numFmtId="166" fontId="13" fillId="3" borderId="1" xfId="0" applyNumberFormat="1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164" fontId="13" fillId="3" borderId="1" xfId="0" applyNumberFormat="1" applyFont="1" applyFill="1" applyBorder="1" applyAlignment="1">
      <alignment horizontal="center" vertical="center"/>
    </xf>
    <xf numFmtId="3" fontId="13" fillId="3" borderId="1" xfId="0" applyNumberFormat="1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wrapText="1"/>
    </xf>
    <xf numFmtId="8" fontId="13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/>
    <xf numFmtId="0" fontId="17" fillId="3" borderId="1" xfId="0" applyFont="1" applyFill="1" applyBorder="1" applyAlignment="1">
      <alignment horizontal="center" vertical="center" wrapText="1"/>
    </xf>
    <xf numFmtId="14" fontId="17" fillId="3" borderId="1" xfId="0" applyNumberFormat="1" applyFont="1" applyFill="1" applyBorder="1" applyAlignment="1">
      <alignment horizontal="center" vertical="center" wrapText="1"/>
    </xf>
    <xf numFmtId="0" fontId="17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166" fontId="13" fillId="0" borderId="1" xfId="0" applyNumberFormat="1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/>
    <xf numFmtId="0" fontId="19" fillId="0" borderId="0" xfId="0" applyFont="1"/>
    <xf numFmtId="0" fontId="20" fillId="0" borderId="0" xfId="0" applyFont="1" applyAlignment="1">
      <alignment horizontal="center"/>
    </xf>
    <xf numFmtId="0" fontId="22" fillId="4" borderId="1" xfId="0" applyFont="1" applyFill="1" applyBorder="1" applyAlignment="1">
      <alignment horizontal="center" vertical="center"/>
    </xf>
    <xf numFmtId="0" fontId="22" fillId="4" borderId="1" xfId="0" applyFont="1" applyFill="1" applyBorder="1" applyAlignment="1">
      <alignment horizontal="center" vertical="center" wrapText="1"/>
    </xf>
    <xf numFmtId="0" fontId="19" fillId="5" borderId="0" xfId="0" applyFont="1" applyFill="1"/>
    <xf numFmtId="0" fontId="19" fillId="3" borderId="0" xfId="0" applyFont="1" applyFill="1"/>
    <xf numFmtId="0" fontId="23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/>
    </xf>
    <xf numFmtId="8" fontId="19" fillId="3" borderId="1" xfId="0" applyNumberFormat="1" applyFont="1" applyFill="1" applyBorder="1" applyAlignment="1">
      <alignment horizontal="center" vertical="center" wrapText="1"/>
    </xf>
    <xf numFmtId="6" fontId="19" fillId="3" borderId="1" xfId="0" applyNumberFormat="1" applyFont="1" applyFill="1" applyBorder="1" applyAlignment="1">
      <alignment horizontal="center" vertical="center" wrapText="1"/>
    </xf>
    <xf numFmtId="165" fontId="19" fillId="3" borderId="1" xfId="0" applyNumberFormat="1" applyFont="1" applyFill="1" applyBorder="1" applyAlignment="1">
      <alignment horizontal="center" vertical="center" wrapText="1"/>
    </xf>
    <xf numFmtId="14" fontId="19" fillId="3" borderId="1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49" fontId="0" fillId="3" borderId="1" xfId="0" applyNumberForma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14" fontId="13" fillId="0" borderId="1" xfId="0" applyNumberFormat="1" applyFont="1" applyBorder="1" applyAlignment="1">
      <alignment horizontal="center" vertical="center" wrapText="1"/>
    </xf>
    <xf numFmtId="17" fontId="0" fillId="3" borderId="4" xfId="0" applyNumberFormat="1" applyFill="1" applyBorder="1" applyAlignment="1">
      <alignment horizontal="center" vertical="center" wrapText="1"/>
    </xf>
    <xf numFmtId="0" fontId="19" fillId="3" borderId="1" xfId="0" applyFont="1" applyFill="1" applyBorder="1"/>
    <xf numFmtId="0" fontId="19" fillId="3" borderId="0" xfId="0" applyFont="1" applyFill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17" fontId="0" fillId="0" borderId="1" xfId="0" applyNumberFormat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17" fontId="0" fillId="0" borderId="1" xfId="0" applyNumberFormat="1" applyBorder="1" applyAlignment="1">
      <alignment horizontal="center" vertical="center" wrapText="1"/>
    </xf>
    <xf numFmtId="14" fontId="25" fillId="3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 wrapText="1"/>
    </xf>
    <xf numFmtId="164" fontId="0" fillId="3" borderId="1" xfId="0" applyNumberFormat="1" applyFill="1" applyBorder="1" applyAlignment="1">
      <alignment horizontal="center" vertical="center" wrapText="1"/>
    </xf>
    <xf numFmtId="16" fontId="0" fillId="0" borderId="1" xfId="0" applyNumberForma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6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0" fillId="0" borderId="1" xfId="0" applyBorder="1"/>
    <xf numFmtId="8" fontId="19" fillId="0" borderId="0" xfId="0" applyNumberFormat="1" applyFont="1"/>
    <xf numFmtId="0" fontId="0" fillId="3" borderId="0" xfId="0" applyFill="1" applyAlignment="1">
      <alignment horizontal="center" vertical="center"/>
    </xf>
    <xf numFmtId="8" fontId="0" fillId="3" borderId="1" xfId="0" applyNumberFormat="1" applyFill="1" applyBorder="1" applyAlignment="1">
      <alignment horizontal="center" vertical="center" wrapText="1"/>
    </xf>
    <xf numFmtId="166" fontId="0" fillId="3" borderId="1" xfId="0" applyNumberForma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8" fontId="19" fillId="2" borderId="1" xfId="0" applyNumberFormat="1" applyFont="1" applyFill="1" applyBorder="1" applyAlignment="1">
      <alignment horizontal="center" vertical="center" wrapText="1"/>
    </xf>
    <xf numFmtId="6" fontId="19" fillId="2" borderId="1" xfId="0" applyNumberFormat="1" applyFont="1" applyFill="1" applyBorder="1" applyAlignment="1">
      <alignment horizontal="center" vertical="center" wrapText="1"/>
    </xf>
    <xf numFmtId="165" fontId="19" fillId="2" borderId="1" xfId="0" applyNumberFormat="1" applyFont="1" applyFill="1" applyBorder="1" applyAlignment="1">
      <alignment horizontal="center" vertical="center" wrapText="1"/>
    </xf>
    <xf numFmtId="14" fontId="19" fillId="2" borderId="1" xfId="0" applyNumberFormat="1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center" vertical="center"/>
    </xf>
    <xf numFmtId="14" fontId="19" fillId="2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8" fontId="0" fillId="2" borderId="1" xfId="0" applyNumberFormat="1" applyFill="1" applyBorder="1" applyAlignment="1">
      <alignment horizontal="center" vertical="center" wrapText="1"/>
    </xf>
    <xf numFmtId="164" fontId="0" fillId="3" borderId="1" xfId="0" applyNumberFormat="1" applyFill="1" applyBorder="1" applyAlignment="1">
      <alignment horizontal="center" vertical="center"/>
    </xf>
    <xf numFmtId="14" fontId="13" fillId="3" borderId="1" xfId="0" applyNumberFormat="1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16" fontId="0" fillId="3" borderId="1" xfId="0" applyNumberFormat="1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17" fontId="0" fillId="3" borderId="1" xfId="0" applyNumberFormat="1" applyFont="1" applyFill="1" applyBorder="1" applyAlignment="1">
      <alignment horizontal="center" vertical="center" wrapText="1"/>
    </xf>
    <xf numFmtId="166" fontId="0" fillId="3" borderId="1" xfId="0" applyNumberFormat="1" applyFont="1" applyFill="1" applyBorder="1" applyAlignment="1">
      <alignment horizontal="center" vertical="center" wrapText="1"/>
    </xf>
    <xf numFmtId="0" fontId="0" fillId="0" borderId="0" xfId="0" applyFont="1"/>
    <xf numFmtId="166" fontId="13" fillId="0" borderId="0" xfId="0" applyNumberFormat="1" applyFont="1"/>
    <xf numFmtId="166" fontId="17" fillId="3" borderId="1" xfId="0" applyNumberFormat="1" applyFont="1" applyFill="1" applyBorder="1" applyAlignment="1">
      <alignment horizontal="center" vertical="center" wrapText="1"/>
    </xf>
    <xf numFmtId="166" fontId="13" fillId="2" borderId="1" xfId="0" applyNumberFormat="1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horizontal="center" vertical="center" wrapText="1"/>
    </xf>
    <xf numFmtId="9" fontId="13" fillId="3" borderId="2" xfId="0" applyNumberFormat="1" applyFont="1" applyFill="1" applyBorder="1" applyAlignment="1">
      <alignment horizontal="center" vertical="center" wrapText="1"/>
    </xf>
    <xf numFmtId="0" fontId="0" fillId="3" borderId="3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166" fontId="13" fillId="6" borderId="1" xfId="0" applyNumberFormat="1" applyFont="1" applyFill="1" applyBorder="1" applyAlignment="1">
      <alignment horizontal="center" vertical="center" wrapText="1"/>
    </xf>
    <xf numFmtId="8" fontId="19" fillId="6" borderId="1" xfId="0" applyNumberFormat="1" applyFont="1" applyFill="1" applyBorder="1" applyAlignment="1">
      <alignment horizontal="center" vertical="center" wrapText="1"/>
    </xf>
    <xf numFmtId="6" fontId="19" fillId="6" borderId="1" xfId="0" applyNumberFormat="1" applyFont="1" applyFill="1" applyBorder="1" applyAlignment="1">
      <alignment horizontal="center" vertical="center" wrapText="1"/>
    </xf>
    <xf numFmtId="165" fontId="19" fillId="6" borderId="1" xfId="0" applyNumberFormat="1" applyFont="1" applyFill="1" applyBorder="1" applyAlignment="1">
      <alignment horizontal="center" vertical="center" wrapText="1"/>
    </xf>
    <xf numFmtId="14" fontId="19" fillId="6" borderId="1" xfId="0" applyNumberFormat="1" applyFont="1" applyFill="1" applyBorder="1" applyAlignment="1">
      <alignment horizontal="center" vertical="center"/>
    </xf>
    <xf numFmtId="6" fontId="1" fillId="6" borderId="1" xfId="0" applyNumberFormat="1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8" fontId="17" fillId="2" borderId="1" xfId="0" applyNumberFormat="1" applyFont="1" applyFill="1" applyBorder="1" applyAlignment="1">
      <alignment horizontal="center" vertical="center" wrapText="1"/>
    </xf>
    <xf numFmtId="6" fontId="17" fillId="2" borderId="1" xfId="0" applyNumberFormat="1" applyFont="1" applyFill="1" applyBorder="1" applyAlignment="1">
      <alignment horizontal="center" vertical="center" wrapText="1"/>
    </xf>
    <xf numFmtId="165" fontId="17" fillId="2" borderId="1" xfId="0" applyNumberFormat="1" applyFont="1" applyFill="1" applyBorder="1" applyAlignment="1">
      <alignment horizontal="center" vertical="center" wrapText="1"/>
    </xf>
    <xf numFmtId="14" fontId="17" fillId="2" borderId="1" xfId="0" applyNumberFormat="1" applyFont="1" applyFill="1" applyBorder="1" applyAlignment="1">
      <alignment horizontal="center" vertical="center" wrapText="1"/>
    </xf>
    <xf numFmtId="14" fontId="17" fillId="2" borderId="1" xfId="0" applyNumberFormat="1" applyFont="1" applyFill="1" applyBorder="1" applyAlignment="1">
      <alignment horizontal="center"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/>
    </xf>
    <xf numFmtId="8" fontId="25" fillId="2" borderId="1" xfId="0" applyNumberFormat="1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17" fontId="0" fillId="0" borderId="1" xfId="0" applyNumberFormat="1" applyFont="1" applyBorder="1" applyAlignment="1">
      <alignment horizontal="center" vertical="center" wrapText="1"/>
    </xf>
    <xf numFmtId="164" fontId="0" fillId="2" borderId="1" xfId="0" applyNumberFormat="1" applyFill="1" applyBorder="1" applyAlignment="1">
      <alignment horizontal="center" vertical="center" wrapText="1"/>
    </xf>
    <xf numFmtId="8" fontId="0" fillId="2" borderId="1" xfId="0" applyNumberFormat="1" applyFont="1" applyFill="1" applyBorder="1" applyAlignment="1">
      <alignment horizontal="center" vertical="center" wrapText="1"/>
    </xf>
    <xf numFmtId="166" fontId="0" fillId="2" borderId="1" xfId="0" applyNumberFormat="1" applyFont="1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 vertical="center" wrapText="1"/>
    </xf>
    <xf numFmtId="0" fontId="19" fillId="2" borderId="0" xfId="0" applyFont="1" applyFill="1"/>
    <xf numFmtId="0" fontId="0" fillId="0" borderId="1" xfId="0" applyBorder="1" applyAlignment="1">
      <alignment horizontal="center"/>
    </xf>
    <xf numFmtId="0" fontId="0" fillId="0" borderId="1" xfId="0" applyFont="1" applyBorder="1"/>
    <xf numFmtId="166" fontId="0" fillId="0" borderId="1" xfId="0" applyNumberFormat="1" applyFont="1" applyBorder="1" applyAlignment="1">
      <alignment horizontal="center" vertical="center" wrapText="1"/>
    </xf>
    <xf numFmtId="14" fontId="0" fillId="0" borderId="1" xfId="0" applyNumberFormat="1" applyFont="1" applyBorder="1" applyAlignment="1">
      <alignment horizontal="center" vertical="center" wrapText="1"/>
    </xf>
    <xf numFmtId="16" fontId="0" fillId="0" borderId="1" xfId="0" applyNumberFormat="1" applyFont="1" applyBorder="1" applyAlignment="1">
      <alignment horizontal="center" vertical="center" wrapText="1"/>
    </xf>
    <xf numFmtId="0" fontId="13" fillId="7" borderId="2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right" vertical="top" wrapText="1"/>
    </xf>
    <xf numFmtId="14" fontId="5" fillId="5" borderId="1" xfId="0" applyNumberFormat="1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9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8" fontId="19" fillId="7" borderId="1" xfId="0" applyNumberFormat="1" applyFont="1" applyFill="1" applyBorder="1" applyAlignment="1">
      <alignment horizontal="center" vertical="center" wrapText="1"/>
    </xf>
    <xf numFmtId="6" fontId="19" fillId="7" borderId="1" xfId="0" applyNumberFormat="1" applyFont="1" applyFill="1" applyBorder="1" applyAlignment="1">
      <alignment horizontal="center" vertical="center" wrapText="1"/>
    </xf>
    <xf numFmtId="165" fontId="19" fillId="7" borderId="1" xfId="0" applyNumberFormat="1" applyFont="1" applyFill="1" applyBorder="1" applyAlignment="1">
      <alignment horizontal="center" vertical="center" wrapText="1"/>
    </xf>
    <xf numFmtId="14" fontId="19" fillId="7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/>
    <xf numFmtId="11" fontId="19" fillId="0" borderId="0" xfId="0" applyNumberFormat="1" applyFont="1"/>
    <xf numFmtId="0" fontId="12" fillId="0" borderId="0" xfId="0" applyFont="1" applyAlignment="1">
      <alignment horizontal="center"/>
    </xf>
    <xf numFmtId="4" fontId="19" fillId="0" borderId="0" xfId="0" applyNumberFormat="1" applyFont="1" applyAlignment="1">
      <alignment vertical="center" wrapText="1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 wrapText="1"/>
    </xf>
    <xf numFmtId="0" fontId="2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10" fillId="0" borderId="5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625"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942974</xdr:colOff>
      <xdr:row>4</xdr:row>
      <xdr:rowOff>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942974" cy="104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410135</xdr:colOff>
      <xdr:row>3</xdr:row>
      <xdr:rowOff>164727</xdr:rowOff>
    </xdr:from>
    <xdr:to>
      <xdr:col>1</xdr:col>
      <xdr:colOff>200024</xdr:colOff>
      <xdr:row>7</xdr:row>
      <xdr:rowOff>135591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0135" y="890868"/>
          <a:ext cx="946336" cy="104662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114300</xdr:rowOff>
    </xdr:from>
    <xdr:to>
      <xdr:col>1</xdr:col>
      <xdr:colOff>60420</xdr:colOff>
      <xdr:row>4</xdr:row>
      <xdr:rowOff>152400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14300"/>
          <a:ext cx="1041495" cy="1047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3:P221"/>
  <sheetViews>
    <sheetView zoomScaleNormal="100" workbookViewId="0">
      <pane ySplit="7" topLeftCell="A14" activePane="bottomLeft" state="frozen"/>
      <selection pane="bottomLeft" activeCell="H225" sqref="H225"/>
    </sheetView>
  </sheetViews>
  <sheetFormatPr baseColWidth="10" defaultColWidth="11.44140625" defaultRowHeight="14.4" x14ac:dyDescent="0.3"/>
  <cols>
    <col min="1" max="1" width="17.88671875" style="29" customWidth="1"/>
    <col min="2" max="2" width="12.44140625" style="29" customWidth="1"/>
    <col min="3" max="3" width="24.88671875" style="29" customWidth="1"/>
    <col min="4" max="4" width="30.44140625" style="29" customWidth="1"/>
    <col min="5" max="5" width="25.33203125" style="29" customWidth="1"/>
    <col min="6" max="6" width="16.109375" style="29" customWidth="1"/>
    <col min="7" max="7" width="22.109375" style="29" customWidth="1"/>
    <col min="8" max="8" width="12.88671875" style="29" customWidth="1"/>
    <col min="9" max="9" width="13" style="29" customWidth="1"/>
    <col min="10" max="10" width="12.44140625" style="29" customWidth="1"/>
    <col min="11" max="11" width="11.6640625" style="29" customWidth="1"/>
    <col min="12" max="12" width="17.44140625" style="29" customWidth="1"/>
    <col min="13" max="13" width="15.33203125" style="29" customWidth="1"/>
    <col min="14" max="14" width="15.109375" style="29" customWidth="1"/>
    <col min="15" max="16384" width="11.44140625" style="29"/>
  </cols>
  <sheetData>
    <row r="3" spans="1:14" ht="31.2" x14ac:dyDescent="0.6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89"/>
    </row>
    <row r="4" spans="1:14" ht="21" x14ac:dyDescent="0.4">
      <c r="A4" s="30"/>
      <c r="B4" s="30"/>
      <c r="C4" s="30"/>
      <c r="D4" s="30"/>
      <c r="E4" s="30"/>
      <c r="F4" s="30"/>
      <c r="G4" s="30"/>
      <c r="H4" s="30"/>
      <c r="I4" s="30"/>
      <c r="J4" s="30"/>
      <c r="K4" s="30"/>
    </row>
    <row r="7" spans="1:14" x14ac:dyDescent="0.3">
      <c r="A7" s="31" t="s">
        <v>0</v>
      </c>
      <c r="B7" s="31" t="s">
        <v>18</v>
      </c>
      <c r="C7" s="31" t="s">
        <v>1</v>
      </c>
      <c r="D7" s="31" t="s">
        <v>2</v>
      </c>
      <c r="E7" s="31" t="s">
        <v>3</v>
      </c>
      <c r="F7" s="31" t="s">
        <v>22</v>
      </c>
      <c r="G7" s="31" t="s">
        <v>5</v>
      </c>
      <c r="H7" s="31" t="s">
        <v>6</v>
      </c>
      <c r="I7" s="31" t="s">
        <v>7</v>
      </c>
      <c r="J7" s="31" t="s">
        <v>8</v>
      </c>
      <c r="K7" s="31" t="s">
        <v>9</v>
      </c>
      <c r="L7" s="31" t="s">
        <v>23</v>
      </c>
      <c r="M7" s="31" t="s">
        <v>25</v>
      </c>
      <c r="N7" s="32" t="s">
        <v>24</v>
      </c>
    </row>
    <row r="8" spans="1:14" ht="28.5" customHeight="1" x14ac:dyDescent="0.3">
      <c r="A8" s="81" t="s">
        <v>28</v>
      </c>
      <c r="B8" s="33"/>
      <c r="C8" s="68" t="s">
        <v>1247</v>
      </c>
      <c r="D8" s="69" t="s">
        <v>875</v>
      </c>
      <c r="E8" s="68" t="s">
        <v>865</v>
      </c>
      <c r="F8" s="68" t="s">
        <v>872</v>
      </c>
      <c r="G8" s="69" t="s">
        <v>873</v>
      </c>
      <c r="H8" s="63">
        <v>660</v>
      </c>
      <c r="I8" s="69" t="s">
        <v>878</v>
      </c>
      <c r="J8" s="72">
        <v>43102</v>
      </c>
      <c r="K8" s="69" t="s">
        <v>915</v>
      </c>
      <c r="L8" s="79" t="s">
        <v>879</v>
      </c>
      <c r="M8" s="82"/>
      <c r="N8" s="37"/>
    </row>
    <row r="9" spans="1:14" ht="28.5" customHeight="1" x14ac:dyDescent="0.3">
      <c r="A9" s="81" t="s">
        <v>29</v>
      </c>
      <c r="B9" s="33"/>
      <c r="C9" s="68" t="s">
        <v>1247</v>
      </c>
      <c r="D9" s="69" t="s">
        <v>876</v>
      </c>
      <c r="E9" s="69" t="s">
        <v>874</v>
      </c>
      <c r="F9" s="69" t="s">
        <v>871</v>
      </c>
      <c r="G9" s="69" t="s">
        <v>873</v>
      </c>
      <c r="H9" s="34">
        <v>985</v>
      </c>
      <c r="I9" s="69" t="s">
        <v>878</v>
      </c>
      <c r="J9" s="72">
        <v>43102</v>
      </c>
      <c r="K9" s="69" t="s">
        <v>915</v>
      </c>
      <c r="L9" s="79" t="s">
        <v>877</v>
      </c>
      <c r="M9" s="82"/>
      <c r="N9" s="68" t="s">
        <v>931</v>
      </c>
    </row>
    <row r="10" spans="1:14" ht="28.5" customHeight="1" x14ac:dyDescent="0.3">
      <c r="A10" s="81" t="s">
        <v>30</v>
      </c>
      <c r="B10" s="33">
        <v>1</v>
      </c>
      <c r="C10" s="69" t="s">
        <v>863</v>
      </c>
      <c r="D10" s="69" t="s">
        <v>864</v>
      </c>
      <c r="E10" s="68" t="s">
        <v>865</v>
      </c>
      <c r="F10" s="68" t="s">
        <v>866</v>
      </c>
      <c r="G10" s="69" t="s">
        <v>880</v>
      </c>
      <c r="H10" s="38">
        <v>400</v>
      </c>
      <c r="I10" s="69" t="s">
        <v>882</v>
      </c>
      <c r="J10" s="72">
        <v>43468</v>
      </c>
      <c r="K10" s="69" t="s">
        <v>915</v>
      </c>
      <c r="L10" s="4" t="s">
        <v>881</v>
      </c>
      <c r="M10" s="82"/>
      <c r="N10" s="37">
        <v>70</v>
      </c>
    </row>
    <row r="11" spans="1:14" ht="28.5" customHeight="1" x14ac:dyDescent="0.3">
      <c r="A11" s="81" t="s">
        <v>31</v>
      </c>
      <c r="B11" s="33"/>
      <c r="C11" s="69" t="s">
        <v>884</v>
      </c>
      <c r="D11" s="69" t="s">
        <v>885</v>
      </c>
      <c r="E11" s="69" t="s">
        <v>886</v>
      </c>
      <c r="F11" s="33" t="s">
        <v>887</v>
      </c>
      <c r="G11" s="69" t="s">
        <v>888</v>
      </c>
      <c r="H11" s="34">
        <v>330</v>
      </c>
      <c r="I11" s="33">
        <v>250</v>
      </c>
      <c r="J11" s="72">
        <v>43468</v>
      </c>
      <c r="K11" s="33" t="s">
        <v>915</v>
      </c>
      <c r="L11" s="79" t="s">
        <v>890</v>
      </c>
      <c r="M11" s="82" t="s">
        <v>1213</v>
      </c>
      <c r="N11" s="69" t="s">
        <v>889</v>
      </c>
    </row>
    <row r="12" spans="1:14" ht="28.5" customHeight="1" x14ac:dyDescent="0.3">
      <c r="A12" s="81" t="s">
        <v>32</v>
      </c>
      <c r="B12" s="33"/>
      <c r="C12" s="68" t="s">
        <v>891</v>
      </c>
      <c r="D12" s="69" t="s">
        <v>892</v>
      </c>
      <c r="E12" s="68" t="s">
        <v>893</v>
      </c>
      <c r="F12" s="68" t="s">
        <v>894</v>
      </c>
      <c r="G12" s="69" t="s">
        <v>952</v>
      </c>
      <c r="H12" s="34">
        <v>10530</v>
      </c>
      <c r="I12" s="33">
        <v>685</v>
      </c>
      <c r="J12" s="72">
        <v>43469</v>
      </c>
      <c r="K12" s="33" t="s">
        <v>1079</v>
      </c>
      <c r="L12" s="4" t="s">
        <v>896</v>
      </c>
      <c r="M12" s="36"/>
      <c r="N12" s="68" t="s">
        <v>895</v>
      </c>
    </row>
    <row r="13" spans="1:14" ht="28.5" customHeight="1" x14ac:dyDescent="0.3">
      <c r="A13" s="81" t="s">
        <v>33</v>
      </c>
      <c r="B13" s="33"/>
      <c r="C13" s="68" t="s">
        <v>867</v>
      </c>
      <c r="D13" s="69" t="s">
        <v>902</v>
      </c>
      <c r="E13" s="68" t="s">
        <v>903</v>
      </c>
      <c r="F13" s="68" t="s">
        <v>904</v>
      </c>
      <c r="G13" s="68" t="s">
        <v>905</v>
      </c>
      <c r="H13" s="84">
        <v>415</v>
      </c>
      <c r="I13" s="69" t="s">
        <v>906</v>
      </c>
      <c r="J13" s="35">
        <v>43473</v>
      </c>
      <c r="K13" s="69" t="s">
        <v>953</v>
      </c>
      <c r="L13" s="79"/>
      <c r="M13" s="36"/>
      <c r="N13" s="68" t="s">
        <v>907</v>
      </c>
    </row>
    <row r="14" spans="1:14" ht="28.5" customHeight="1" x14ac:dyDescent="0.3">
      <c r="A14" s="81" t="s">
        <v>34</v>
      </c>
      <c r="B14" s="33"/>
      <c r="C14" s="68" t="s">
        <v>1247</v>
      </c>
      <c r="D14" s="69" t="s">
        <v>875</v>
      </c>
      <c r="E14" s="68" t="s">
        <v>865</v>
      </c>
      <c r="F14" s="68" t="s">
        <v>872</v>
      </c>
      <c r="G14" s="69" t="s">
        <v>873</v>
      </c>
      <c r="H14" s="63">
        <v>465</v>
      </c>
      <c r="I14" s="69"/>
      <c r="J14" s="35">
        <v>43483</v>
      </c>
      <c r="K14" s="69" t="s">
        <v>915</v>
      </c>
      <c r="L14" s="4" t="s">
        <v>935</v>
      </c>
      <c r="M14" s="82"/>
      <c r="N14" s="68" t="s">
        <v>936</v>
      </c>
    </row>
    <row r="15" spans="1:14" ht="28.5" customHeight="1" x14ac:dyDescent="0.3">
      <c r="A15" s="81" t="s">
        <v>35</v>
      </c>
      <c r="B15" s="33"/>
      <c r="C15" s="68" t="s">
        <v>937</v>
      </c>
      <c r="D15" s="69" t="s">
        <v>942</v>
      </c>
      <c r="E15" s="68" t="s">
        <v>938</v>
      </c>
      <c r="F15" s="68">
        <v>75010</v>
      </c>
      <c r="G15" s="68" t="s">
        <v>939</v>
      </c>
      <c r="H15" s="39">
        <v>630</v>
      </c>
      <c r="I15" s="33"/>
      <c r="J15" s="35">
        <v>43486</v>
      </c>
      <c r="K15" s="33" t="s">
        <v>915</v>
      </c>
      <c r="L15" s="4" t="s">
        <v>940</v>
      </c>
      <c r="M15" s="82"/>
      <c r="N15" s="68" t="s">
        <v>941</v>
      </c>
    </row>
    <row r="16" spans="1:14" ht="28.5" customHeight="1" x14ac:dyDescent="0.3">
      <c r="A16" s="81" t="s">
        <v>36</v>
      </c>
      <c r="B16" s="33"/>
      <c r="C16" s="68" t="s">
        <v>1247</v>
      </c>
      <c r="D16" s="69" t="s">
        <v>875</v>
      </c>
      <c r="E16" s="68" t="s">
        <v>865</v>
      </c>
      <c r="F16" s="68" t="s">
        <v>872</v>
      </c>
      <c r="G16" s="69" t="s">
        <v>873</v>
      </c>
      <c r="H16" s="63">
        <v>400</v>
      </c>
      <c r="I16" s="69"/>
      <c r="J16" s="35">
        <v>43494</v>
      </c>
      <c r="K16" s="33" t="s">
        <v>915</v>
      </c>
      <c r="L16" s="4" t="s">
        <v>954</v>
      </c>
      <c r="M16" s="36"/>
      <c r="N16" s="68" t="s">
        <v>955</v>
      </c>
    </row>
    <row r="17" spans="1:14" ht="28.5" customHeight="1" x14ac:dyDescent="0.3">
      <c r="A17" s="81" t="s">
        <v>37</v>
      </c>
      <c r="B17" s="33"/>
      <c r="C17" s="69" t="s">
        <v>947</v>
      </c>
      <c r="D17" s="69" t="s">
        <v>948</v>
      </c>
      <c r="E17" s="69" t="s">
        <v>949</v>
      </c>
      <c r="F17" s="69">
        <v>75015</v>
      </c>
      <c r="G17" s="68" t="s">
        <v>939</v>
      </c>
      <c r="H17" s="39">
        <v>450</v>
      </c>
      <c r="I17" s="33"/>
      <c r="J17" s="35">
        <v>43494</v>
      </c>
      <c r="K17" s="33" t="s">
        <v>1079</v>
      </c>
      <c r="L17" s="4"/>
      <c r="M17" s="82"/>
      <c r="N17" s="37"/>
    </row>
    <row r="18" spans="1:14" ht="28.5" customHeight="1" x14ac:dyDescent="0.3">
      <c r="A18" s="81" t="s">
        <v>38</v>
      </c>
      <c r="B18" s="33"/>
      <c r="C18" s="69" t="s">
        <v>867</v>
      </c>
      <c r="D18" s="69" t="s">
        <v>868</v>
      </c>
      <c r="E18" s="69" t="s">
        <v>865</v>
      </c>
      <c r="F18" s="69" t="s">
        <v>866</v>
      </c>
      <c r="G18" s="69" t="s">
        <v>951</v>
      </c>
      <c r="H18" s="39">
        <v>32340</v>
      </c>
      <c r="I18" s="33"/>
      <c r="J18" s="35">
        <v>43493</v>
      </c>
      <c r="K18" s="33" t="s">
        <v>915</v>
      </c>
      <c r="L18" s="4"/>
      <c r="M18" s="36"/>
      <c r="N18" s="37"/>
    </row>
    <row r="19" spans="1:14" ht="28.5" customHeight="1" x14ac:dyDescent="0.3">
      <c r="A19" s="81" t="s">
        <v>39</v>
      </c>
      <c r="B19" s="33"/>
      <c r="C19" s="68" t="s">
        <v>956</v>
      </c>
      <c r="D19" s="69" t="s">
        <v>957</v>
      </c>
      <c r="E19" s="68" t="s">
        <v>958</v>
      </c>
      <c r="F19" s="69" t="s">
        <v>866</v>
      </c>
      <c r="G19" s="69" t="s">
        <v>959</v>
      </c>
      <c r="H19" s="63">
        <v>2600</v>
      </c>
      <c r="I19" s="33"/>
      <c r="J19" s="35">
        <v>43493</v>
      </c>
      <c r="K19" s="33" t="s">
        <v>915</v>
      </c>
      <c r="L19" s="4" t="s">
        <v>961</v>
      </c>
      <c r="M19" s="36"/>
      <c r="N19" s="68" t="s">
        <v>960</v>
      </c>
    </row>
    <row r="20" spans="1:14" ht="28.5" customHeight="1" x14ac:dyDescent="0.3">
      <c r="A20" s="81" t="s">
        <v>40</v>
      </c>
      <c r="B20" s="33"/>
      <c r="C20" s="68" t="s">
        <v>956</v>
      </c>
      <c r="D20" s="69" t="s">
        <v>957</v>
      </c>
      <c r="E20" s="68" t="s">
        <v>962</v>
      </c>
      <c r="F20" s="69" t="s">
        <v>866</v>
      </c>
      <c r="G20" s="69" t="s">
        <v>959</v>
      </c>
      <c r="H20" s="63">
        <v>235</v>
      </c>
      <c r="I20" s="33"/>
      <c r="J20" s="35">
        <v>43493</v>
      </c>
      <c r="K20" s="33" t="s">
        <v>915</v>
      </c>
      <c r="L20" s="4"/>
      <c r="M20" s="36"/>
      <c r="N20" s="37"/>
    </row>
    <row r="21" spans="1:14" ht="28.5" customHeight="1" x14ac:dyDescent="0.3">
      <c r="A21" s="81" t="s">
        <v>41</v>
      </c>
      <c r="B21" s="33"/>
      <c r="C21" s="68" t="s">
        <v>1247</v>
      </c>
      <c r="D21" s="69" t="s">
        <v>970</v>
      </c>
      <c r="E21" s="69" t="s">
        <v>893</v>
      </c>
      <c r="F21" s="69" t="s">
        <v>976</v>
      </c>
      <c r="G21" s="69" t="s">
        <v>971</v>
      </c>
      <c r="H21" s="39">
        <v>985</v>
      </c>
      <c r="I21" s="69" t="s">
        <v>978</v>
      </c>
      <c r="J21" s="35">
        <v>43495</v>
      </c>
      <c r="K21" s="33" t="s">
        <v>915</v>
      </c>
      <c r="L21" s="4" t="s">
        <v>973</v>
      </c>
      <c r="M21" s="36"/>
      <c r="N21" s="68" t="s">
        <v>975</v>
      </c>
    </row>
    <row r="22" spans="1:14" ht="28.5" customHeight="1" x14ac:dyDescent="0.3">
      <c r="A22" s="81" t="s">
        <v>42</v>
      </c>
      <c r="B22" s="33"/>
      <c r="C22" s="68" t="s">
        <v>1247</v>
      </c>
      <c r="D22" s="69" t="s">
        <v>972</v>
      </c>
      <c r="E22" s="69" t="s">
        <v>893</v>
      </c>
      <c r="F22" s="69" t="s">
        <v>977</v>
      </c>
      <c r="G22" s="69" t="s">
        <v>873</v>
      </c>
      <c r="H22" s="39">
        <v>985</v>
      </c>
      <c r="I22" s="69" t="s">
        <v>978</v>
      </c>
      <c r="J22" s="35">
        <v>43495</v>
      </c>
      <c r="K22" s="33" t="s">
        <v>915</v>
      </c>
      <c r="L22" s="4" t="s">
        <v>974</v>
      </c>
      <c r="M22" s="36"/>
      <c r="N22" s="68" t="s">
        <v>975</v>
      </c>
    </row>
    <row r="23" spans="1:14" ht="28.5" customHeight="1" x14ac:dyDescent="0.3">
      <c r="A23" s="81" t="s">
        <v>43</v>
      </c>
      <c r="B23" s="33"/>
      <c r="C23" s="69" t="s">
        <v>979</v>
      </c>
      <c r="D23" s="69" t="s">
        <v>980</v>
      </c>
      <c r="E23" s="69" t="s">
        <v>886</v>
      </c>
      <c r="F23" s="69" t="s">
        <v>985</v>
      </c>
      <c r="G23" s="69" t="s">
        <v>981</v>
      </c>
      <c r="H23" s="39">
        <v>909</v>
      </c>
      <c r="I23" s="69" t="s">
        <v>982</v>
      </c>
      <c r="J23" s="35">
        <v>43495</v>
      </c>
      <c r="K23" s="33" t="s">
        <v>915</v>
      </c>
      <c r="L23" s="4" t="s">
        <v>983</v>
      </c>
      <c r="M23" s="36"/>
      <c r="N23" s="68"/>
    </row>
    <row r="24" spans="1:14" ht="45.75" customHeight="1" x14ac:dyDescent="0.3">
      <c r="A24" s="81" t="s">
        <v>44</v>
      </c>
      <c r="B24" s="33"/>
      <c r="C24" s="69" t="s">
        <v>979</v>
      </c>
      <c r="D24" s="69" t="s">
        <v>984</v>
      </c>
      <c r="E24" s="69" t="s">
        <v>886</v>
      </c>
      <c r="F24" s="69" t="s">
        <v>986</v>
      </c>
      <c r="G24" s="69" t="s">
        <v>981</v>
      </c>
      <c r="H24" s="39">
        <v>1737</v>
      </c>
      <c r="I24" s="69" t="s">
        <v>982</v>
      </c>
      <c r="J24" s="35">
        <v>43495</v>
      </c>
      <c r="K24" s="33" t="s">
        <v>915</v>
      </c>
      <c r="L24" s="4" t="s">
        <v>983</v>
      </c>
      <c r="M24" s="36"/>
      <c r="N24" s="37"/>
    </row>
    <row r="25" spans="1:14" ht="28.5" customHeight="1" x14ac:dyDescent="0.3">
      <c r="A25" s="81" t="s">
        <v>45</v>
      </c>
      <c r="B25" s="33"/>
      <c r="C25" s="69" t="s">
        <v>867</v>
      </c>
      <c r="D25" s="69" t="s">
        <v>988</v>
      </c>
      <c r="E25" s="69" t="s">
        <v>989</v>
      </c>
      <c r="F25" s="69" t="s">
        <v>990</v>
      </c>
      <c r="G25" s="69" t="s">
        <v>991</v>
      </c>
      <c r="H25" s="39">
        <v>1820</v>
      </c>
      <c r="I25" s="33"/>
      <c r="J25" s="35">
        <v>43496</v>
      </c>
      <c r="K25" s="33" t="s">
        <v>1079</v>
      </c>
      <c r="L25" s="4" t="s">
        <v>992</v>
      </c>
      <c r="M25" s="36"/>
      <c r="N25" s="37"/>
    </row>
    <row r="26" spans="1:14" ht="28.5" customHeight="1" x14ac:dyDescent="0.3">
      <c r="A26" s="81" t="s">
        <v>46</v>
      </c>
      <c r="B26" s="33">
        <v>1</v>
      </c>
      <c r="C26" s="69" t="s">
        <v>867</v>
      </c>
      <c r="D26" s="68" t="s">
        <v>868</v>
      </c>
      <c r="E26" s="69" t="s">
        <v>993</v>
      </c>
      <c r="F26" s="69" t="s">
        <v>990</v>
      </c>
      <c r="G26" s="68" t="s">
        <v>994</v>
      </c>
      <c r="H26" s="84">
        <v>2480</v>
      </c>
      <c r="I26" s="33"/>
      <c r="J26" s="88">
        <v>43496</v>
      </c>
      <c r="K26" s="33" t="s">
        <v>915</v>
      </c>
      <c r="L26" s="4" t="s">
        <v>995</v>
      </c>
      <c r="M26" s="82" t="s">
        <v>1075</v>
      </c>
      <c r="N26" s="68" t="s">
        <v>996</v>
      </c>
    </row>
    <row r="27" spans="1:14" ht="28.5" customHeight="1" x14ac:dyDescent="0.3">
      <c r="A27" s="81" t="s">
        <v>47</v>
      </c>
      <c r="B27" s="33"/>
      <c r="C27" s="69" t="s">
        <v>867</v>
      </c>
      <c r="D27" s="69" t="s">
        <v>997</v>
      </c>
      <c r="E27" s="69" t="s">
        <v>993</v>
      </c>
      <c r="F27" s="68" t="s">
        <v>866</v>
      </c>
      <c r="G27" s="68" t="s">
        <v>998</v>
      </c>
      <c r="H27" s="84">
        <v>395</v>
      </c>
      <c r="I27" t="s">
        <v>999</v>
      </c>
      <c r="J27" s="35">
        <v>43496</v>
      </c>
      <c r="K27" s="33" t="s">
        <v>915</v>
      </c>
      <c r="L27" s="4" t="s">
        <v>1000</v>
      </c>
      <c r="M27" s="36"/>
      <c r="N27" s="37"/>
    </row>
    <row r="28" spans="1:14" ht="28.5" customHeight="1" x14ac:dyDescent="0.3">
      <c r="A28" s="81" t="s">
        <v>48</v>
      </c>
      <c r="B28" s="33"/>
      <c r="C28" s="69" t="s">
        <v>956</v>
      </c>
      <c r="D28" s="69" t="s">
        <v>1002</v>
      </c>
      <c r="E28" s="69" t="s">
        <v>903</v>
      </c>
      <c r="F28" s="69" t="s">
        <v>866</v>
      </c>
      <c r="G28" s="69" t="s">
        <v>959</v>
      </c>
      <c r="H28" s="39">
        <v>330</v>
      </c>
      <c r="I28" s="69">
        <v>33</v>
      </c>
      <c r="J28" s="35">
        <v>43497</v>
      </c>
      <c r="K28" s="69" t="s">
        <v>915</v>
      </c>
      <c r="L28" s="79" t="s">
        <v>1003</v>
      </c>
      <c r="M28" s="36"/>
      <c r="N28" s="37"/>
    </row>
    <row r="29" spans="1:14" ht="28.5" customHeight="1" x14ac:dyDescent="0.3">
      <c r="A29" s="81" t="s">
        <v>1119</v>
      </c>
      <c r="B29" s="33"/>
      <c r="C29" s="69" t="s">
        <v>884</v>
      </c>
      <c r="D29" s="69" t="s">
        <v>1120</v>
      </c>
      <c r="E29" s="69" t="s">
        <v>1121</v>
      </c>
      <c r="F29" s="69">
        <v>91</v>
      </c>
      <c r="G29" s="69" t="s">
        <v>1122</v>
      </c>
      <c r="H29" s="39">
        <v>330</v>
      </c>
      <c r="I29" s="69"/>
      <c r="J29" s="35">
        <v>43501</v>
      </c>
      <c r="K29" s="69" t="s">
        <v>915</v>
      </c>
      <c r="L29" s="79" t="s">
        <v>1212</v>
      </c>
      <c r="M29" s="69" t="s">
        <v>1224</v>
      </c>
      <c r="N29" s="37"/>
    </row>
    <row r="30" spans="1:14" ht="36" customHeight="1" x14ac:dyDescent="0.3">
      <c r="A30" s="81" t="s">
        <v>49</v>
      </c>
      <c r="B30" s="33"/>
      <c r="C30" s="69" t="s">
        <v>867</v>
      </c>
      <c r="D30" s="69" t="s">
        <v>868</v>
      </c>
      <c r="E30" s="69" t="s">
        <v>865</v>
      </c>
      <c r="F30" s="69" t="s">
        <v>866</v>
      </c>
      <c r="G30" s="69" t="s">
        <v>870</v>
      </c>
      <c r="H30" s="39">
        <v>895</v>
      </c>
      <c r="I30" s="33"/>
      <c r="J30" s="35">
        <v>43502</v>
      </c>
      <c r="K30" s="33" t="s">
        <v>915</v>
      </c>
      <c r="L30" s="4" t="s">
        <v>1021</v>
      </c>
      <c r="M30" s="82"/>
      <c r="N30" s="37"/>
    </row>
    <row r="31" spans="1:14" ht="28.5" customHeight="1" x14ac:dyDescent="0.3">
      <c r="A31" s="81" t="s">
        <v>50</v>
      </c>
      <c r="B31" s="33">
        <v>1</v>
      </c>
      <c r="C31" s="69" t="s">
        <v>1028</v>
      </c>
      <c r="D31" s="69" t="s">
        <v>1029</v>
      </c>
      <c r="E31" s="69" t="s">
        <v>1030</v>
      </c>
      <c r="F31" s="69" t="s">
        <v>1031</v>
      </c>
      <c r="G31" s="69" t="s">
        <v>1032</v>
      </c>
      <c r="H31" s="39">
        <v>4185</v>
      </c>
      <c r="I31" s="69"/>
      <c r="J31" s="35">
        <v>43503</v>
      </c>
      <c r="K31" s="69" t="s">
        <v>915</v>
      </c>
      <c r="L31" s="70" t="s">
        <v>1033</v>
      </c>
      <c r="M31" s="36"/>
      <c r="N31" s="37"/>
    </row>
    <row r="32" spans="1:14" ht="28.5" customHeight="1" x14ac:dyDescent="0.3">
      <c r="A32" s="81" t="s">
        <v>51</v>
      </c>
      <c r="B32" s="33"/>
      <c r="C32" s="69" t="s">
        <v>867</v>
      </c>
      <c r="D32" s="69" t="s">
        <v>868</v>
      </c>
      <c r="E32" s="69" t="s">
        <v>1038</v>
      </c>
      <c r="F32" s="69" t="s">
        <v>866</v>
      </c>
      <c r="G32" s="69" t="s">
        <v>951</v>
      </c>
      <c r="H32" s="39">
        <v>1350</v>
      </c>
      <c r="I32" s="33"/>
      <c r="J32" s="35">
        <v>43508</v>
      </c>
      <c r="K32" s="69" t="s">
        <v>915</v>
      </c>
      <c r="L32" s="70" t="s">
        <v>1039</v>
      </c>
      <c r="M32" s="36"/>
      <c r="N32" s="37"/>
    </row>
    <row r="33" spans="1:15" ht="28.5" customHeight="1" x14ac:dyDescent="0.3">
      <c r="A33" s="81" t="s">
        <v>52</v>
      </c>
      <c r="B33" s="33"/>
      <c r="C33" s="69" t="s">
        <v>1043</v>
      </c>
      <c r="D33" s="69" t="s">
        <v>1044</v>
      </c>
      <c r="E33" s="69" t="s">
        <v>886</v>
      </c>
      <c r="F33" s="69" t="s">
        <v>1045</v>
      </c>
      <c r="G33" s="69" t="s">
        <v>1046</v>
      </c>
      <c r="H33" s="39">
        <v>575</v>
      </c>
      <c r="I33" s="69"/>
      <c r="J33" s="35">
        <v>43508</v>
      </c>
      <c r="K33" s="33" t="s">
        <v>1079</v>
      </c>
      <c r="L33" s="70" t="s">
        <v>1047</v>
      </c>
      <c r="M33" s="82"/>
      <c r="N33" s="68" t="s">
        <v>975</v>
      </c>
    </row>
    <row r="34" spans="1:15" ht="28.5" customHeight="1" x14ac:dyDescent="0.3">
      <c r="A34" s="81" t="s">
        <v>53</v>
      </c>
      <c r="B34" s="33"/>
      <c r="C34" s="68" t="s">
        <v>956</v>
      </c>
      <c r="D34" s="69" t="s">
        <v>957</v>
      </c>
      <c r="E34" s="68" t="s">
        <v>886</v>
      </c>
      <c r="F34" s="69" t="s">
        <v>866</v>
      </c>
      <c r="G34" s="69" t="s">
        <v>959</v>
      </c>
      <c r="H34" s="39">
        <v>4284</v>
      </c>
      <c r="I34" s="69" t="s">
        <v>1048</v>
      </c>
      <c r="J34" s="35">
        <v>43509</v>
      </c>
      <c r="K34" s="33" t="s">
        <v>915</v>
      </c>
      <c r="L34" s="70" t="s">
        <v>1049</v>
      </c>
      <c r="M34" s="36"/>
      <c r="N34" s="68" t="s">
        <v>1050</v>
      </c>
    </row>
    <row r="35" spans="1:15" ht="28.5" customHeight="1" x14ac:dyDescent="0.3">
      <c r="A35" s="81" t="s">
        <v>54</v>
      </c>
      <c r="B35" s="33"/>
      <c r="C35" s="69" t="s">
        <v>1051</v>
      </c>
      <c r="D35" s="69" t="s">
        <v>1052</v>
      </c>
      <c r="E35" s="69" t="s">
        <v>886</v>
      </c>
      <c r="F35" s="69" t="s">
        <v>1053</v>
      </c>
      <c r="G35" s="69" t="s">
        <v>1054</v>
      </c>
      <c r="H35" s="39">
        <v>450</v>
      </c>
      <c r="I35" s="69" t="s">
        <v>1055</v>
      </c>
      <c r="J35" s="35">
        <v>43510</v>
      </c>
      <c r="K35" s="33" t="s">
        <v>915</v>
      </c>
      <c r="L35" s="70" t="s">
        <v>1076</v>
      </c>
      <c r="M35" s="82" t="s">
        <v>1159</v>
      </c>
      <c r="N35" s="15"/>
    </row>
    <row r="36" spans="1:15" ht="28.5" customHeight="1" x14ac:dyDescent="0.3">
      <c r="A36" s="81" t="s">
        <v>55</v>
      </c>
      <c r="B36" s="33"/>
      <c r="C36" s="69" t="s">
        <v>1056</v>
      </c>
      <c r="D36" s="69" t="s">
        <v>1059</v>
      </c>
      <c r="E36" s="69" t="s">
        <v>886</v>
      </c>
      <c r="F36" s="69" t="s">
        <v>1058</v>
      </c>
      <c r="G36" s="69" t="s">
        <v>1057</v>
      </c>
      <c r="H36" s="39">
        <v>388</v>
      </c>
      <c r="I36" s="69" t="s">
        <v>1060</v>
      </c>
      <c r="J36" s="35">
        <v>43510</v>
      </c>
      <c r="K36" s="33" t="s">
        <v>915</v>
      </c>
      <c r="L36" s="70" t="s">
        <v>1077</v>
      </c>
      <c r="M36" s="82" t="s">
        <v>1213</v>
      </c>
      <c r="N36" s="68" t="s">
        <v>1078</v>
      </c>
    </row>
    <row r="37" spans="1:15" ht="28.5" customHeight="1" x14ac:dyDescent="0.3">
      <c r="A37" s="12" t="s">
        <v>56</v>
      </c>
      <c r="B37" s="33"/>
      <c r="C37" s="68"/>
      <c r="D37" s="69"/>
      <c r="E37" s="68" t="s">
        <v>949</v>
      </c>
      <c r="F37" s="68" t="s">
        <v>1061</v>
      </c>
      <c r="G37" s="69" t="s">
        <v>1062</v>
      </c>
      <c r="H37" s="118">
        <v>375</v>
      </c>
      <c r="I37" s="37"/>
      <c r="J37" s="119"/>
      <c r="K37" s="69" t="s">
        <v>1079</v>
      </c>
      <c r="L37" s="40"/>
      <c r="M37" s="36"/>
      <c r="N37" s="68"/>
    </row>
    <row r="38" spans="1:15" ht="28.5" customHeight="1" x14ac:dyDescent="0.3">
      <c r="A38" s="81" t="s">
        <v>57</v>
      </c>
      <c r="B38" s="33"/>
      <c r="C38" s="68" t="s">
        <v>1063</v>
      </c>
      <c r="D38" s="69" t="s">
        <v>1064</v>
      </c>
      <c r="E38" s="69" t="s">
        <v>1065</v>
      </c>
      <c r="F38" s="69" t="s">
        <v>1066</v>
      </c>
      <c r="G38" s="69" t="s">
        <v>1067</v>
      </c>
      <c r="H38" s="39">
        <v>2970</v>
      </c>
      <c r="I38" s="69" t="s">
        <v>1068</v>
      </c>
      <c r="J38" s="35">
        <v>43516</v>
      </c>
      <c r="K38" s="69" t="s">
        <v>953</v>
      </c>
      <c r="L38" s="40"/>
      <c r="M38" s="36"/>
      <c r="N38" s="84"/>
    </row>
    <row r="39" spans="1:15" ht="48" customHeight="1" x14ac:dyDescent="0.3">
      <c r="A39" s="81" t="s">
        <v>58</v>
      </c>
      <c r="B39" s="33">
        <v>1</v>
      </c>
      <c r="C39" s="68" t="s">
        <v>867</v>
      </c>
      <c r="D39" s="69" t="s">
        <v>868</v>
      </c>
      <c r="E39" s="69" t="s">
        <v>1093</v>
      </c>
      <c r="F39" s="69" t="s">
        <v>866</v>
      </c>
      <c r="G39" s="69" t="s">
        <v>1069</v>
      </c>
      <c r="H39" s="38">
        <v>1775</v>
      </c>
      <c r="I39" s="33"/>
      <c r="J39" s="35">
        <v>43516</v>
      </c>
      <c r="K39" s="69" t="s">
        <v>915</v>
      </c>
      <c r="L39" s="70" t="s">
        <v>1094</v>
      </c>
      <c r="M39" s="36"/>
      <c r="N39" s="37"/>
    </row>
    <row r="40" spans="1:15" ht="28.5" customHeight="1" x14ac:dyDescent="0.3">
      <c r="A40" s="81" t="s">
        <v>59</v>
      </c>
      <c r="B40" s="33"/>
      <c r="C40" s="68" t="s">
        <v>867</v>
      </c>
      <c r="D40" s="69" t="s">
        <v>868</v>
      </c>
      <c r="E40" s="69" t="s">
        <v>993</v>
      </c>
      <c r="F40" s="69" t="s">
        <v>866</v>
      </c>
      <c r="G40" s="69" t="s">
        <v>1070</v>
      </c>
      <c r="H40" s="39">
        <v>790</v>
      </c>
      <c r="I40" s="42"/>
      <c r="J40" s="35">
        <v>43517</v>
      </c>
      <c r="K40" s="69" t="s">
        <v>1079</v>
      </c>
      <c r="L40" s="40"/>
      <c r="M40" s="36"/>
      <c r="N40" s="33"/>
    </row>
    <row r="41" spans="1:15" ht="28.5" customHeight="1" x14ac:dyDescent="0.3">
      <c r="A41" s="81" t="s">
        <v>60</v>
      </c>
      <c r="B41" s="14"/>
      <c r="C41" s="69" t="s">
        <v>947</v>
      </c>
      <c r="D41" s="69" t="s">
        <v>1071</v>
      </c>
      <c r="E41" s="69" t="s">
        <v>886</v>
      </c>
      <c r="F41" s="69" t="s">
        <v>866</v>
      </c>
      <c r="G41" s="69" t="s">
        <v>1072</v>
      </c>
      <c r="H41" s="85">
        <v>2135</v>
      </c>
      <c r="I41" s="14"/>
      <c r="J41" s="18">
        <v>43517</v>
      </c>
      <c r="K41" s="14" t="s">
        <v>915</v>
      </c>
      <c r="L41" s="70" t="s">
        <v>1074</v>
      </c>
      <c r="M41" s="86"/>
      <c r="N41" s="68" t="s">
        <v>1073</v>
      </c>
      <c r="O41" s="128"/>
    </row>
    <row r="42" spans="1:15" ht="28.5" customHeight="1" x14ac:dyDescent="0.3">
      <c r="A42" s="81" t="s">
        <v>61</v>
      </c>
      <c r="B42" s="33"/>
      <c r="C42" s="68" t="s">
        <v>867</v>
      </c>
      <c r="D42" s="69" t="s">
        <v>868</v>
      </c>
      <c r="E42" s="69" t="s">
        <v>1091</v>
      </c>
      <c r="F42" s="69" t="s">
        <v>866</v>
      </c>
      <c r="G42" s="69" t="s">
        <v>1069</v>
      </c>
      <c r="H42" s="39">
        <v>425</v>
      </c>
      <c r="I42" s="33"/>
      <c r="J42" s="35">
        <v>43523</v>
      </c>
      <c r="K42" s="69" t="s">
        <v>915</v>
      </c>
      <c r="L42" s="70" t="s">
        <v>1095</v>
      </c>
      <c r="M42" s="36" t="s">
        <v>1134</v>
      </c>
      <c r="N42" s="68" t="s">
        <v>1092</v>
      </c>
    </row>
    <row r="43" spans="1:15" ht="28.5" customHeight="1" x14ac:dyDescent="0.3">
      <c r="A43" s="81" t="s">
        <v>62</v>
      </c>
      <c r="B43" s="33"/>
      <c r="C43" s="69" t="s">
        <v>1096</v>
      </c>
      <c r="D43" s="69" t="s">
        <v>1097</v>
      </c>
      <c r="E43" s="69" t="s">
        <v>865</v>
      </c>
      <c r="F43" s="69" t="s">
        <v>866</v>
      </c>
      <c r="G43" s="69" t="s">
        <v>1098</v>
      </c>
      <c r="H43" s="39">
        <v>2950</v>
      </c>
      <c r="I43" s="33"/>
      <c r="J43" s="35">
        <v>43525</v>
      </c>
      <c r="K43" s="33" t="s">
        <v>915</v>
      </c>
      <c r="L43" s="70" t="s">
        <v>1099</v>
      </c>
      <c r="M43" s="36"/>
      <c r="N43" s="68" t="s">
        <v>1100</v>
      </c>
    </row>
    <row r="44" spans="1:15" ht="28.5" customHeight="1" x14ac:dyDescent="0.3">
      <c r="A44" s="81" t="s">
        <v>63</v>
      </c>
      <c r="B44" s="33"/>
      <c r="C44" s="69" t="s">
        <v>1102</v>
      </c>
      <c r="D44" s="69" t="s">
        <v>1103</v>
      </c>
      <c r="E44" s="69" t="s">
        <v>893</v>
      </c>
      <c r="F44" s="69" t="s">
        <v>866</v>
      </c>
      <c r="G44" s="69" t="s">
        <v>1104</v>
      </c>
      <c r="H44" s="39">
        <v>750</v>
      </c>
      <c r="I44" s="69"/>
      <c r="J44" s="35">
        <v>43526</v>
      </c>
      <c r="K44" s="33" t="s">
        <v>915</v>
      </c>
      <c r="L44" s="70" t="s">
        <v>1105</v>
      </c>
      <c r="M44" s="36"/>
      <c r="N44" s="37">
        <v>50</v>
      </c>
    </row>
    <row r="45" spans="1:15" ht="28.5" customHeight="1" x14ac:dyDescent="0.3">
      <c r="A45" s="81" t="s">
        <v>64</v>
      </c>
      <c r="B45" s="33"/>
      <c r="C45" s="69" t="s">
        <v>1102</v>
      </c>
      <c r="D45" s="69" t="s">
        <v>1106</v>
      </c>
      <c r="E45" s="69" t="s">
        <v>893</v>
      </c>
      <c r="F45" s="69" t="s">
        <v>866</v>
      </c>
      <c r="G45" s="69" t="s">
        <v>1107</v>
      </c>
      <c r="H45" s="39">
        <v>375</v>
      </c>
      <c r="I45" s="33"/>
      <c r="J45" s="35">
        <v>43529</v>
      </c>
      <c r="K45" s="33" t="s">
        <v>915</v>
      </c>
      <c r="L45" s="70" t="s">
        <v>1108</v>
      </c>
      <c r="M45" s="36"/>
      <c r="N45" s="37">
        <v>50</v>
      </c>
    </row>
    <row r="46" spans="1:15" ht="28.5" customHeight="1" x14ac:dyDescent="0.3">
      <c r="A46" s="81" t="s">
        <v>65</v>
      </c>
      <c r="B46" s="33"/>
      <c r="C46" s="69" t="s">
        <v>867</v>
      </c>
      <c r="D46" s="69" t="s">
        <v>1111</v>
      </c>
      <c r="E46" s="69" t="s">
        <v>1112</v>
      </c>
      <c r="F46" s="69" t="s">
        <v>866</v>
      </c>
      <c r="G46" s="69" t="s">
        <v>1113</v>
      </c>
      <c r="H46" s="39">
        <v>1285</v>
      </c>
      <c r="I46" s="33"/>
      <c r="J46" s="35">
        <v>43530</v>
      </c>
      <c r="K46" s="33" t="s">
        <v>915</v>
      </c>
      <c r="L46" s="70" t="s">
        <v>1114</v>
      </c>
      <c r="M46" s="43"/>
      <c r="N46" s="68" t="s">
        <v>1117</v>
      </c>
    </row>
    <row r="47" spans="1:15" ht="28.5" customHeight="1" x14ac:dyDescent="0.3">
      <c r="A47" s="81" t="s">
        <v>66</v>
      </c>
      <c r="B47" s="33">
        <v>1</v>
      </c>
      <c r="C47" s="69" t="s">
        <v>1028</v>
      </c>
      <c r="D47" s="69" t="s">
        <v>1118</v>
      </c>
      <c r="E47" s="69" t="s">
        <v>1112</v>
      </c>
      <c r="F47" s="69" t="s">
        <v>1031</v>
      </c>
      <c r="G47" s="69" t="s">
        <v>1032</v>
      </c>
      <c r="H47" s="39">
        <v>3972</v>
      </c>
      <c r="I47" s="69"/>
      <c r="J47" s="35">
        <v>43503</v>
      </c>
      <c r="K47" s="33" t="s">
        <v>915</v>
      </c>
      <c r="L47" s="70" t="s">
        <v>1033</v>
      </c>
      <c r="M47" s="36"/>
      <c r="N47" s="68" t="s">
        <v>1160</v>
      </c>
    </row>
    <row r="48" spans="1:15" ht="28.5" customHeight="1" x14ac:dyDescent="0.3">
      <c r="A48" s="81" t="s">
        <v>67</v>
      </c>
      <c r="B48" s="33"/>
      <c r="C48" s="69" t="s">
        <v>1028</v>
      </c>
      <c r="D48" s="69" t="s">
        <v>1123</v>
      </c>
      <c r="E48" s="69" t="s">
        <v>1124</v>
      </c>
      <c r="F48" s="69" t="s">
        <v>1031</v>
      </c>
      <c r="G48" s="69" t="s">
        <v>1032</v>
      </c>
      <c r="H48" s="39">
        <v>170</v>
      </c>
      <c r="I48" s="33"/>
      <c r="J48" s="35">
        <v>43531</v>
      </c>
      <c r="K48" s="33" t="s">
        <v>915</v>
      </c>
      <c r="L48" s="40"/>
      <c r="M48" s="36"/>
      <c r="N48" s="37"/>
    </row>
    <row r="49" spans="1:15" ht="28.5" customHeight="1" x14ac:dyDescent="0.3">
      <c r="A49" s="81" t="s">
        <v>68</v>
      </c>
      <c r="B49" s="33"/>
      <c r="C49" s="69" t="s">
        <v>1028</v>
      </c>
      <c r="D49" s="69" t="s">
        <v>1128</v>
      </c>
      <c r="E49" s="69" t="s">
        <v>1129</v>
      </c>
      <c r="F49" s="69" t="s">
        <v>1031</v>
      </c>
      <c r="G49" s="69" t="s">
        <v>1130</v>
      </c>
      <c r="H49" s="39">
        <v>275</v>
      </c>
      <c r="I49" s="33"/>
      <c r="J49" s="35">
        <v>43532</v>
      </c>
      <c r="K49" s="33" t="s">
        <v>915</v>
      </c>
      <c r="L49" s="40"/>
      <c r="M49" s="36"/>
      <c r="N49" s="37"/>
    </row>
    <row r="50" spans="1:15" ht="28.5" customHeight="1" x14ac:dyDescent="0.3">
      <c r="A50" s="81" t="s">
        <v>69</v>
      </c>
      <c r="B50" s="33"/>
      <c r="C50" s="69" t="s">
        <v>867</v>
      </c>
      <c r="D50" s="69" t="s">
        <v>868</v>
      </c>
      <c r="E50" s="69" t="s">
        <v>1131</v>
      </c>
      <c r="F50" s="69" t="s">
        <v>866</v>
      </c>
      <c r="G50" s="69" t="s">
        <v>994</v>
      </c>
      <c r="H50" s="39">
        <v>575</v>
      </c>
      <c r="I50" s="33"/>
      <c r="J50" s="35">
        <v>43532</v>
      </c>
      <c r="K50" s="33" t="s">
        <v>915</v>
      </c>
      <c r="L50" s="40"/>
      <c r="M50" s="82" t="s">
        <v>1201</v>
      </c>
      <c r="N50" s="37"/>
    </row>
    <row r="51" spans="1:15" ht="28.5" customHeight="1" x14ac:dyDescent="0.3">
      <c r="A51" s="81" t="s">
        <v>70</v>
      </c>
      <c r="B51" s="33"/>
      <c r="C51" s="69" t="s">
        <v>884</v>
      </c>
      <c r="D51" s="103" t="s">
        <v>1135</v>
      </c>
      <c r="E51" s="69" t="s">
        <v>886</v>
      </c>
      <c r="F51" s="69">
        <v>91</v>
      </c>
      <c r="G51" s="69" t="s">
        <v>1148</v>
      </c>
      <c r="H51" s="39">
        <v>1296</v>
      </c>
      <c r="I51" s="33"/>
      <c r="J51" s="35">
        <v>43538</v>
      </c>
      <c r="K51" s="33" t="s">
        <v>915</v>
      </c>
      <c r="L51" s="70" t="s">
        <v>1136</v>
      </c>
      <c r="M51" s="82" t="s">
        <v>1246</v>
      </c>
      <c r="N51" s="68" t="s">
        <v>1163</v>
      </c>
    </row>
    <row r="52" spans="1:15" ht="28.5" customHeight="1" x14ac:dyDescent="0.3">
      <c r="A52" s="81" t="s">
        <v>71</v>
      </c>
      <c r="B52" s="33">
        <v>1</v>
      </c>
      <c r="C52" s="69" t="s">
        <v>1137</v>
      </c>
      <c r="D52" s="69" t="s">
        <v>1139</v>
      </c>
      <c r="E52" s="69" t="s">
        <v>893</v>
      </c>
      <c r="F52" s="69">
        <v>75016</v>
      </c>
      <c r="G52" s="69" t="s">
        <v>1138</v>
      </c>
      <c r="H52" s="39">
        <v>294</v>
      </c>
      <c r="I52" s="33"/>
      <c r="J52" s="35">
        <v>43539</v>
      </c>
      <c r="K52" s="33" t="s">
        <v>915</v>
      </c>
      <c r="L52" s="70" t="s">
        <v>1140</v>
      </c>
      <c r="M52" s="36"/>
      <c r="N52" s="68" t="s">
        <v>1141</v>
      </c>
    </row>
    <row r="53" spans="1:15" ht="28.5" customHeight="1" x14ac:dyDescent="0.3">
      <c r="A53" s="81" t="s">
        <v>72</v>
      </c>
      <c r="B53" s="33">
        <v>2</v>
      </c>
      <c r="C53" s="69" t="s">
        <v>926</v>
      </c>
      <c r="D53" s="69" t="s">
        <v>1097</v>
      </c>
      <c r="E53" s="69" t="s">
        <v>865</v>
      </c>
      <c r="F53" s="69" t="s">
        <v>866</v>
      </c>
      <c r="G53" s="69" t="s">
        <v>1098</v>
      </c>
      <c r="H53" s="39">
        <v>2425</v>
      </c>
      <c r="I53" s="33"/>
      <c r="J53" s="35">
        <v>43539</v>
      </c>
      <c r="K53" s="33" t="s">
        <v>915</v>
      </c>
      <c r="L53" s="70" t="s">
        <v>1171</v>
      </c>
      <c r="M53" s="36"/>
      <c r="N53" s="68" t="s">
        <v>1147</v>
      </c>
    </row>
    <row r="54" spans="1:15" ht="28.5" customHeight="1" x14ac:dyDescent="0.3">
      <c r="A54" s="81" t="s">
        <v>73</v>
      </c>
      <c r="B54" s="33"/>
      <c r="C54" s="69" t="s">
        <v>937</v>
      </c>
      <c r="D54" s="69" t="s">
        <v>1142</v>
      </c>
      <c r="E54" s="69" t="s">
        <v>1143</v>
      </c>
      <c r="F54" s="69" t="s">
        <v>1144</v>
      </c>
      <c r="G54" s="69" t="s">
        <v>1145</v>
      </c>
      <c r="H54" s="39">
        <v>445</v>
      </c>
      <c r="I54" s="33"/>
      <c r="J54" s="35">
        <v>43539</v>
      </c>
      <c r="K54" s="33" t="s">
        <v>915</v>
      </c>
      <c r="L54" s="70" t="s">
        <v>1146</v>
      </c>
      <c r="M54" s="82"/>
      <c r="N54" s="37"/>
    </row>
    <row r="55" spans="1:15" ht="28.5" customHeight="1" x14ac:dyDescent="0.3">
      <c r="A55" s="81" t="s">
        <v>74</v>
      </c>
      <c r="B55" s="33"/>
      <c r="C55" s="69" t="s">
        <v>1149</v>
      </c>
      <c r="D55" s="69" t="s">
        <v>1150</v>
      </c>
      <c r="E55" s="69" t="s">
        <v>1151</v>
      </c>
      <c r="F55" s="69">
        <v>27</v>
      </c>
      <c r="G55" s="69" t="s">
        <v>1152</v>
      </c>
      <c r="H55" s="39">
        <v>27800</v>
      </c>
      <c r="I55" s="33"/>
      <c r="J55" s="35">
        <v>43542</v>
      </c>
      <c r="K55" s="33" t="s">
        <v>1079</v>
      </c>
      <c r="L55" s="70"/>
      <c r="M55" s="82"/>
      <c r="N55" s="68" t="s">
        <v>1153</v>
      </c>
    </row>
    <row r="56" spans="1:15" ht="28.5" customHeight="1" x14ac:dyDescent="0.3">
      <c r="A56" s="81" t="s">
        <v>75</v>
      </c>
      <c r="B56" s="33"/>
      <c r="C56" s="69" t="s">
        <v>1154</v>
      </c>
      <c r="D56" s="69" t="s">
        <v>1155</v>
      </c>
      <c r="E56" s="69" t="s">
        <v>1156</v>
      </c>
      <c r="F56" s="69">
        <v>75011</v>
      </c>
      <c r="G56" s="69" t="s">
        <v>1157</v>
      </c>
      <c r="H56" s="39">
        <v>835</v>
      </c>
      <c r="I56" s="33"/>
      <c r="J56" s="35">
        <v>43542</v>
      </c>
      <c r="K56" s="33" t="s">
        <v>915</v>
      </c>
      <c r="L56" s="70"/>
      <c r="M56" s="82"/>
      <c r="N56" s="68" t="s">
        <v>955</v>
      </c>
    </row>
    <row r="57" spans="1:15" ht="28.5" customHeight="1" x14ac:dyDescent="0.3">
      <c r="A57" s="81" t="s">
        <v>76</v>
      </c>
      <c r="B57" s="33"/>
      <c r="C57" s="68" t="s">
        <v>1247</v>
      </c>
      <c r="D57" s="69" t="s">
        <v>1164</v>
      </c>
      <c r="E57" s="68" t="s">
        <v>865</v>
      </c>
      <c r="F57" s="68" t="s">
        <v>1165</v>
      </c>
      <c r="G57" s="69" t="s">
        <v>1166</v>
      </c>
      <c r="H57" s="39">
        <v>400</v>
      </c>
      <c r="I57" s="33"/>
      <c r="J57" s="35">
        <v>43543</v>
      </c>
      <c r="K57" s="33" t="s">
        <v>915</v>
      </c>
      <c r="L57" s="70" t="s">
        <v>1241</v>
      </c>
      <c r="M57" s="36"/>
      <c r="N57" s="68"/>
    </row>
    <row r="58" spans="1:15" ht="28.5" customHeight="1" x14ac:dyDescent="0.3">
      <c r="A58" s="81" t="s">
        <v>77</v>
      </c>
      <c r="B58" s="33"/>
      <c r="C58" s="69" t="s">
        <v>884</v>
      </c>
      <c r="D58" s="69" t="s">
        <v>1173</v>
      </c>
      <c r="E58" s="69" t="s">
        <v>886</v>
      </c>
      <c r="F58" s="69">
        <v>91</v>
      </c>
      <c r="G58" s="69" t="s">
        <v>1174</v>
      </c>
      <c r="H58" s="39">
        <v>558</v>
      </c>
      <c r="I58" s="33"/>
      <c r="J58" s="35">
        <v>43544</v>
      </c>
      <c r="K58" s="33" t="s">
        <v>1079</v>
      </c>
      <c r="L58" s="69" t="s">
        <v>1175</v>
      </c>
      <c r="M58" s="36"/>
      <c r="N58" s="68"/>
    </row>
    <row r="59" spans="1:15" ht="28.5" customHeight="1" x14ac:dyDescent="0.3">
      <c r="A59" s="81" t="s">
        <v>78</v>
      </c>
      <c r="B59" s="33"/>
      <c r="C59" s="69" t="s">
        <v>1102</v>
      </c>
      <c r="D59" s="69" t="s">
        <v>1177</v>
      </c>
      <c r="E59" s="69" t="s">
        <v>1156</v>
      </c>
      <c r="F59" s="69">
        <v>94</v>
      </c>
      <c r="G59" s="69" t="s">
        <v>1176</v>
      </c>
      <c r="H59" s="39">
        <v>570</v>
      </c>
      <c r="I59" s="33"/>
      <c r="J59" s="88">
        <v>43546</v>
      </c>
      <c r="K59" s="33" t="s">
        <v>953</v>
      </c>
      <c r="L59" s="69" t="s">
        <v>1178</v>
      </c>
      <c r="M59" s="36"/>
      <c r="N59" s="68" t="s">
        <v>1179</v>
      </c>
    </row>
    <row r="60" spans="1:15" ht="35.25" customHeight="1" x14ac:dyDescent="0.3">
      <c r="A60" s="81" t="s">
        <v>79</v>
      </c>
      <c r="B60" s="33"/>
      <c r="C60" s="69" t="s">
        <v>867</v>
      </c>
      <c r="D60" s="69" t="s">
        <v>868</v>
      </c>
      <c r="E60" s="69" t="s">
        <v>1180</v>
      </c>
      <c r="F60" s="69">
        <v>75</v>
      </c>
      <c r="G60" s="69" t="s">
        <v>1181</v>
      </c>
      <c r="H60" s="39">
        <v>2390</v>
      </c>
      <c r="I60" s="33"/>
      <c r="J60" s="35">
        <v>43546</v>
      </c>
      <c r="K60" s="33" t="s">
        <v>953</v>
      </c>
      <c r="L60" s="69" t="s">
        <v>1182</v>
      </c>
      <c r="M60" s="36"/>
      <c r="N60" s="68" t="s">
        <v>1183</v>
      </c>
    </row>
    <row r="61" spans="1:15" ht="40.5" customHeight="1" x14ac:dyDescent="0.3">
      <c r="A61" s="81" t="s">
        <v>80</v>
      </c>
      <c r="B61" s="33"/>
      <c r="C61" s="69" t="s">
        <v>937</v>
      </c>
      <c r="D61" s="69" t="s">
        <v>1187</v>
      </c>
      <c r="E61" s="69" t="s">
        <v>886</v>
      </c>
      <c r="F61" s="69">
        <v>75</v>
      </c>
      <c r="G61" s="69" t="s">
        <v>1145</v>
      </c>
      <c r="H61" s="39">
        <v>905</v>
      </c>
      <c r="I61" s="33"/>
      <c r="J61" s="35">
        <v>43550</v>
      </c>
      <c r="K61" s="33" t="s">
        <v>915</v>
      </c>
      <c r="L61" s="69" t="s">
        <v>1188</v>
      </c>
      <c r="M61" s="36"/>
      <c r="N61" s="68" t="s">
        <v>1189</v>
      </c>
      <c r="O61" s="127" t="s">
        <v>1395</v>
      </c>
    </row>
    <row r="62" spans="1:15" ht="28.5" customHeight="1" x14ac:dyDescent="0.3">
      <c r="A62" s="81" t="s">
        <v>81</v>
      </c>
      <c r="B62" s="33"/>
      <c r="C62" s="69" t="s">
        <v>1102</v>
      </c>
      <c r="D62" s="69" t="s">
        <v>1103</v>
      </c>
      <c r="E62" s="69" t="s">
        <v>893</v>
      </c>
      <c r="F62" s="69" t="s">
        <v>866</v>
      </c>
      <c r="G62" s="69" t="s">
        <v>1104</v>
      </c>
      <c r="H62" s="41">
        <v>550</v>
      </c>
      <c r="I62" s="44"/>
      <c r="J62" s="35">
        <v>43551</v>
      </c>
      <c r="K62" s="33" t="s">
        <v>915</v>
      </c>
      <c r="L62" s="69" t="s">
        <v>1105</v>
      </c>
      <c r="M62" s="36"/>
      <c r="N62" s="68" t="s">
        <v>1193</v>
      </c>
    </row>
    <row r="63" spans="1:15" ht="28.5" customHeight="1" x14ac:dyDescent="0.3">
      <c r="A63" s="81" t="s">
        <v>82</v>
      </c>
      <c r="B63" s="33"/>
      <c r="C63" s="69" t="s">
        <v>926</v>
      </c>
      <c r="D63" s="69" t="s">
        <v>1097</v>
      </c>
      <c r="E63" s="69" t="s">
        <v>865</v>
      </c>
      <c r="F63" s="69" t="s">
        <v>866</v>
      </c>
      <c r="G63" s="69" t="s">
        <v>1098</v>
      </c>
      <c r="H63" s="41">
        <v>1775</v>
      </c>
      <c r="I63" s="33"/>
      <c r="J63" s="35">
        <v>43552</v>
      </c>
      <c r="K63" s="33" t="s">
        <v>915</v>
      </c>
      <c r="L63" s="33"/>
      <c r="M63" s="36"/>
      <c r="N63" s="68"/>
    </row>
    <row r="64" spans="1:15" ht="28.5" customHeight="1" x14ac:dyDescent="0.3">
      <c r="A64" s="81" t="s">
        <v>83</v>
      </c>
      <c r="B64" s="33"/>
      <c r="C64" s="68" t="s">
        <v>1247</v>
      </c>
      <c r="D64" s="69" t="s">
        <v>1195</v>
      </c>
      <c r="E64" s="68" t="s">
        <v>865</v>
      </c>
      <c r="F64" s="68" t="s">
        <v>1196</v>
      </c>
      <c r="G64" s="69" t="s">
        <v>1166</v>
      </c>
      <c r="H64" s="39">
        <v>985</v>
      </c>
      <c r="I64" s="33"/>
      <c r="J64" s="35">
        <v>43553</v>
      </c>
      <c r="K64" s="33" t="s">
        <v>915</v>
      </c>
      <c r="L64" s="69" t="s">
        <v>1197</v>
      </c>
      <c r="M64" s="36"/>
      <c r="N64" s="68" t="s">
        <v>1243</v>
      </c>
    </row>
    <row r="65" spans="1:15" ht="28.5" customHeight="1" x14ac:dyDescent="0.3">
      <c r="A65" s="81" t="s">
        <v>84</v>
      </c>
      <c r="B65" s="33"/>
      <c r="C65" s="69" t="s">
        <v>1102</v>
      </c>
      <c r="D65" s="69" t="s">
        <v>1106</v>
      </c>
      <c r="E65" s="69" t="s">
        <v>1202</v>
      </c>
      <c r="F65" s="37">
        <v>75009</v>
      </c>
      <c r="G65" s="69" t="s">
        <v>1203</v>
      </c>
      <c r="H65" s="39">
        <v>350</v>
      </c>
      <c r="I65" s="33"/>
      <c r="J65" s="35">
        <v>43553</v>
      </c>
      <c r="K65" s="33" t="s">
        <v>915</v>
      </c>
      <c r="L65" s="69" t="s">
        <v>1205</v>
      </c>
      <c r="M65" s="36"/>
      <c r="N65" s="68" t="s">
        <v>1204</v>
      </c>
    </row>
    <row r="66" spans="1:15" ht="28.5" customHeight="1" x14ac:dyDescent="0.3">
      <c r="A66" s="81" t="s">
        <v>85</v>
      </c>
      <c r="B66" s="33"/>
      <c r="C66" s="68" t="s">
        <v>947</v>
      </c>
      <c r="D66" s="69" t="s">
        <v>1071</v>
      </c>
      <c r="E66" s="69" t="s">
        <v>1206</v>
      </c>
      <c r="F66" s="33">
        <v>75015</v>
      </c>
      <c r="G66" s="69" t="s">
        <v>1207</v>
      </c>
      <c r="H66" s="39">
        <v>8062</v>
      </c>
      <c r="I66" s="33"/>
      <c r="J66" s="35">
        <v>43554</v>
      </c>
      <c r="K66" s="33" t="s">
        <v>915</v>
      </c>
      <c r="L66" s="69" t="s">
        <v>1208</v>
      </c>
      <c r="M66" s="36"/>
      <c r="N66" s="68" t="s">
        <v>1250</v>
      </c>
      <c r="O66" s="128"/>
    </row>
    <row r="67" spans="1:15" ht="28.5" customHeight="1" x14ac:dyDescent="0.3">
      <c r="A67" s="81" t="s">
        <v>86</v>
      </c>
      <c r="B67" s="33"/>
      <c r="C67" s="69" t="s">
        <v>884</v>
      </c>
      <c r="D67" s="69" t="s">
        <v>1214</v>
      </c>
      <c r="E67" s="69" t="s">
        <v>886</v>
      </c>
      <c r="F67" s="69">
        <v>91</v>
      </c>
      <c r="G67" s="69" t="s">
        <v>1215</v>
      </c>
      <c r="H67" s="39">
        <v>2375</v>
      </c>
      <c r="I67" s="33">
        <v>3000</v>
      </c>
      <c r="J67" s="35">
        <v>43557</v>
      </c>
      <c r="K67" s="33" t="s">
        <v>953</v>
      </c>
      <c r="L67" s="69" t="s">
        <v>1216</v>
      </c>
      <c r="M67" s="36"/>
      <c r="N67" s="68" t="s">
        <v>1217</v>
      </c>
    </row>
    <row r="68" spans="1:15" ht="28.5" customHeight="1" x14ac:dyDescent="0.3">
      <c r="A68" s="81" t="s">
        <v>87</v>
      </c>
      <c r="B68" s="33"/>
      <c r="C68" s="69" t="s">
        <v>937</v>
      </c>
      <c r="D68" s="69" t="s">
        <v>1231</v>
      </c>
      <c r="E68" s="69" t="s">
        <v>886</v>
      </c>
      <c r="F68" s="33">
        <v>75</v>
      </c>
      <c r="G68" s="69" t="s">
        <v>1145</v>
      </c>
      <c r="H68" s="39">
        <v>625</v>
      </c>
      <c r="I68" s="33"/>
      <c r="J68" s="35">
        <v>43559</v>
      </c>
      <c r="K68" s="33" t="s">
        <v>915</v>
      </c>
      <c r="L68" s="69" t="s">
        <v>1188</v>
      </c>
      <c r="M68" s="36"/>
      <c r="N68" s="68" t="s">
        <v>1235</v>
      </c>
      <c r="O68" s="127" t="s">
        <v>1395</v>
      </c>
    </row>
    <row r="69" spans="1:15" ht="28.5" customHeight="1" x14ac:dyDescent="0.3">
      <c r="A69" s="81" t="s">
        <v>88</v>
      </c>
      <c r="B69" s="33"/>
      <c r="C69" s="69" t="s">
        <v>1232</v>
      </c>
      <c r="D69" s="69" t="s">
        <v>1236</v>
      </c>
      <c r="E69" s="69" t="s">
        <v>1206</v>
      </c>
      <c r="F69" s="69">
        <v>75</v>
      </c>
      <c r="G69" s="69" t="s">
        <v>1233</v>
      </c>
      <c r="H69" s="39">
        <v>450</v>
      </c>
      <c r="I69" s="33"/>
      <c r="J69" s="35">
        <v>43560</v>
      </c>
      <c r="K69" s="33" t="s">
        <v>915</v>
      </c>
      <c r="L69" s="70" t="s">
        <v>1234</v>
      </c>
      <c r="M69" s="36"/>
      <c r="N69" s="68"/>
    </row>
    <row r="70" spans="1:15" ht="28.5" customHeight="1" x14ac:dyDescent="0.3">
      <c r="A70" s="81" t="s">
        <v>89</v>
      </c>
      <c r="B70" s="33"/>
      <c r="C70" s="69" t="s">
        <v>867</v>
      </c>
      <c r="D70" s="69" t="s">
        <v>868</v>
      </c>
      <c r="E70" s="69" t="s">
        <v>1238</v>
      </c>
      <c r="F70" s="69">
        <v>75</v>
      </c>
      <c r="G70" s="69" t="s">
        <v>1239</v>
      </c>
      <c r="H70" s="39">
        <v>825</v>
      </c>
      <c r="I70" s="33"/>
      <c r="J70" s="35">
        <v>43560</v>
      </c>
      <c r="K70" s="69" t="s">
        <v>915</v>
      </c>
      <c r="L70" s="69" t="s">
        <v>1240</v>
      </c>
      <c r="M70" s="36"/>
      <c r="N70" s="37"/>
    </row>
    <row r="71" spans="1:15" ht="28.5" customHeight="1" x14ac:dyDescent="0.3">
      <c r="A71" s="81" t="s">
        <v>90</v>
      </c>
      <c r="B71" s="33"/>
      <c r="C71" s="69" t="s">
        <v>1254</v>
      </c>
      <c r="D71" s="69" t="s">
        <v>1255</v>
      </c>
      <c r="E71" s="69" t="s">
        <v>1256</v>
      </c>
      <c r="F71" s="69" t="s">
        <v>1255</v>
      </c>
      <c r="G71" s="69" t="s">
        <v>1257</v>
      </c>
      <c r="H71" s="39">
        <v>8220</v>
      </c>
      <c r="I71" s="33"/>
      <c r="J71" s="35">
        <v>43564</v>
      </c>
      <c r="K71" s="69" t="s">
        <v>915</v>
      </c>
      <c r="L71" s="122" t="s">
        <v>1258</v>
      </c>
      <c r="M71" s="36"/>
      <c r="N71" s="33"/>
    </row>
    <row r="72" spans="1:15" ht="28.5" customHeight="1" x14ac:dyDescent="0.3">
      <c r="A72" s="81" t="s">
        <v>91</v>
      </c>
      <c r="B72" s="33"/>
      <c r="C72" s="69" t="s">
        <v>947</v>
      </c>
      <c r="D72" s="69" t="s">
        <v>1071</v>
      </c>
      <c r="E72" s="69" t="s">
        <v>1206</v>
      </c>
      <c r="F72" s="33">
        <v>75015</v>
      </c>
      <c r="G72" s="69" t="s">
        <v>1207</v>
      </c>
      <c r="H72" s="39">
        <v>7472</v>
      </c>
      <c r="I72" s="123"/>
      <c r="J72" s="35">
        <v>43565</v>
      </c>
      <c r="K72" s="69" t="s">
        <v>915</v>
      </c>
      <c r="L72" s="69" t="s">
        <v>1259</v>
      </c>
      <c r="M72" s="36"/>
      <c r="N72" s="124" t="s">
        <v>1344</v>
      </c>
      <c r="O72" s="128"/>
    </row>
    <row r="73" spans="1:15" ht="28.5" customHeight="1" x14ac:dyDescent="0.3">
      <c r="A73" s="81" t="s">
        <v>92</v>
      </c>
      <c r="B73" s="33"/>
      <c r="C73" s="69" t="s">
        <v>1137</v>
      </c>
      <c r="D73" s="69" t="s">
        <v>1139</v>
      </c>
      <c r="E73" s="69" t="s">
        <v>1263</v>
      </c>
      <c r="F73" s="69">
        <v>75016</v>
      </c>
      <c r="G73" s="69" t="s">
        <v>1138</v>
      </c>
      <c r="H73" s="39">
        <v>1055</v>
      </c>
      <c r="I73" s="33"/>
      <c r="J73" s="35">
        <v>43563</v>
      </c>
      <c r="K73" s="69" t="s">
        <v>915</v>
      </c>
      <c r="L73" s="70" t="s">
        <v>1260</v>
      </c>
      <c r="M73" s="36"/>
      <c r="N73" s="37"/>
    </row>
    <row r="74" spans="1:15" ht="28.5" customHeight="1" x14ac:dyDescent="0.3">
      <c r="A74" s="81" t="s">
        <v>93</v>
      </c>
      <c r="B74" s="33"/>
      <c r="C74" s="69" t="s">
        <v>1261</v>
      </c>
      <c r="D74" s="69" t="s">
        <v>1264</v>
      </c>
      <c r="E74" s="69" t="s">
        <v>1262</v>
      </c>
      <c r="F74" s="69">
        <v>75011</v>
      </c>
      <c r="G74" s="69" t="s">
        <v>1265</v>
      </c>
      <c r="H74" s="39">
        <v>1740</v>
      </c>
      <c r="I74" s="33"/>
      <c r="J74" s="35">
        <v>43564</v>
      </c>
      <c r="K74" s="33" t="s">
        <v>1079</v>
      </c>
      <c r="L74" s="69"/>
      <c r="M74" s="36"/>
      <c r="N74" s="37"/>
    </row>
    <row r="75" spans="1:15" ht="28.5" customHeight="1" x14ac:dyDescent="0.3">
      <c r="A75" s="81" t="s">
        <v>94</v>
      </c>
      <c r="B75" s="33"/>
      <c r="C75" s="69" t="s">
        <v>1266</v>
      </c>
      <c r="D75" s="69" t="s">
        <v>1267</v>
      </c>
      <c r="E75" s="69" t="s">
        <v>1206</v>
      </c>
      <c r="F75" s="69">
        <v>91</v>
      </c>
      <c r="G75" s="69" t="s">
        <v>1268</v>
      </c>
      <c r="H75" s="39">
        <v>330</v>
      </c>
      <c r="I75" s="33"/>
      <c r="J75" s="35">
        <v>43565</v>
      </c>
      <c r="K75" s="33" t="s">
        <v>915</v>
      </c>
      <c r="L75" s="125" t="s">
        <v>1281</v>
      </c>
      <c r="M75" s="36"/>
      <c r="N75" s="37"/>
    </row>
    <row r="76" spans="1:15" ht="28.5" customHeight="1" x14ac:dyDescent="0.3">
      <c r="A76" s="81" t="s">
        <v>95</v>
      </c>
      <c r="B76" s="33"/>
      <c r="C76" s="69" t="s">
        <v>1269</v>
      </c>
      <c r="D76" s="69" t="s">
        <v>1272</v>
      </c>
      <c r="E76" s="69" t="s">
        <v>1270</v>
      </c>
      <c r="F76" s="69">
        <v>75001</v>
      </c>
      <c r="G76" s="69" t="s">
        <v>1271</v>
      </c>
      <c r="H76" s="39">
        <v>1000</v>
      </c>
      <c r="I76" s="33"/>
      <c r="J76" s="35">
        <v>43566</v>
      </c>
      <c r="K76" s="33" t="s">
        <v>915</v>
      </c>
      <c r="L76" s="69" t="s">
        <v>1273</v>
      </c>
      <c r="M76" s="36"/>
      <c r="N76" s="124" t="s">
        <v>1279</v>
      </c>
    </row>
    <row r="77" spans="1:15" ht="28.5" customHeight="1" x14ac:dyDescent="0.3">
      <c r="A77" s="81" t="s">
        <v>96</v>
      </c>
      <c r="B77" s="33"/>
      <c r="C77" s="69" t="s">
        <v>1269</v>
      </c>
      <c r="D77" s="69" t="s">
        <v>1272</v>
      </c>
      <c r="E77" s="69" t="s">
        <v>886</v>
      </c>
      <c r="F77" s="69">
        <v>75001</v>
      </c>
      <c r="G77" s="69" t="s">
        <v>1277</v>
      </c>
      <c r="H77" s="39">
        <v>510</v>
      </c>
      <c r="I77" s="33"/>
      <c r="J77" s="35">
        <v>43567</v>
      </c>
      <c r="K77" s="69" t="s">
        <v>915</v>
      </c>
      <c r="L77" s="123" t="s">
        <v>1274</v>
      </c>
      <c r="M77" s="36"/>
      <c r="N77" s="124" t="s">
        <v>1278</v>
      </c>
    </row>
    <row r="78" spans="1:15" ht="28.5" customHeight="1" x14ac:dyDescent="0.3">
      <c r="A78" s="81" t="s">
        <v>97</v>
      </c>
      <c r="B78" s="33"/>
      <c r="C78" s="69" t="s">
        <v>1269</v>
      </c>
      <c r="D78" s="69" t="s">
        <v>1272</v>
      </c>
      <c r="E78" s="69" t="s">
        <v>1275</v>
      </c>
      <c r="F78" s="69">
        <v>75002</v>
      </c>
      <c r="G78" s="69" t="s">
        <v>1271</v>
      </c>
      <c r="H78" s="39">
        <v>230</v>
      </c>
      <c r="I78" s="33"/>
      <c r="J78" s="35">
        <v>43567</v>
      </c>
      <c r="K78" s="69" t="s">
        <v>915</v>
      </c>
      <c r="L78" s="123" t="s">
        <v>1276</v>
      </c>
      <c r="M78" s="36"/>
      <c r="N78" s="68"/>
    </row>
    <row r="79" spans="1:15" ht="28.5" customHeight="1" x14ac:dyDescent="0.3">
      <c r="A79" s="81" t="s">
        <v>98</v>
      </c>
      <c r="B79" s="33">
        <v>1</v>
      </c>
      <c r="C79" s="69" t="s">
        <v>1282</v>
      </c>
      <c r="D79" s="69" t="s">
        <v>1286</v>
      </c>
      <c r="E79" s="69" t="s">
        <v>1284</v>
      </c>
      <c r="F79" s="69" t="s">
        <v>1283</v>
      </c>
      <c r="G79" s="69" t="s">
        <v>1285</v>
      </c>
      <c r="H79" s="39">
        <v>580</v>
      </c>
      <c r="I79" s="33"/>
      <c r="J79" s="35">
        <v>43726</v>
      </c>
      <c r="K79" s="69" t="s">
        <v>1079</v>
      </c>
      <c r="L79" s="69"/>
      <c r="M79" s="36"/>
      <c r="N79" s="68"/>
    </row>
    <row r="80" spans="1:15" ht="28.5" customHeight="1" x14ac:dyDescent="0.3">
      <c r="A80" s="81" t="s">
        <v>99</v>
      </c>
      <c r="B80" s="33"/>
      <c r="C80" s="68" t="s">
        <v>1247</v>
      </c>
      <c r="D80" s="69" t="s">
        <v>1164</v>
      </c>
      <c r="E80" s="68" t="s">
        <v>865</v>
      </c>
      <c r="F80" s="68" t="s">
        <v>1165</v>
      </c>
      <c r="G80" s="69" t="s">
        <v>1166</v>
      </c>
      <c r="H80" s="39">
        <v>400</v>
      </c>
      <c r="I80" s="33"/>
      <c r="J80" s="35">
        <v>43568</v>
      </c>
      <c r="K80" s="69" t="s">
        <v>915</v>
      </c>
      <c r="L80" s="123" t="s">
        <v>1287</v>
      </c>
      <c r="M80" s="36"/>
      <c r="N80" s="124"/>
    </row>
    <row r="81" spans="1:16" ht="28.5" customHeight="1" x14ac:dyDescent="0.3">
      <c r="A81" s="81" t="s">
        <v>100</v>
      </c>
      <c r="B81" s="33"/>
      <c r="C81" s="68" t="s">
        <v>1247</v>
      </c>
      <c r="D81" s="3" t="s">
        <v>1288</v>
      </c>
      <c r="E81" s="69" t="s">
        <v>893</v>
      </c>
      <c r="F81" s="69">
        <v>75020</v>
      </c>
      <c r="G81" s="69" t="s">
        <v>1289</v>
      </c>
      <c r="H81" s="126">
        <v>985</v>
      </c>
      <c r="I81" s="33"/>
      <c r="J81" s="35">
        <v>43570</v>
      </c>
      <c r="K81" s="69" t="s">
        <v>915</v>
      </c>
      <c r="L81" s="123" t="s">
        <v>1290</v>
      </c>
      <c r="M81" s="36"/>
      <c r="N81" s="37">
        <v>65</v>
      </c>
    </row>
    <row r="82" spans="1:16" ht="28.5" customHeight="1" x14ac:dyDescent="0.3">
      <c r="A82" s="81" t="s">
        <v>101</v>
      </c>
      <c r="B82" s="33"/>
      <c r="C82" s="68" t="s">
        <v>956</v>
      </c>
      <c r="D82" s="69" t="s">
        <v>957</v>
      </c>
      <c r="E82" s="68" t="s">
        <v>1291</v>
      </c>
      <c r="F82" s="69" t="s">
        <v>866</v>
      </c>
      <c r="G82" s="69" t="s">
        <v>959</v>
      </c>
      <c r="H82" s="39">
        <v>832</v>
      </c>
      <c r="I82" s="33"/>
      <c r="J82" s="35">
        <v>43570</v>
      </c>
      <c r="K82" s="69" t="s">
        <v>915</v>
      </c>
      <c r="L82" s="123" t="s">
        <v>1292</v>
      </c>
      <c r="M82" s="36"/>
      <c r="N82" s="37">
        <v>58</v>
      </c>
    </row>
    <row r="83" spans="1:16" ht="28.5" customHeight="1" x14ac:dyDescent="0.3">
      <c r="A83" s="81" t="s">
        <v>102</v>
      </c>
      <c r="B83" s="33">
        <v>1</v>
      </c>
      <c r="C83" s="69" t="s">
        <v>1293</v>
      </c>
      <c r="D83" s="68" t="s">
        <v>1294</v>
      </c>
      <c r="E83" s="68" t="s">
        <v>893</v>
      </c>
      <c r="F83" s="69" t="s">
        <v>976</v>
      </c>
      <c r="G83" s="68" t="s">
        <v>1295</v>
      </c>
      <c r="H83" s="63">
        <v>935</v>
      </c>
      <c r="I83" s="63"/>
      <c r="J83" s="35">
        <v>43571</v>
      </c>
      <c r="K83" s="69" t="s">
        <v>915</v>
      </c>
      <c r="L83" s="69" t="s">
        <v>1296</v>
      </c>
      <c r="M83" s="36"/>
      <c r="N83" s="68">
        <v>65</v>
      </c>
    </row>
    <row r="84" spans="1:16" ht="28.5" customHeight="1" x14ac:dyDescent="0.3">
      <c r="A84" s="81" t="s">
        <v>103</v>
      </c>
      <c r="B84" s="33"/>
      <c r="C84" s="68" t="s">
        <v>1298</v>
      </c>
      <c r="D84" s="68" t="s">
        <v>1311</v>
      </c>
      <c r="E84" s="68" t="s">
        <v>893</v>
      </c>
      <c r="F84" s="69" t="s">
        <v>871</v>
      </c>
      <c r="G84" s="68" t="s">
        <v>1295</v>
      </c>
      <c r="H84" s="63">
        <v>835</v>
      </c>
      <c r="I84" s="63"/>
      <c r="J84" s="35">
        <v>43571</v>
      </c>
      <c r="K84" s="69" t="s">
        <v>915</v>
      </c>
      <c r="L84" s="69" t="s">
        <v>1297</v>
      </c>
      <c r="M84" s="36"/>
      <c r="N84" s="68">
        <v>65</v>
      </c>
    </row>
    <row r="85" spans="1:16" ht="28.5" customHeight="1" x14ac:dyDescent="0.3">
      <c r="A85" s="81" t="s">
        <v>104</v>
      </c>
      <c r="B85" s="33"/>
      <c r="C85" s="69" t="s">
        <v>1319</v>
      </c>
      <c r="D85" s="69" t="s">
        <v>1301</v>
      </c>
      <c r="E85" s="69" t="s">
        <v>958</v>
      </c>
      <c r="F85" s="69">
        <v>92</v>
      </c>
      <c r="G85" s="69" t="s">
        <v>1302</v>
      </c>
      <c r="H85" s="39">
        <v>3005</v>
      </c>
      <c r="I85" s="33"/>
      <c r="J85" s="35">
        <v>43571</v>
      </c>
      <c r="K85" s="69" t="s">
        <v>915</v>
      </c>
      <c r="L85" s="123" t="s">
        <v>1338</v>
      </c>
      <c r="M85" s="36"/>
      <c r="N85" s="37">
        <v>65</v>
      </c>
    </row>
    <row r="86" spans="1:16" ht="28.5" customHeight="1" x14ac:dyDescent="0.3">
      <c r="A86" s="81" t="s">
        <v>105</v>
      </c>
      <c r="B86" s="33"/>
      <c r="C86" s="69" t="s">
        <v>937</v>
      </c>
      <c r="D86" s="69" t="s">
        <v>918</v>
      </c>
      <c r="E86" s="69" t="s">
        <v>886</v>
      </c>
      <c r="F86" s="69" t="s">
        <v>1303</v>
      </c>
      <c r="G86" s="69" t="s">
        <v>1145</v>
      </c>
      <c r="H86" s="39">
        <v>5375</v>
      </c>
      <c r="I86" s="33"/>
      <c r="J86" s="35">
        <v>43571</v>
      </c>
      <c r="K86" s="69" t="s">
        <v>915</v>
      </c>
      <c r="L86" s="69" t="s">
        <v>1307</v>
      </c>
      <c r="M86" s="133">
        <v>0.5</v>
      </c>
      <c r="N86" s="68" t="s">
        <v>1315</v>
      </c>
      <c r="O86" s="127"/>
    </row>
    <row r="87" spans="1:16" ht="28.5" customHeight="1" x14ac:dyDescent="0.3">
      <c r="A87" s="81" t="s">
        <v>106</v>
      </c>
      <c r="B87" s="33"/>
      <c r="C87" s="69" t="s">
        <v>891</v>
      </c>
      <c r="D87" s="69" t="s">
        <v>918</v>
      </c>
      <c r="E87" s="69" t="s">
        <v>893</v>
      </c>
      <c r="F87" s="69" t="s">
        <v>1303</v>
      </c>
      <c r="G87" s="69" t="s">
        <v>1145</v>
      </c>
      <c r="H87" s="39">
        <v>4686</v>
      </c>
      <c r="I87" s="33"/>
      <c r="J87" s="35">
        <v>43571</v>
      </c>
      <c r="K87" s="69" t="s">
        <v>1079</v>
      </c>
      <c r="L87" s="69" t="s">
        <v>1307</v>
      </c>
      <c r="M87" s="36"/>
      <c r="N87" s="68"/>
      <c r="O87" s="127"/>
    </row>
    <row r="88" spans="1:16" ht="28.5" customHeight="1" x14ac:dyDescent="0.3">
      <c r="A88" s="81" t="s">
        <v>107</v>
      </c>
      <c r="B88" s="33"/>
      <c r="C88" s="69" t="s">
        <v>1308</v>
      </c>
      <c r="D88" s="69" t="s">
        <v>1309</v>
      </c>
      <c r="E88" s="69" t="s">
        <v>893</v>
      </c>
      <c r="F88" s="69">
        <v>75008</v>
      </c>
      <c r="G88" s="69" t="s">
        <v>1157</v>
      </c>
      <c r="H88" s="63">
        <v>835</v>
      </c>
      <c r="I88" s="33"/>
      <c r="J88" s="35">
        <v>43572</v>
      </c>
      <c r="K88" s="33" t="s">
        <v>1079</v>
      </c>
      <c r="L88" s="123" t="s">
        <v>1310</v>
      </c>
      <c r="M88" s="36"/>
      <c r="N88" s="37"/>
    </row>
    <row r="89" spans="1:16" ht="28.5" customHeight="1" x14ac:dyDescent="0.3">
      <c r="A89" s="81" t="s">
        <v>108</v>
      </c>
      <c r="B89" s="33"/>
      <c r="C89" s="69" t="s">
        <v>1316</v>
      </c>
      <c r="D89" s="69" t="s">
        <v>1312</v>
      </c>
      <c r="E89" s="69" t="s">
        <v>1313</v>
      </c>
      <c r="F89" s="69">
        <v>75016</v>
      </c>
      <c r="G89" s="69" t="s">
        <v>1145</v>
      </c>
      <c r="H89" s="39">
        <v>24300</v>
      </c>
      <c r="I89" s="33"/>
      <c r="J89" s="35">
        <v>43573</v>
      </c>
      <c r="K89" s="33" t="s">
        <v>1079</v>
      </c>
      <c r="L89" s="69" t="s">
        <v>1317</v>
      </c>
      <c r="M89" s="36"/>
      <c r="N89" s="68"/>
      <c r="O89" s="127" t="s">
        <v>1314</v>
      </c>
      <c r="P89" s="45"/>
    </row>
    <row r="90" spans="1:16" ht="28.5" customHeight="1" x14ac:dyDescent="0.3">
      <c r="A90" s="81" t="s">
        <v>109</v>
      </c>
      <c r="B90" s="33"/>
      <c r="C90" s="69" t="s">
        <v>867</v>
      </c>
      <c r="D90" s="69" t="s">
        <v>868</v>
      </c>
      <c r="E90" s="69" t="s">
        <v>865</v>
      </c>
      <c r="F90" s="69" t="s">
        <v>866</v>
      </c>
      <c r="G90" s="69" t="s">
        <v>951</v>
      </c>
      <c r="H90" s="39">
        <v>32340</v>
      </c>
      <c r="I90" s="33"/>
      <c r="J90" s="35">
        <v>43583</v>
      </c>
      <c r="K90" s="33" t="s">
        <v>915</v>
      </c>
      <c r="L90" s="123" t="s">
        <v>1334</v>
      </c>
      <c r="M90" s="36"/>
      <c r="N90" s="68"/>
    </row>
    <row r="91" spans="1:16" ht="28.5" customHeight="1" x14ac:dyDescent="0.3">
      <c r="A91" s="81" t="s">
        <v>110</v>
      </c>
      <c r="B91" s="33"/>
      <c r="C91" s="69" t="s">
        <v>1282</v>
      </c>
      <c r="D91" s="69" t="s">
        <v>1325</v>
      </c>
      <c r="E91" s="69" t="s">
        <v>886</v>
      </c>
      <c r="F91" s="69" t="s">
        <v>1324</v>
      </c>
      <c r="G91" s="69" t="s">
        <v>1285</v>
      </c>
      <c r="H91" s="39">
        <v>345</v>
      </c>
      <c r="I91" s="33"/>
      <c r="J91" s="35">
        <v>43574</v>
      </c>
      <c r="K91" s="33" t="s">
        <v>953</v>
      </c>
      <c r="L91" s="123" t="s">
        <v>1326</v>
      </c>
      <c r="M91" s="36"/>
      <c r="N91" s="37"/>
    </row>
    <row r="92" spans="1:16" ht="28.5" customHeight="1" x14ac:dyDescent="0.3">
      <c r="A92" s="81" t="s">
        <v>111</v>
      </c>
      <c r="B92" s="46"/>
      <c r="C92" s="69" t="s">
        <v>937</v>
      </c>
      <c r="D92" s="46" t="s">
        <v>1327</v>
      </c>
      <c r="E92" s="46" t="s">
        <v>886</v>
      </c>
      <c r="F92" s="46" t="s">
        <v>866</v>
      </c>
      <c r="G92" s="46" t="s">
        <v>1145</v>
      </c>
      <c r="H92" s="129">
        <v>2405</v>
      </c>
      <c r="I92" s="46"/>
      <c r="J92" s="47">
        <v>43578</v>
      </c>
      <c r="K92" s="69" t="s">
        <v>915</v>
      </c>
      <c r="L92" s="68" t="s">
        <v>1328</v>
      </c>
      <c r="M92" s="68"/>
      <c r="N92" s="124" t="s">
        <v>1333</v>
      </c>
      <c r="O92" s="134" t="s">
        <v>1395</v>
      </c>
    </row>
    <row r="93" spans="1:16" ht="28.5" customHeight="1" x14ac:dyDescent="0.3">
      <c r="A93" s="81" t="s">
        <v>1472</v>
      </c>
      <c r="B93" s="33">
        <v>1</v>
      </c>
      <c r="C93" s="69" t="s">
        <v>1329</v>
      </c>
      <c r="D93" s="69" t="s">
        <v>1330</v>
      </c>
      <c r="E93" s="69" t="s">
        <v>893</v>
      </c>
      <c r="F93" s="46" t="s">
        <v>976</v>
      </c>
      <c r="G93" s="69" t="s">
        <v>1331</v>
      </c>
      <c r="H93" s="39">
        <v>835</v>
      </c>
      <c r="I93" s="33"/>
      <c r="J93" s="35">
        <v>43579</v>
      </c>
      <c r="K93" s="69" t="s">
        <v>915</v>
      </c>
      <c r="L93" s="123" t="s">
        <v>1332</v>
      </c>
      <c r="M93" s="36"/>
      <c r="N93" s="124" t="s">
        <v>975</v>
      </c>
    </row>
    <row r="94" spans="1:16" ht="28.5" customHeight="1" x14ac:dyDescent="0.3">
      <c r="A94" s="81" t="s">
        <v>112</v>
      </c>
      <c r="B94" s="33"/>
      <c r="C94" s="69" t="s">
        <v>867</v>
      </c>
      <c r="D94" s="69" t="s">
        <v>1335</v>
      </c>
      <c r="E94" s="69" t="s">
        <v>893</v>
      </c>
      <c r="F94" s="46" t="s">
        <v>866</v>
      </c>
      <c r="G94" s="69" t="s">
        <v>1336</v>
      </c>
      <c r="H94" s="39">
        <v>1053</v>
      </c>
      <c r="I94" s="33"/>
      <c r="J94" s="35">
        <v>43579</v>
      </c>
      <c r="K94" s="69" t="s">
        <v>915</v>
      </c>
      <c r="L94" s="125" t="s">
        <v>1337</v>
      </c>
      <c r="M94" s="36">
        <v>93661</v>
      </c>
      <c r="N94" s="37"/>
    </row>
    <row r="95" spans="1:16" ht="28.5" customHeight="1" x14ac:dyDescent="0.3">
      <c r="A95" s="81" t="s">
        <v>113</v>
      </c>
      <c r="B95" s="33"/>
      <c r="C95" s="68" t="s">
        <v>1339</v>
      </c>
      <c r="D95" s="69" t="s">
        <v>1342</v>
      </c>
      <c r="E95" s="69" t="s">
        <v>886</v>
      </c>
      <c r="F95" s="69" t="s">
        <v>1359</v>
      </c>
      <c r="G95" s="69" t="s">
        <v>1341</v>
      </c>
      <c r="H95" s="39">
        <v>2550</v>
      </c>
      <c r="I95" s="123" t="s">
        <v>1340</v>
      </c>
      <c r="J95" s="35">
        <v>43580</v>
      </c>
      <c r="K95" s="69" t="s">
        <v>1079</v>
      </c>
      <c r="L95" s="33"/>
      <c r="M95" s="36"/>
      <c r="N95" s="124" t="s">
        <v>1343</v>
      </c>
    </row>
    <row r="96" spans="1:16" ht="28.5" customHeight="1" x14ac:dyDescent="0.3">
      <c r="A96" s="81" t="s">
        <v>114</v>
      </c>
      <c r="B96" s="33"/>
      <c r="C96" s="69" t="s">
        <v>867</v>
      </c>
      <c r="D96" s="69" t="s">
        <v>868</v>
      </c>
      <c r="E96" s="69" t="s">
        <v>933</v>
      </c>
      <c r="F96" s="68" t="s">
        <v>866</v>
      </c>
      <c r="G96" s="69" t="s">
        <v>1360</v>
      </c>
      <c r="H96" s="39">
        <v>1108</v>
      </c>
      <c r="I96" s="33"/>
      <c r="J96" s="35">
        <v>43598</v>
      </c>
      <c r="K96" s="33" t="s">
        <v>1079</v>
      </c>
      <c r="L96" s="69"/>
      <c r="M96" s="82"/>
      <c r="N96" s="68"/>
    </row>
    <row r="97" spans="1:14" ht="28.5" customHeight="1" x14ac:dyDescent="0.3">
      <c r="A97" s="81" t="s">
        <v>115</v>
      </c>
      <c r="B97" s="33"/>
      <c r="C97" s="69" t="s">
        <v>979</v>
      </c>
      <c r="D97" s="69" t="s">
        <v>1361</v>
      </c>
      <c r="E97" s="69" t="s">
        <v>886</v>
      </c>
      <c r="F97" s="69" t="s">
        <v>1362</v>
      </c>
      <c r="G97" s="69" t="s">
        <v>981</v>
      </c>
      <c r="H97" s="39">
        <v>2961</v>
      </c>
      <c r="I97" s="69" t="s">
        <v>982</v>
      </c>
      <c r="J97" s="35">
        <v>43599</v>
      </c>
      <c r="K97" s="33" t="s">
        <v>915</v>
      </c>
      <c r="L97" s="123" t="s">
        <v>1363</v>
      </c>
      <c r="M97" s="82"/>
      <c r="N97" s="68" t="s">
        <v>1364</v>
      </c>
    </row>
    <row r="98" spans="1:14" ht="28.5" customHeight="1" x14ac:dyDescent="0.3">
      <c r="A98" s="81" t="s">
        <v>116</v>
      </c>
      <c r="B98" s="33"/>
      <c r="C98" s="69" t="s">
        <v>979</v>
      </c>
      <c r="D98" s="69" t="s">
        <v>1370</v>
      </c>
      <c r="E98" s="69" t="s">
        <v>886</v>
      </c>
      <c r="F98" s="69" t="s">
        <v>1369</v>
      </c>
      <c r="G98" s="69" t="s">
        <v>981</v>
      </c>
      <c r="H98" s="39">
        <v>2835.6</v>
      </c>
      <c r="I98" s="123" t="s">
        <v>1381</v>
      </c>
      <c r="J98" s="35">
        <v>43600</v>
      </c>
      <c r="K98" s="33" t="s">
        <v>915</v>
      </c>
      <c r="L98" s="123" t="s">
        <v>1374</v>
      </c>
      <c r="M98" s="82"/>
      <c r="N98" s="124" t="s">
        <v>1377</v>
      </c>
    </row>
    <row r="99" spans="1:14" ht="28.5" customHeight="1" x14ac:dyDescent="0.3">
      <c r="A99" s="81" t="s">
        <v>117</v>
      </c>
      <c r="B99" s="33"/>
      <c r="C99" s="69" t="s">
        <v>979</v>
      </c>
      <c r="D99" s="69" t="s">
        <v>1378</v>
      </c>
      <c r="E99" s="69" t="s">
        <v>886</v>
      </c>
      <c r="F99" s="69" t="s">
        <v>1371</v>
      </c>
      <c r="G99" s="69" t="s">
        <v>981</v>
      </c>
      <c r="H99" s="39">
        <v>999</v>
      </c>
      <c r="I99" s="123" t="s">
        <v>1382</v>
      </c>
      <c r="J99" s="35">
        <v>43601</v>
      </c>
      <c r="K99" s="33" t="s">
        <v>915</v>
      </c>
      <c r="L99" s="123" t="s">
        <v>1375</v>
      </c>
      <c r="M99" s="36"/>
      <c r="N99" s="68"/>
    </row>
    <row r="100" spans="1:14" ht="28.5" customHeight="1" x14ac:dyDescent="0.3">
      <c r="A100" s="81" t="s">
        <v>118</v>
      </c>
      <c r="B100" s="33"/>
      <c r="C100" s="69" t="s">
        <v>979</v>
      </c>
      <c r="D100" s="69" t="s">
        <v>1372</v>
      </c>
      <c r="E100" s="69" t="s">
        <v>886</v>
      </c>
      <c r="F100" s="69" t="s">
        <v>1373</v>
      </c>
      <c r="G100" s="69" t="s">
        <v>981</v>
      </c>
      <c r="H100" s="39">
        <v>1602</v>
      </c>
      <c r="I100" s="123" t="s">
        <v>1383</v>
      </c>
      <c r="J100" s="35">
        <v>43602</v>
      </c>
      <c r="K100" s="33" t="s">
        <v>915</v>
      </c>
      <c r="L100" s="123" t="s">
        <v>1376</v>
      </c>
      <c r="M100" s="36"/>
      <c r="N100" s="68"/>
    </row>
    <row r="101" spans="1:14" ht="28.5" customHeight="1" x14ac:dyDescent="0.3">
      <c r="A101" s="81" t="s">
        <v>119</v>
      </c>
      <c r="B101" s="33">
        <v>1</v>
      </c>
      <c r="C101" s="69" t="s">
        <v>1028</v>
      </c>
      <c r="D101" s="69" t="s">
        <v>1384</v>
      </c>
      <c r="E101" s="69" t="s">
        <v>1030</v>
      </c>
      <c r="F101" s="69" t="s">
        <v>1031</v>
      </c>
      <c r="G101" s="69" t="s">
        <v>1032</v>
      </c>
      <c r="H101" s="39">
        <v>1845</v>
      </c>
      <c r="I101" s="123" t="s">
        <v>1385</v>
      </c>
      <c r="J101" s="35">
        <v>43602</v>
      </c>
      <c r="K101" s="123" t="s">
        <v>915</v>
      </c>
      <c r="L101" s="70" t="s">
        <v>1386</v>
      </c>
      <c r="M101" s="36"/>
      <c r="N101" s="124" t="s">
        <v>960</v>
      </c>
    </row>
    <row r="102" spans="1:14" ht="28.5" customHeight="1" x14ac:dyDescent="0.3">
      <c r="A102" s="81" t="s">
        <v>120</v>
      </c>
      <c r="B102" s="33"/>
      <c r="C102" s="69" t="s">
        <v>867</v>
      </c>
      <c r="D102" s="69" t="s">
        <v>1358</v>
      </c>
      <c r="E102" s="69" t="s">
        <v>1305</v>
      </c>
      <c r="F102" s="69" t="s">
        <v>866</v>
      </c>
      <c r="G102" s="69" t="s">
        <v>994</v>
      </c>
      <c r="H102" s="39">
        <v>515</v>
      </c>
      <c r="I102" s="123" t="s">
        <v>1387</v>
      </c>
      <c r="J102" s="35">
        <v>43602</v>
      </c>
      <c r="K102" s="123" t="s">
        <v>915</v>
      </c>
      <c r="L102" s="132" t="s">
        <v>1388</v>
      </c>
      <c r="M102" s="36"/>
      <c r="N102" s="37"/>
    </row>
    <row r="103" spans="1:14" ht="36.75" customHeight="1" x14ac:dyDescent="0.3">
      <c r="A103" s="81" t="s">
        <v>121</v>
      </c>
      <c r="B103" s="33"/>
      <c r="C103" s="69" t="s">
        <v>867</v>
      </c>
      <c r="D103" s="69" t="s">
        <v>868</v>
      </c>
      <c r="E103" s="69" t="s">
        <v>903</v>
      </c>
      <c r="F103" s="69" t="s">
        <v>866</v>
      </c>
      <c r="G103" s="69" t="s">
        <v>1391</v>
      </c>
      <c r="H103" s="39">
        <v>3680</v>
      </c>
      <c r="I103" s="123" t="s">
        <v>1392</v>
      </c>
      <c r="J103" s="35">
        <v>43606</v>
      </c>
      <c r="K103" s="123" t="s">
        <v>915</v>
      </c>
      <c r="L103" s="70" t="s">
        <v>1393</v>
      </c>
      <c r="M103" s="36"/>
      <c r="N103" s="68"/>
    </row>
    <row r="104" spans="1:14" ht="32.25" customHeight="1" x14ac:dyDescent="0.3">
      <c r="A104" s="81" t="s">
        <v>122</v>
      </c>
      <c r="B104" s="33"/>
      <c r="C104" s="69" t="s">
        <v>867</v>
      </c>
      <c r="D104" s="69" t="s">
        <v>868</v>
      </c>
      <c r="E104" s="69" t="s">
        <v>903</v>
      </c>
      <c r="F104" s="69" t="s">
        <v>866</v>
      </c>
      <c r="G104" s="69" t="s">
        <v>1391</v>
      </c>
      <c r="H104" s="39">
        <v>2625</v>
      </c>
      <c r="I104" s="123" t="s">
        <v>1394</v>
      </c>
      <c r="J104" s="35">
        <v>43606</v>
      </c>
      <c r="K104" s="123" t="s">
        <v>915</v>
      </c>
      <c r="L104" s="70" t="s">
        <v>1393</v>
      </c>
      <c r="M104" s="36"/>
      <c r="N104" s="68"/>
    </row>
    <row r="105" spans="1:14" ht="42.75" customHeight="1" x14ac:dyDescent="0.3">
      <c r="A105" s="81" t="s">
        <v>123</v>
      </c>
      <c r="B105" s="33"/>
      <c r="C105" s="69" t="s">
        <v>1400</v>
      </c>
      <c r="D105" s="69" t="s">
        <v>1401</v>
      </c>
      <c r="E105" s="69" t="s">
        <v>886</v>
      </c>
      <c r="F105" s="69">
        <v>91</v>
      </c>
      <c r="G105" s="69" t="s">
        <v>1402</v>
      </c>
      <c r="H105" s="39">
        <v>1614.8</v>
      </c>
      <c r="I105" s="69" t="s">
        <v>1403</v>
      </c>
      <c r="J105" s="88">
        <v>43612</v>
      </c>
      <c r="K105" s="69" t="s">
        <v>953</v>
      </c>
      <c r="L105" s="69" t="s">
        <v>1404</v>
      </c>
      <c r="M105" s="69"/>
      <c r="N105" s="69" t="s">
        <v>1405</v>
      </c>
    </row>
    <row r="106" spans="1:14" ht="28.5" customHeight="1" x14ac:dyDescent="0.3">
      <c r="A106" s="81" t="s">
        <v>124</v>
      </c>
      <c r="B106" s="33"/>
      <c r="C106" s="69" t="s">
        <v>979</v>
      </c>
      <c r="D106" s="68" t="s">
        <v>1406</v>
      </c>
      <c r="E106" s="124" t="s">
        <v>1407</v>
      </c>
      <c r="F106" s="69" t="s">
        <v>1408</v>
      </c>
      <c r="G106" s="68" t="s">
        <v>1409</v>
      </c>
      <c r="H106" s="101">
        <v>928.7</v>
      </c>
      <c r="I106" s="69"/>
      <c r="J106" s="88">
        <v>43614</v>
      </c>
      <c r="K106" s="69" t="s">
        <v>915</v>
      </c>
      <c r="L106" s="70" t="s">
        <v>1410</v>
      </c>
      <c r="M106" s="36"/>
      <c r="N106" s="37"/>
    </row>
    <row r="107" spans="1:14" ht="28.5" customHeight="1" x14ac:dyDescent="0.3">
      <c r="A107" s="81" t="s">
        <v>125</v>
      </c>
      <c r="B107" s="33"/>
      <c r="C107" s="69" t="s">
        <v>867</v>
      </c>
      <c r="D107" s="69" t="s">
        <v>868</v>
      </c>
      <c r="E107" s="69" t="s">
        <v>949</v>
      </c>
      <c r="F107" s="69" t="s">
        <v>866</v>
      </c>
      <c r="G107" s="69" t="s">
        <v>1391</v>
      </c>
      <c r="H107" s="89">
        <v>1935</v>
      </c>
      <c r="I107" s="69"/>
      <c r="J107" s="88">
        <v>43614</v>
      </c>
      <c r="K107" s="69" t="s">
        <v>915</v>
      </c>
      <c r="L107" s="69" t="s">
        <v>1393</v>
      </c>
      <c r="M107" s="69"/>
      <c r="N107" s="69" t="s">
        <v>1411</v>
      </c>
    </row>
    <row r="108" spans="1:14" ht="28.5" customHeight="1" x14ac:dyDescent="0.3">
      <c r="A108" s="81" t="s">
        <v>126</v>
      </c>
      <c r="B108" s="33"/>
      <c r="C108" s="69" t="s">
        <v>937</v>
      </c>
      <c r="D108" s="69" t="s">
        <v>1419</v>
      </c>
      <c r="E108" s="69" t="s">
        <v>1173</v>
      </c>
      <c r="F108" s="69" t="s">
        <v>1418</v>
      </c>
      <c r="G108" s="69" t="s">
        <v>1145</v>
      </c>
      <c r="H108" s="90">
        <v>765</v>
      </c>
      <c r="I108" s="69"/>
      <c r="J108" s="88">
        <v>43615</v>
      </c>
      <c r="K108" s="69" t="s">
        <v>915</v>
      </c>
      <c r="L108" s="69" t="s">
        <v>1420</v>
      </c>
      <c r="M108" s="69"/>
      <c r="N108" s="69"/>
    </row>
    <row r="109" spans="1:14" ht="28.5" customHeight="1" x14ac:dyDescent="0.3">
      <c r="A109" s="81" t="s">
        <v>127</v>
      </c>
      <c r="B109" s="33"/>
      <c r="C109" s="69" t="s">
        <v>867</v>
      </c>
      <c r="D109" s="69" t="s">
        <v>868</v>
      </c>
      <c r="E109" s="69" t="s">
        <v>1351</v>
      </c>
      <c r="F109" s="69" t="s">
        <v>866</v>
      </c>
      <c r="G109" s="69" t="s">
        <v>1349</v>
      </c>
      <c r="H109" s="90">
        <v>955</v>
      </c>
      <c r="I109" s="69"/>
      <c r="J109" s="88">
        <v>43620</v>
      </c>
      <c r="K109" s="69" t="s">
        <v>915</v>
      </c>
      <c r="L109" s="69" t="s">
        <v>1435</v>
      </c>
      <c r="M109" s="69"/>
      <c r="N109" s="69"/>
    </row>
    <row r="110" spans="1:14" ht="28.5" customHeight="1" x14ac:dyDescent="0.3">
      <c r="A110" s="81" t="s">
        <v>128</v>
      </c>
      <c r="B110" s="33"/>
      <c r="C110" s="69" t="s">
        <v>1269</v>
      </c>
      <c r="D110" s="69" t="s">
        <v>1272</v>
      </c>
      <c r="E110" s="69" t="s">
        <v>886</v>
      </c>
      <c r="F110" s="69">
        <v>75001</v>
      </c>
      <c r="G110" s="69" t="s">
        <v>1277</v>
      </c>
      <c r="H110" s="90">
        <v>760</v>
      </c>
      <c r="I110" s="69"/>
      <c r="J110" s="88">
        <v>43622</v>
      </c>
      <c r="K110" s="69" t="s">
        <v>915</v>
      </c>
      <c r="L110" s="69" t="s">
        <v>1439</v>
      </c>
      <c r="M110" s="69"/>
      <c r="N110" s="69" t="s">
        <v>1189</v>
      </c>
    </row>
    <row r="111" spans="1:14" ht="28.5" customHeight="1" x14ac:dyDescent="0.3">
      <c r="A111" s="81" t="s">
        <v>129</v>
      </c>
      <c r="B111" s="33"/>
      <c r="C111" s="68" t="s">
        <v>947</v>
      </c>
      <c r="D111" s="69" t="s">
        <v>1071</v>
      </c>
      <c r="E111" s="69" t="s">
        <v>1440</v>
      </c>
      <c r="F111" s="33">
        <v>75015</v>
      </c>
      <c r="G111" s="69" t="s">
        <v>1207</v>
      </c>
      <c r="H111" s="90">
        <v>5970</v>
      </c>
      <c r="I111" s="69"/>
      <c r="J111" s="88">
        <v>43622</v>
      </c>
      <c r="K111" s="69" t="s">
        <v>915</v>
      </c>
      <c r="L111" s="69" t="s">
        <v>1441</v>
      </c>
      <c r="M111" s="69"/>
      <c r="N111" s="69"/>
    </row>
    <row r="112" spans="1:14" ht="28.5" customHeight="1" x14ac:dyDescent="0.3">
      <c r="A112" s="81" t="s">
        <v>130</v>
      </c>
      <c r="B112" s="33"/>
      <c r="C112" s="68" t="s">
        <v>947</v>
      </c>
      <c r="D112" s="69" t="s">
        <v>1071</v>
      </c>
      <c r="E112" s="69" t="s">
        <v>1206</v>
      </c>
      <c r="F112" s="33">
        <v>75015</v>
      </c>
      <c r="G112" s="69" t="s">
        <v>1207</v>
      </c>
      <c r="H112" s="90">
        <v>1408</v>
      </c>
      <c r="I112" s="69"/>
      <c r="J112" s="88">
        <v>43633</v>
      </c>
      <c r="K112" s="69" t="s">
        <v>915</v>
      </c>
      <c r="L112" s="69" t="s">
        <v>1442</v>
      </c>
      <c r="M112" s="69"/>
      <c r="N112" s="69" t="s">
        <v>1443</v>
      </c>
    </row>
    <row r="113" spans="1:14" ht="28.5" customHeight="1" x14ac:dyDescent="0.3">
      <c r="A113" s="81" t="s">
        <v>131</v>
      </c>
      <c r="B113" s="33"/>
      <c r="C113" s="69" t="s">
        <v>1266</v>
      </c>
      <c r="D113" s="69" t="s">
        <v>1447</v>
      </c>
      <c r="E113" s="69" t="s">
        <v>1206</v>
      </c>
      <c r="F113" s="69">
        <v>91</v>
      </c>
      <c r="G113" s="69" t="s">
        <v>1448</v>
      </c>
      <c r="H113" s="90">
        <v>582</v>
      </c>
      <c r="I113" s="69"/>
      <c r="J113" s="88">
        <v>43628</v>
      </c>
      <c r="K113" s="69" t="s">
        <v>915</v>
      </c>
      <c r="L113" s="69"/>
      <c r="M113" s="69"/>
      <c r="N113" s="69" t="s">
        <v>1449</v>
      </c>
    </row>
    <row r="114" spans="1:14" ht="28.5" customHeight="1" x14ac:dyDescent="0.3">
      <c r="A114" s="81" t="s">
        <v>132</v>
      </c>
      <c r="B114" s="33"/>
      <c r="C114" s="69" t="s">
        <v>867</v>
      </c>
      <c r="D114" s="69" t="s">
        <v>1452</v>
      </c>
      <c r="E114" s="69" t="s">
        <v>1351</v>
      </c>
      <c r="F114" s="69" t="s">
        <v>866</v>
      </c>
      <c r="G114" s="69" t="s">
        <v>1453</v>
      </c>
      <c r="H114" s="90">
        <v>390</v>
      </c>
      <c r="I114" s="69"/>
      <c r="J114" s="88">
        <v>43628</v>
      </c>
      <c r="K114" s="69" t="s">
        <v>915</v>
      </c>
      <c r="L114" s="69" t="s">
        <v>1454</v>
      </c>
      <c r="M114" s="69"/>
      <c r="N114" s="69"/>
    </row>
    <row r="115" spans="1:14" ht="28.5" customHeight="1" x14ac:dyDescent="0.3">
      <c r="A115" s="81" t="s">
        <v>133</v>
      </c>
      <c r="B115" s="33"/>
      <c r="C115" s="69" t="s">
        <v>867</v>
      </c>
      <c r="D115" s="69" t="s">
        <v>868</v>
      </c>
      <c r="E115" s="69" t="s">
        <v>1351</v>
      </c>
      <c r="F115" s="69" t="s">
        <v>866</v>
      </c>
      <c r="G115" s="69" t="s">
        <v>1349</v>
      </c>
      <c r="H115" s="90">
        <v>290</v>
      </c>
      <c r="I115" s="69"/>
      <c r="J115" s="88">
        <v>43629</v>
      </c>
      <c r="K115" s="123" t="s">
        <v>915</v>
      </c>
      <c r="L115" s="69" t="s">
        <v>1455</v>
      </c>
      <c r="M115" s="69"/>
      <c r="N115" s="69"/>
    </row>
    <row r="116" spans="1:14" ht="28.5" customHeight="1" x14ac:dyDescent="0.3">
      <c r="A116" s="81" t="s">
        <v>134</v>
      </c>
      <c r="B116" s="33"/>
      <c r="C116" s="69" t="s">
        <v>867</v>
      </c>
      <c r="D116" s="69" t="s">
        <v>1458</v>
      </c>
      <c r="E116" s="69" t="s">
        <v>903</v>
      </c>
      <c r="F116" s="69" t="s">
        <v>866</v>
      </c>
      <c r="G116" s="69" t="s">
        <v>1459</v>
      </c>
      <c r="H116" s="39">
        <v>1186</v>
      </c>
      <c r="I116" s="69"/>
      <c r="J116" s="35">
        <v>43633</v>
      </c>
      <c r="K116" s="123" t="s">
        <v>915</v>
      </c>
      <c r="L116" s="71" t="s">
        <v>1538</v>
      </c>
      <c r="M116" s="160" t="s">
        <v>1531</v>
      </c>
      <c r="N116" s="69"/>
    </row>
    <row r="117" spans="1:14" ht="28.5" customHeight="1" x14ac:dyDescent="0.3">
      <c r="A117" s="81" t="s">
        <v>135</v>
      </c>
      <c r="B117" s="49"/>
      <c r="C117" s="69" t="s">
        <v>867</v>
      </c>
      <c r="D117" s="69" t="s">
        <v>1460</v>
      </c>
      <c r="E117" s="69" t="s">
        <v>1461</v>
      </c>
      <c r="F117" s="69" t="s">
        <v>866</v>
      </c>
      <c r="G117" s="69" t="s">
        <v>1349</v>
      </c>
      <c r="H117" s="50">
        <v>325</v>
      </c>
      <c r="I117" s="49"/>
      <c r="J117" s="72">
        <v>43633</v>
      </c>
      <c r="K117" s="123" t="s">
        <v>915</v>
      </c>
      <c r="L117" s="73" t="s">
        <v>1462</v>
      </c>
      <c r="M117" s="51"/>
      <c r="N117" s="52"/>
    </row>
    <row r="118" spans="1:14" ht="28.5" customHeight="1" x14ac:dyDescent="0.3">
      <c r="A118" s="81" t="s">
        <v>136</v>
      </c>
      <c r="B118" s="49"/>
      <c r="C118" s="4" t="s">
        <v>1471</v>
      </c>
      <c r="D118" s="4" t="s">
        <v>1466</v>
      </c>
      <c r="E118" s="4" t="s">
        <v>893</v>
      </c>
      <c r="F118" s="4" t="s">
        <v>1467</v>
      </c>
      <c r="G118" s="4" t="s">
        <v>1468</v>
      </c>
      <c r="H118" s="50">
        <v>6060</v>
      </c>
      <c r="I118" s="49"/>
      <c r="J118" s="72">
        <v>43633</v>
      </c>
      <c r="K118" s="69" t="s">
        <v>915</v>
      </c>
      <c r="L118" s="73"/>
      <c r="M118" s="51"/>
      <c r="N118" s="156" t="s">
        <v>1469</v>
      </c>
    </row>
    <row r="119" spans="1:14" ht="28.5" customHeight="1" x14ac:dyDescent="0.3">
      <c r="A119" s="81" t="s">
        <v>137</v>
      </c>
      <c r="B119" s="49"/>
      <c r="C119" s="4" t="s">
        <v>1471</v>
      </c>
      <c r="D119" s="4" t="s">
        <v>1470</v>
      </c>
      <c r="E119" s="4" t="s">
        <v>893</v>
      </c>
      <c r="F119" s="4" t="s">
        <v>1467</v>
      </c>
      <c r="G119" s="4" t="s">
        <v>1468</v>
      </c>
      <c r="H119" s="50">
        <v>3760</v>
      </c>
      <c r="I119" s="49"/>
      <c r="J119" s="72">
        <v>43641</v>
      </c>
      <c r="K119" s="69" t="s">
        <v>915</v>
      </c>
      <c r="L119" s="73"/>
      <c r="M119" s="51"/>
      <c r="N119" s="156" t="s">
        <v>1492</v>
      </c>
    </row>
    <row r="120" spans="1:14" ht="28.5" customHeight="1" x14ac:dyDescent="0.3">
      <c r="A120" s="81" t="s">
        <v>138</v>
      </c>
      <c r="B120" s="49"/>
      <c r="C120" s="69" t="s">
        <v>1261</v>
      </c>
      <c r="D120" s="69" t="s">
        <v>1264</v>
      </c>
      <c r="E120" s="69" t="s">
        <v>1473</v>
      </c>
      <c r="F120" s="69">
        <v>75011</v>
      </c>
      <c r="G120" s="69" t="s">
        <v>1474</v>
      </c>
      <c r="H120" s="50">
        <v>1520</v>
      </c>
      <c r="I120" s="49"/>
      <c r="J120" s="72">
        <v>43636</v>
      </c>
      <c r="K120" s="69" t="s">
        <v>915</v>
      </c>
      <c r="L120" s="71"/>
      <c r="M120" s="51"/>
      <c r="N120" s="156" t="s">
        <v>1475</v>
      </c>
    </row>
    <row r="121" spans="1:14" ht="28.5" customHeight="1" x14ac:dyDescent="0.3">
      <c r="A121" s="81" t="s">
        <v>139</v>
      </c>
      <c r="B121" s="49"/>
      <c r="C121" s="4" t="s">
        <v>956</v>
      </c>
      <c r="D121" s="4" t="s">
        <v>1476</v>
      </c>
      <c r="E121" s="4" t="s">
        <v>933</v>
      </c>
      <c r="F121" s="4" t="s">
        <v>866</v>
      </c>
      <c r="G121" s="69" t="s">
        <v>1421</v>
      </c>
      <c r="H121" s="39">
        <v>785</v>
      </c>
      <c r="I121" s="69"/>
      <c r="J121" s="72">
        <v>43637</v>
      </c>
      <c r="K121" s="69" t="s">
        <v>915</v>
      </c>
      <c r="L121" s="79" t="s">
        <v>1477</v>
      </c>
      <c r="M121" s="51"/>
      <c r="N121" s="52"/>
    </row>
    <row r="122" spans="1:14" ht="28.5" customHeight="1" x14ac:dyDescent="0.3">
      <c r="A122" s="81" t="s">
        <v>140</v>
      </c>
      <c r="B122" s="49"/>
      <c r="C122" s="68" t="s">
        <v>947</v>
      </c>
      <c r="D122" s="69" t="s">
        <v>1071</v>
      </c>
      <c r="E122" s="69" t="s">
        <v>1482</v>
      </c>
      <c r="F122" s="33">
        <v>75015</v>
      </c>
      <c r="G122" s="69" t="s">
        <v>1207</v>
      </c>
      <c r="H122" s="50">
        <v>2985</v>
      </c>
      <c r="I122" s="49"/>
      <c r="J122" s="72">
        <v>43637</v>
      </c>
      <c r="K122" s="69" t="s">
        <v>915</v>
      </c>
      <c r="L122" s="4" t="s">
        <v>1483</v>
      </c>
      <c r="M122" s="51"/>
      <c r="N122" s="156" t="s">
        <v>1484</v>
      </c>
    </row>
    <row r="123" spans="1:14" ht="28.5" customHeight="1" x14ac:dyDescent="0.3">
      <c r="A123" s="81" t="s">
        <v>141</v>
      </c>
      <c r="B123" s="49"/>
      <c r="C123" s="4" t="s">
        <v>1486</v>
      </c>
      <c r="D123" s="4" t="s">
        <v>1487</v>
      </c>
      <c r="E123" s="4" t="s">
        <v>1488</v>
      </c>
      <c r="F123" s="4">
        <v>94</v>
      </c>
      <c r="G123" s="69" t="s">
        <v>1489</v>
      </c>
      <c r="H123" s="39">
        <v>1610</v>
      </c>
      <c r="I123" s="4"/>
      <c r="J123" s="72">
        <v>43638</v>
      </c>
      <c r="K123" s="69" t="s">
        <v>915</v>
      </c>
      <c r="L123" s="4" t="s">
        <v>1490</v>
      </c>
      <c r="M123" s="51"/>
      <c r="N123" s="52"/>
    </row>
    <row r="124" spans="1:14" ht="28.5" customHeight="1" x14ac:dyDescent="0.3">
      <c r="A124" s="81" t="s">
        <v>142</v>
      </c>
      <c r="B124" s="49"/>
      <c r="C124" s="4" t="s">
        <v>867</v>
      </c>
      <c r="D124" s="4" t="s">
        <v>868</v>
      </c>
      <c r="E124" s="4" t="s">
        <v>1351</v>
      </c>
      <c r="F124" s="4" t="s">
        <v>866</v>
      </c>
      <c r="G124" s="4" t="s">
        <v>1349</v>
      </c>
      <c r="H124" s="50">
        <v>700</v>
      </c>
      <c r="I124" s="4"/>
      <c r="J124" s="72">
        <v>43640</v>
      </c>
      <c r="K124" s="69" t="s">
        <v>915</v>
      </c>
      <c r="L124" s="157" t="s">
        <v>1491</v>
      </c>
      <c r="M124" s="161" t="s">
        <v>1213</v>
      </c>
      <c r="N124" s="52"/>
    </row>
    <row r="125" spans="1:14" ht="28.5" customHeight="1" x14ac:dyDescent="0.3">
      <c r="A125" s="81" t="s">
        <v>143</v>
      </c>
      <c r="B125" s="49"/>
      <c r="C125" s="4" t="s">
        <v>1496</v>
      </c>
      <c r="D125" s="4" t="s">
        <v>1497</v>
      </c>
      <c r="E125" s="4" t="s">
        <v>965</v>
      </c>
      <c r="F125" s="4" t="s">
        <v>866</v>
      </c>
      <c r="G125" s="4" t="s">
        <v>1498</v>
      </c>
      <c r="H125" s="50">
        <v>4775</v>
      </c>
      <c r="I125" s="4"/>
      <c r="J125" s="72">
        <v>43641</v>
      </c>
      <c r="K125" s="69" t="s">
        <v>915</v>
      </c>
      <c r="L125" s="4" t="s">
        <v>1499</v>
      </c>
      <c r="M125" s="51"/>
      <c r="N125" s="3" t="s">
        <v>1500</v>
      </c>
    </row>
    <row r="126" spans="1:14" ht="28.5" customHeight="1" x14ac:dyDescent="0.3">
      <c r="A126" s="81" t="s">
        <v>144</v>
      </c>
      <c r="B126" s="49"/>
      <c r="C126" s="68" t="s">
        <v>1247</v>
      </c>
      <c r="D126" s="69" t="s">
        <v>1504</v>
      </c>
      <c r="E126" s="68" t="s">
        <v>865</v>
      </c>
      <c r="F126" s="68">
        <v>75015</v>
      </c>
      <c r="G126" s="69" t="s">
        <v>1503</v>
      </c>
      <c r="H126" s="39">
        <v>400</v>
      </c>
      <c r="I126" s="49"/>
      <c r="J126" s="72">
        <v>43642</v>
      </c>
      <c r="K126" s="69" t="s">
        <v>915</v>
      </c>
      <c r="L126" s="4" t="s">
        <v>1505</v>
      </c>
      <c r="M126" s="51"/>
      <c r="N126" s="3"/>
    </row>
    <row r="127" spans="1:14" ht="28.5" customHeight="1" x14ac:dyDescent="0.3">
      <c r="A127" s="81" t="s">
        <v>145</v>
      </c>
      <c r="B127" s="49"/>
      <c r="C127" s="4" t="s">
        <v>956</v>
      </c>
      <c r="D127" s="4" t="s">
        <v>1506</v>
      </c>
      <c r="E127" s="4" t="s">
        <v>886</v>
      </c>
      <c r="F127" s="4" t="s">
        <v>1507</v>
      </c>
      <c r="G127" s="4" t="s">
        <v>1421</v>
      </c>
      <c r="H127" s="50">
        <v>3295</v>
      </c>
      <c r="I127" s="49"/>
      <c r="J127" s="72">
        <v>43643</v>
      </c>
      <c r="K127" s="123" t="s">
        <v>915</v>
      </c>
      <c r="L127" s="79" t="s">
        <v>1508</v>
      </c>
      <c r="M127" s="51"/>
      <c r="N127" s="3"/>
    </row>
    <row r="128" spans="1:14" ht="28.5" customHeight="1" x14ac:dyDescent="0.3">
      <c r="A128" s="81" t="s">
        <v>146</v>
      </c>
      <c r="B128" s="49"/>
      <c r="C128" s="69" t="s">
        <v>937</v>
      </c>
      <c r="D128" s="69" t="s">
        <v>1419</v>
      </c>
      <c r="E128" s="69" t="s">
        <v>1537</v>
      </c>
      <c r="F128" s="69" t="s">
        <v>1515</v>
      </c>
      <c r="G128" s="69" t="s">
        <v>1145</v>
      </c>
      <c r="H128" s="50">
        <v>2055</v>
      </c>
      <c r="I128" s="49"/>
      <c r="J128" s="72">
        <v>43648</v>
      </c>
      <c r="K128" s="123" t="s">
        <v>915</v>
      </c>
      <c r="L128" s="77" t="s">
        <v>1517</v>
      </c>
      <c r="M128" s="3"/>
      <c r="N128" s="3"/>
    </row>
    <row r="129" spans="1:14" ht="28.5" customHeight="1" x14ac:dyDescent="0.3">
      <c r="A129" s="81" t="s">
        <v>147</v>
      </c>
      <c r="B129" s="49"/>
      <c r="C129" s="4" t="s">
        <v>867</v>
      </c>
      <c r="D129" s="4" t="s">
        <v>868</v>
      </c>
      <c r="E129" s="4" t="s">
        <v>1514</v>
      </c>
      <c r="F129" s="4" t="s">
        <v>866</v>
      </c>
      <c r="G129" s="4" t="s">
        <v>1349</v>
      </c>
      <c r="H129" s="50">
        <v>1660</v>
      </c>
      <c r="I129" s="49"/>
      <c r="J129" s="72">
        <v>43648</v>
      </c>
      <c r="K129" s="123" t="s">
        <v>915</v>
      </c>
      <c r="L129" s="157" t="s">
        <v>1516</v>
      </c>
      <c r="M129" s="51"/>
      <c r="N129" s="52"/>
    </row>
    <row r="130" spans="1:14" ht="28.5" customHeight="1" x14ac:dyDescent="0.3">
      <c r="A130" s="81" t="s">
        <v>148</v>
      </c>
      <c r="B130" s="49"/>
      <c r="C130" s="68" t="s">
        <v>1247</v>
      </c>
      <c r="D130" s="69" t="s">
        <v>1519</v>
      </c>
      <c r="E130" s="68" t="s">
        <v>865</v>
      </c>
      <c r="F130" s="68">
        <v>75015</v>
      </c>
      <c r="G130" s="69" t="s">
        <v>1503</v>
      </c>
      <c r="H130" s="50">
        <v>1100</v>
      </c>
      <c r="I130" s="49"/>
      <c r="J130" s="72">
        <v>43649</v>
      </c>
      <c r="K130" s="123" t="s">
        <v>915</v>
      </c>
      <c r="L130" s="4" t="s">
        <v>1518</v>
      </c>
      <c r="M130" s="51"/>
      <c r="N130" s="52"/>
    </row>
    <row r="131" spans="1:14" ht="28.5" customHeight="1" x14ac:dyDescent="0.3">
      <c r="A131" s="81" t="s">
        <v>149</v>
      </c>
      <c r="B131" s="49"/>
      <c r="C131" s="69" t="s">
        <v>867</v>
      </c>
      <c r="D131" s="69" t="s">
        <v>868</v>
      </c>
      <c r="E131" s="69" t="s">
        <v>893</v>
      </c>
      <c r="F131" s="69" t="s">
        <v>1533</v>
      </c>
      <c r="G131" s="69" t="s">
        <v>1534</v>
      </c>
      <c r="H131" s="50">
        <v>1755</v>
      </c>
      <c r="I131" s="49"/>
      <c r="J131" s="72">
        <v>43650</v>
      </c>
      <c r="K131" s="123" t="s">
        <v>915</v>
      </c>
      <c r="L131" s="79" t="s">
        <v>1535</v>
      </c>
      <c r="M131" s="51"/>
      <c r="N131" s="3"/>
    </row>
    <row r="132" spans="1:14" ht="28.5" customHeight="1" x14ac:dyDescent="0.3">
      <c r="A132" s="81" t="s">
        <v>150</v>
      </c>
      <c r="B132" s="49"/>
      <c r="C132" s="69" t="s">
        <v>1269</v>
      </c>
      <c r="D132" s="69" t="s">
        <v>1569</v>
      </c>
      <c r="E132" s="69" t="s">
        <v>886</v>
      </c>
      <c r="F132" s="69">
        <v>75001</v>
      </c>
      <c r="G132" s="69" t="s">
        <v>1277</v>
      </c>
      <c r="H132" s="50">
        <v>1780</v>
      </c>
      <c r="I132" s="49"/>
      <c r="J132" s="72">
        <v>43654</v>
      </c>
      <c r="K132" s="69" t="s">
        <v>915</v>
      </c>
      <c r="L132" s="4" t="s">
        <v>1536</v>
      </c>
      <c r="M132" s="51"/>
      <c r="N132" s="3"/>
    </row>
    <row r="133" spans="1:14" ht="28.5" customHeight="1" x14ac:dyDescent="0.3">
      <c r="A133" s="81" t="s">
        <v>151</v>
      </c>
      <c r="B133" s="49"/>
      <c r="C133" s="69" t="s">
        <v>867</v>
      </c>
      <c r="D133" s="69" t="s">
        <v>868</v>
      </c>
      <c r="E133" s="69" t="s">
        <v>893</v>
      </c>
      <c r="F133" s="69" t="s">
        <v>1533</v>
      </c>
      <c r="G133" s="69" t="s">
        <v>1539</v>
      </c>
      <c r="H133" s="50">
        <v>890</v>
      </c>
      <c r="I133" s="49"/>
      <c r="J133" s="8">
        <v>43655</v>
      </c>
      <c r="K133" s="123" t="s">
        <v>915</v>
      </c>
      <c r="L133" s="4" t="s">
        <v>1540</v>
      </c>
      <c r="M133" s="51"/>
      <c r="N133" s="3">
        <v>95</v>
      </c>
    </row>
    <row r="134" spans="1:14" ht="28.5" customHeight="1" x14ac:dyDescent="0.3">
      <c r="A134" s="81" t="s">
        <v>152</v>
      </c>
      <c r="B134" s="49">
        <v>1</v>
      </c>
      <c r="C134" s="4" t="s">
        <v>1549</v>
      </c>
      <c r="D134" s="4" t="s">
        <v>1550</v>
      </c>
      <c r="E134" s="69" t="s">
        <v>1537</v>
      </c>
      <c r="F134" s="4" t="s">
        <v>1551</v>
      </c>
      <c r="G134" s="4" t="s">
        <v>1552</v>
      </c>
      <c r="H134" s="50">
        <v>4788</v>
      </c>
      <c r="I134" s="49"/>
      <c r="J134" s="72">
        <v>43657</v>
      </c>
      <c r="K134" s="33" t="s">
        <v>915</v>
      </c>
      <c r="L134" s="4" t="s">
        <v>1553</v>
      </c>
      <c r="M134" s="51"/>
      <c r="N134" s="3"/>
    </row>
    <row r="135" spans="1:14" ht="28.5" customHeight="1" x14ac:dyDescent="0.3">
      <c r="A135" s="81" t="s">
        <v>153</v>
      </c>
      <c r="B135" s="49"/>
      <c r="C135" s="69" t="s">
        <v>867</v>
      </c>
      <c r="D135" s="69" t="s">
        <v>868</v>
      </c>
      <c r="E135" s="69" t="s">
        <v>1554</v>
      </c>
      <c r="F135" s="69" t="s">
        <v>1533</v>
      </c>
      <c r="G135" s="69" t="s">
        <v>1556</v>
      </c>
      <c r="H135" s="50">
        <v>865</v>
      </c>
      <c r="I135" s="49"/>
      <c r="J135" s="72">
        <v>43658</v>
      </c>
      <c r="K135" s="33" t="s">
        <v>915</v>
      </c>
      <c r="L135" s="157" t="s">
        <v>1610</v>
      </c>
      <c r="M135" s="51"/>
      <c r="N135" s="3" t="s">
        <v>1555</v>
      </c>
    </row>
    <row r="136" spans="1:14" ht="28.5" customHeight="1" x14ac:dyDescent="0.3">
      <c r="A136" s="81" t="s">
        <v>154</v>
      </c>
      <c r="B136" s="49"/>
      <c r="C136" s="4" t="s">
        <v>1563</v>
      </c>
      <c r="D136" s="4" t="s">
        <v>1558</v>
      </c>
      <c r="E136" s="4" t="s">
        <v>1559</v>
      </c>
      <c r="F136" s="157" t="s">
        <v>1560</v>
      </c>
      <c r="G136" s="4" t="s">
        <v>1561</v>
      </c>
      <c r="H136" s="50">
        <v>3670</v>
      </c>
      <c r="I136" s="49"/>
      <c r="J136" s="72">
        <v>43662</v>
      </c>
      <c r="K136" s="33" t="s">
        <v>915</v>
      </c>
      <c r="L136" s="4" t="s">
        <v>1562</v>
      </c>
      <c r="M136" s="92"/>
      <c r="N136" s="52"/>
    </row>
    <row r="137" spans="1:14" ht="28.5" customHeight="1" x14ac:dyDescent="0.3">
      <c r="A137" s="81" t="s">
        <v>155</v>
      </c>
      <c r="B137" s="49">
        <v>1</v>
      </c>
      <c r="C137" s="69" t="s">
        <v>937</v>
      </c>
      <c r="D137" s="69" t="s">
        <v>1419</v>
      </c>
      <c r="E137" s="69" t="s">
        <v>1566</v>
      </c>
      <c r="F137" s="69" t="s">
        <v>1019</v>
      </c>
      <c r="G137" s="69" t="s">
        <v>1145</v>
      </c>
      <c r="H137" s="39">
        <v>2590</v>
      </c>
      <c r="I137" s="49"/>
      <c r="J137" s="72">
        <v>43675</v>
      </c>
      <c r="K137" s="33" t="s">
        <v>915</v>
      </c>
      <c r="L137" s="157" t="s">
        <v>1564</v>
      </c>
      <c r="M137" s="51"/>
      <c r="N137" s="156"/>
    </row>
    <row r="138" spans="1:14" ht="28.5" customHeight="1" x14ac:dyDescent="0.3">
      <c r="A138" s="81" t="s">
        <v>156</v>
      </c>
      <c r="B138" s="49"/>
      <c r="C138" s="4" t="s">
        <v>884</v>
      </c>
      <c r="D138" s="4" t="s">
        <v>1565</v>
      </c>
      <c r="E138" s="4" t="s">
        <v>886</v>
      </c>
      <c r="F138" s="157" t="s">
        <v>887</v>
      </c>
      <c r="G138" s="4" t="s">
        <v>1174</v>
      </c>
      <c r="H138" s="50">
        <v>1500</v>
      </c>
      <c r="I138" s="49"/>
      <c r="J138" s="72">
        <v>43664</v>
      </c>
      <c r="K138" s="33" t="s">
        <v>915</v>
      </c>
      <c r="L138" s="162" t="s">
        <v>1568</v>
      </c>
      <c r="M138" s="51"/>
      <c r="N138" s="3" t="s">
        <v>1567</v>
      </c>
    </row>
    <row r="139" spans="1:14" ht="28.5" customHeight="1" x14ac:dyDescent="0.3">
      <c r="A139" s="81" t="s">
        <v>157</v>
      </c>
      <c r="B139" s="49"/>
      <c r="C139" s="4" t="s">
        <v>1572</v>
      </c>
      <c r="D139" s="4" t="s">
        <v>1570</v>
      </c>
      <c r="E139" s="4" t="s">
        <v>903</v>
      </c>
      <c r="F139" s="4" t="s">
        <v>866</v>
      </c>
      <c r="G139" s="4" t="s">
        <v>1571</v>
      </c>
      <c r="H139" s="50">
        <v>1415</v>
      </c>
      <c r="I139" s="49"/>
      <c r="J139" s="72">
        <v>43671</v>
      </c>
      <c r="K139" s="69" t="s">
        <v>915</v>
      </c>
      <c r="L139" s="4"/>
      <c r="M139" s="3"/>
      <c r="N139" s="3"/>
    </row>
    <row r="140" spans="1:14" ht="28.5" customHeight="1" x14ac:dyDescent="0.3">
      <c r="A140" s="81" t="s">
        <v>158</v>
      </c>
      <c r="B140" s="49"/>
      <c r="C140" s="4" t="s">
        <v>1282</v>
      </c>
      <c r="D140" s="4" t="s">
        <v>1573</v>
      </c>
      <c r="E140" s="4" t="s">
        <v>933</v>
      </c>
      <c r="F140" s="4" t="s">
        <v>866</v>
      </c>
      <c r="G140" s="4" t="s">
        <v>1574</v>
      </c>
      <c r="H140" s="50">
        <v>1080</v>
      </c>
      <c r="I140" s="49"/>
      <c r="J140" s="72">
        <v>43675</v>
      </c>
      <c r="K140" s="123" t="s">
        <v>915</v>
      </c>
      <c r="L140" s="91"/>
      <c r="M140" s="51"/>
      <c r="N140" s="52"/>
    </row>
    <row r="141" spans="1:14" ht="28.5" customHeight="1" x14ac:dyDescent="0.3">
      <c r="A141" s="81" t="s">
        <v>159</v>
      </c>
      <c r="B141" s="49"/>
      <c r="C141" s="4" t="s">
        <v>1572</v>
      </c>
      <c r="D141" s="4" t="s">
        <v>1575</v>
      </c>
      <c r="E141" s="4" t="s">
        <v>903</v>
      </c>
      <c r="F141" s="4" t="s">
        <v>866</v>
      </c>
      <c r="G141" s="4" t="s">
        <v>1571</v>
      </c>
      <c r="H141" s="50">
        <v>600</v>
      </c>
      <c r="I141" s="49"/>
      <c r="J141" s="72">
        <v>43677</v>
      </c>
      <c r="K141" s="69" t="s">
        <v>915</v>
      </c>
      <c r="L141" s="4"/>
      <c r="M141" s="51"/>
      <c r="N141" s="3"/>
    </row>
    <row r="142" spans="1:14" ht="28.5" customHeight="1" x14ac:dyDescent="0.3">
      <c r="A142" s="81" t="s">
        <v>160</v>
      </c>
      <c r="B142" s="49"/>
      <c r="C142" s="4" t="s">
        <v>1471</v>
      </c>
      <c r="D142" s="4" t="s">
        <v>1576</v>
      </c>
      <c r="E142" s="4" t="s">
        <v>933</v>
      </c>
      <c r="F142" s="4" t="s">
        <v>1467</v>
      </c>
      <c r="G142" s="4" t="s">
        <v>1468</v>
      </c>
      <c r="H142" s="50">
        <v>1845</v>
      </c>
      <c r="I142" s="49"/>
      <c r="J142" s="72">
        <v>43678</v>
      </c>
      <c r="K142" s="123" t="s">
        <v>915</v>
      </c>
      <c r="L142" s="4"/>
      <c r="M142" s="51"/>
      <c r="N142" s="52"/>
    </row>
    <row r="143" spans="1:14" ht="28.5" customHeight="1" x14ac:dyDescent="0.3">
      <c r="A143" s="81" t="s">
        <v>161</v>
      </c>
      <c r="B143" s="49"/>
      <c r="C143" s="4" t="s">
        <v>884</v>
      </c>
      <c r="D143" s="4" t="s">
        <v>1577</v>
      </c>
      <c r="E143" s="4" t="s">
        <v>1305</v>
      </c>
      <c r="F143" s="4" t="s">
        <v>887</v>
      </c>
      <c r="G143" s="4" t="s">
        <v>1578</v>
      </c>
      <c r="H143" s="50">
        <v>691</v>
      </c>
      <c r="I143" s="49"/>
      <c r="J143" s="72">
        <v>43679</v>
      </c>
      <c r="K143" s="33" t="s">
        <v>915</v>
      </c>
      <c r="L143" s="79"/>
      <c r="M143" s="51"/>
      <c r="N143" s="3"/>
    </row>
    <row r="144" spans="1:14" ht="28.5" customHeight="1" x14ac:dyDescent="0.3">
      <c r="A144" s="81" t="s">
        <v>162</v>
      </c>
      <c r="B144" s="49"/>
      <c r="C144" s="157" t="s">
        <v>926</v>
      </c>
      <c r="D144" s="157" t="s">
        <v>1579</v>
      </c>
      <c r="E144" s="157" t="s">
        <v>903</v>
      </c>
      <c r="F144" s="157" t="s">
        <v>928</v>
      </c>
      <c r="G144" s="157" t="s">
        <v>929</v>
      </c>
      <c r="H144" s="50">
        <v>1095</v>
      </c>
      <c r="I144" s="49"/>
      <c r="J144" s="72">
        <v>43679</v>
      </c>
      <c r="K144" s="123" t="s">
        <v>915</v>
      </c>
      <c r="L144" s="49"/>
      <c r="M144" s="3"/>
      <c r="N144" s="3"/>
    </row>
    <row r="145" spans="1:14" ht="28.5" customHeight="1" x14ac:dyDescent="0.3">
      <c r="A145" s="81" t="s">
        <v>163</v>
      </c>
      <c r="B145" s="49"/>
      <c r="C145" s="4" t="s">
        <v>1463</v>
      </c>
      <c r="D145" s="4" t="s">
        <v>1597</v>
      </c>
      <c r="E145" s="157" t="s">
        <v>903</v>
      </c>
      <c r="F145" s="157" t="s">
        <v>1598</v>
      </c>
      <c r="G145" s="4" t="s">
        <v>1599</v>
      </c>
      <c r="H145" s="50">
        <v>351</v>
      </c>
      <c r="I145" s="49"/>
      <c r="J145" s="72">
        <v>43683</v>
      </c>
      <c r="K145" s="123" t="s">
        <v>915</v>
      </c>
      <c r="L145" s="4"/>
      <c r="M145" s="51"/>
      <c r="N145" s="52"/>
    </row>
    <row r="146" spans="1:14" ht="28.5" customHeight="1" x14ac:dyDescent="0.3">
      <c r="A146" s="81" t="s">
        <v>164</v>
      </c>
      <c r="B146" s="49"/>
      <c r="C146" s="4" t="s">
        <v>1549</v>
      </c>
      <c r="D146" s="4" t="s">
        <v>1550</v>
      </c>
      <c r="E146" s="69" t="s">
        <v>1537</v>
      </c>
      <c r="F146" s="4" t="s">
        <v>1551</v>
      </c>
      <c r="G146" s="4" t="s">
        <v>1552</v>
      </c>
      <c r="H146" s="50">
        <v>1755</v>
      </c>
      <c r="I146" s="49"/>
      <c r="J146" s="72">
        <v>43684</v>
      </c>
      <c r="K146" s="33" t="s">
        <v>1079</v>
      </c>
      <c r="L146" s="49"/>
      <c r="M146" s="51"/>
      <c r="N146" s="52"/>
    </row>
    <row r="147" spans="1:14" ht="28.5" customHeight="1" x14ac:dyDescent="0.3">
      <c r="A147" s="81" t="s">
        <v>165</v>
      </c>
      <c r="B147" s="49"/>
      <c r="C147" s="4" t="s">
        <v>867</v>
      </c>
      <c r="D147" s="4" t="s">
        <v>868</v>
      </c>
      <c r="E147" s="4" t="s">
        <v>865</v>
      </c>
      <c r="F147" s="4" t="s">
        <v>866</v>
      </c>
      <c r="G147" s="4" t="s">
        <v>951</v>
      </c>
      <c r="H147" s="50">
        <v>2395</v>
      </c>
      <c r="I147" s="49"/>
      <c r="J147" s="72">
        <v>43685</v>
      </c>
      <c r="K147" s="123" t="s">
        <v>915</v>
      </c>
      <c r="L147" s="4"/>
      <c r="M147" s="51"/>
      <c r="N147" s="52"/>
    </row>
    <row r="148" spans="1:14" ht="28.5" customHeight="1" x14ac:dyDescent="0.3">
      <c r="A148" s="81" t="s">
        <v>166</v>
      </c>
      <c r="B148" s="49"/>
      <c r="C148" s="4" t="s">
        <v>867</v>
      </c>
      <c r="D148" s="4" t="s">
        <v>868</v>
      </c>
      <c r="E148" s="4" t="s">
        <v>1605</v>
      </c>
      <c r="F148" s="4" t="s">
        <v>866</v>
      </c>
      <c r="G148" s="4" t="s">
        <v>951</v>
      </c>
      <c r="H148" s="50">
        <v>1295</v>
      </c>
      <c r="I148" s="49"/>
      <c r="J148" s="72">
        <v>43685</v>
      </c>
      <c r="K148" s="123" t="s">
        <v>915</v>
      </c>
      <c r="L148" s="49"/>
      <c r="M148" s="51"/>
      <c r="N148" s="52"/>
    </row>
    <row r="149" spans="1:14" ht="28.5" customHeight="1" x14ac:dyDescent="0.3">
      <c r="A149" s="81" t="s">
        <v>167</v>
      </c>
      <c r="B149" s="49"/>
      <c r="C149" s="4" t="s">
        <v>1611</v>
      </c>
      <c r="D149" s="4" t="s">
        <v>1612</v>
      </c>
      <c r="E149" s="69" t="s">
        <v>1537</v>
      </c>
      <c r="F149" s="4" t="s">
        <v>1613</v>
      </c>
      <c r="G149" s="4" t="s">
        <v>1614</v>
      </c>
      <c r="H149" s="93">
        <v>400</v>
      </c>
      <c r="I149" s="94"/>
      <c r="J149" s="95">
        <v>43696</v>
      </c>
      <c r="K149" s="69" t="s">
        <v>915</v>
      </c>
      <c r="L149" s="49"/>
      <c r="M149" s="3"/>
      <c r="N149" s="3"/>
    </row>
    <row r="150" spans="1:14" ht="28.5" customHeight="1" x14ac:dyDescent="0.3">
      <c r="A150" s="81" t="s">
        <v>168</v>
      </c>
      <c r="B150" s="49"/>
      <c r="C150" s="4" t="s">
        <v>1638</v>
      </c>
      <c r="D150" s="4" t="s">
        <v>1071</v>
      </c>
      <c r="E150" s="4" t="s">
        <v>886</v>
      </c>
      <c r="F150" s="4" t="s">
        <v>1087</v>
      </c>
      <c r="G150" s="4" t="s">
        <v>1072</v>
      </c>
      <c r="H150" s="93">
        <v>9925</v>
      </c>
      <c r="I150" s="94"/>
      <c r="J150" s="95">
        <v>43707</v>
      </c>
      <c r="K150" s="69" t="s">
        <v>915</v>
      </c>
      <c r="L150" s="49"/>
      <c r="M150" s="3"/>
      <c r="N150" s="3"/>
    </row>
    <row r="151" spans="1:14" ht="28.5" customHeight="1" x14ac:dyDescent="0.3">
      <c r="A151" s="81" t="s">
        <v>169</v>
      </c>
      <c r="B151" s="49"/>
      <c r="C151" s="4" t="s">
        <v>1639</v>
      </c>
      <c r="D151" s="4" t="s">
        <v>1640</v>
      </c>
      <c r="E151" s="4" t="s">
        <v>893</v>
      </c>
      <c r="F151" s="4" t="s">
        <v>1641</v>
      </c>
      <c r="G151" s="4" t="s">
        <v>1753</v>
      </c>
      <c r="H151" s="50">
        <v>1810</v>
      </c>
      <c r="I151" s="49"/>
      <c r="J151" s="72">
        <v>43707</v>
      </c>
      <c r="K151" s="33" t="s">
        <v>1079</v>
      </c>
      <c r="L151" s="157" t="s">
        <v>1644</v>
      </c>
      <c r="M151" s="3"/>
      <c r="N151" s="3" t="s">
        <v>1645</v>
      </c>
    </row>
    <row r="152" spans="1:14" ht="28.5" customHeight="1" x14ac:dyDescent="0.3">
      <c r="A152" s="81" t="s">
        <v>170</v>
      </c>
      <c r="B152" s="49"/>
      <c r="C152" s="4" t="s">
        <v>867</v>
      </c>
      <c r="D152" s="4" t="s">
        <v>868</v>
      </c>
      <c r="E152" s="4" t="s">
        <v>1605</v>
      </c>
      <c r="F152" s="4" t="s">
        <v>866</v>
      </c>
      <c r="G152" s="4" t="s">
        <v>951</v>
      </c>
      <c r="H152" s="50">
        <v>1295</v>
      </c>
      <c r="I152" s="49"/>
      <c r="J152" s="72">
        <v>43714</v>
      </c>
      <c r="K152" s="123" t="s">
        <v>915</v>
      </c>
      <c r="L152" s="4"/>
      <c r="M152" s="51"/>
      <c r="N152" s="3"/>
    </row>
    <row r="153" spans="1:14" ht="28.5" customHeight="1" x14ac:dyDescent="0.3">
      <c r="A153" s="81" t="s">
        <v>171</v>
      </c>
      <c r="B153" s="49"/>
      <c r="C153" s="4" t="s">
        <v>956</v>
      </c>
      <c r="D153" s="4" t="s">
        <v>1506</v>
      </c>
      <c r="E153" s="4" t="s">
        <v>903</v>
      </c>
      <c r="F153" s="157" t="s">
        <v>866</v>
      </c>
      <c r="G153" s="4" t="s">
        <v>959</v>
      </c>
      <c r="H153" s="50">
        <v>659</v>
      </c>
      <c r="I153" s="49"/>
      <c r="J153" s="72">
        <v>43718</v>
      </c>
      <c r="K153" s="123" t="s">
        <v>915</v>
      </c>
      <c r="L153" s="79" t="s">
        <v>1775</v>
      </c>
      <c r="M153" s="51"/>
      <c r="N153" s="3"/>
    </row>
    <row r="154" spans="1:14" ht="28.5" customHeight="1" x14ac:dyDescent="0.3">
      <c r="A154" s="81" t="s">
        <v>172</v>
      </c>
      <c r="B154" s="49"/>
      <c r="C154" s="4" t="s">
        <v>1028</v>
      </c>
      <c r="D154" s="4" t="s">
        <v>1657</v>
      </c>
      <c r="E154" s="4" t="s">
        <v>1030</v>
      </c>
      <c r="F154" s="4" t="s">
        <v>1031</v>
      </c>
      <c r="G154" s="4" t="s">
        <v>1032</v>
      </c>
      <c r="H154" s="50">
        <v>3190</v>
      </c>
      <c r="I154" s="49"/>
      <c r="J154" s="72">
        <v>43718</v>
      </c>
      <c r="K154" s="69" t="s">
        <v>915</v>
      </c>
      <c r="L154" s="4"/>
      <c r="M154" s="51"/>
      <c r="N154" s="52"/>
    </row>
    <row r="155" spans="1:14" ht="28.5" customHeight="1" x14ac:dyDescent="0.3">
      <c r="A155" s="81" t="s">
        <v>173</v>
      </c>
      <c r="B155" s="49"/>
      <c r="C155" s="4" t="s">
        <v>956</v>
      </c>
      <c r="D155" s="4" t="s">
        <v>1659</v>
      </c>
      <c r="E155" s="4" t="s">
        <v>1658</v>
      </c>
      <c r="F155" s="157" t="s">
        <v>866</v>
      </c>
      <c r="G155" s="4" t="s">
        <v>959</v>
      </c>
      <c r="H155" s="50">
        <v>75</v>
      </c>
      <c r="I155" s="49"/>
      <c r="J155" s="72">
        <v>43718</v>
      </c>
      <c r="K155" s="123" t="s">
        <v>915</v>
      </c>
      <c r="L155" s="4"/>
      <c r="M155" s="51"/>
      <c r="N155" s="53"/>
    </row>
    <row r="156" spans="1:14" ht="28.5" customHeight="1" x14ac:dyDescent="0.3">
      <c r="A156" s="81" t="s">
        <v>174</v>
      </c>
      <c r="B156" s="49"/>
      <c r="C156" s="4" t="s">
        <v>884</v>
      </c>
      <c r="D156" s="4" t="s">
        <v>1662</v>
      </c>
      <c r="E156" s="4" t="s">
        <v>1663</v>
      </c>
      <c r="F156" s="4" t="s">
        <v>866</v>
      </c>
      <c r="G156" s="4" t="s">
        <v>1664</v>
      </c>
      <c r="H156" s="50">
        <v>5595</v>
      </c>
      <c r="I156" s="49"/>
      <c r="J156" s="72">
        <v>43725</v>
      </c>
      <c r="K156" s="69" t="s">
        <v>915</v>
      </c>
      <c r="L156" s="4"/>
      <c r="M156" s="51"/>
      <c r="N156" s="53"/>
    </row>
    <row r="157" spans="1:14" ht="28.5" customHeight="1" x14ac:dyDescent="0.3">
      <c r="A157" s="81" t="s">
        <v>175</v>
      </c>
      <c r="B157" s="49"/>
      <c r="C157" s="69" t="s">
        <v>1666</v>
      </c>
      <c r="D157" s="4" t="s">
        <v>1665</v>
      </c>
      <c r="E157" s="4" t="s">
        <v>1389</v>
      </c>
      <c r="F157" s="4" t="s">
        <v>866</v>
      </c>
      <c r="G157" s="4" t="s">
        <v>1331</v>
      </c>
      <c r="H157" s="50">
        <v>935</v>
      </c>
      <c r="I157" s="49"/>
      <c r="J157" s="72">
        <v>43725</v>
      </c>
      <c r="K157" s="69" t="s">
        <v>915</v>
      </c>
      <c r="L157" s="4" t="s">
        <v>1667</v>
      </c>
      <c r="M157" s="51"/>
      <c r="N157" s="52">
        <v>65</v>
      </c>
    </row>
    <row r="158" spans="1:14" ht="28.5" customHeight="1" x14ac:dyDescent="0.3">
      <c r="A158" s="81" t="s">
        <v>176</v>
      </c>
      <c r="B158" s="49"/>
      <c r="C158" s="4" t="s">
        <v>937</v>
      </c>
      <c r="D158" s="4" t="s">
        <v>1142</v>
      </c>
      <c r="E158" s="4" t="s">
        <v>1143</v>
      </c>
      <c r="F158" s="4" t="s">
        <v>923</v>
      </c>
      <c r="G158" s="4" t="s">
        <v>1020</v>
      </c>
      <c r="H158" s="50">
        <v>1058</v>
      </c>
      <c r="I158" s="49"/>
      <c r="J158" s="72">
        <v>43725</v>
      </c>
      <c r="K158" s="69" t="s">
        <v>915</v>
      </c>
      <c r="L158" s="4" t="s">
        <v>1669</v>
      </c>
      <c r="M158" s="51"/>
      <c r="N158" s="156" t="s">
        <v>1668</v>
      </c>
    </row>
    <row r="159" spans="1:14" ht="28.5" customHeight="1" x14ac:dyDescent="0.3">
      <c r="A159" s="81" t="s">
        <v>177</v>
      </c>
      <c r="B159" s="49"/>
      <c r="C159" s="69" t="s">
        <v>1085</v>
      </c>
      <c r="D159" s="69" t="s">
        <v>1071</v>
      </c>
      <c r="E159" s="69" t="s">
        <v>1143</v>
      </c>
      <c r="F159" s="69" t="s">
        <v>866</v>
      </c>
      <c r="G159" s="69" t="s">
        <v>1670</v>
      </c>
      <c r="H159" s="39">
        <v>1400</v>
      </c>
      <c r="I159" s="49"/>
      <c r="J159" s="72">
        <v>43726</v>
      </c>
      <c r="K159" s="69" t="s">
        <v>915</v>
      </c>
      <c r="L159" s="4"/>
      <c r="M159" s="51"/>
      <c r="N159" s="156" t="s">
        <v>1555</v>
      </c>
    </row>
    <row r="160" spans="1:14" ht="21.75" customHeight="1" x14ac:dyDescent="0.3">
      <c r="A160" s="81" t="s">
        <v>178</v>
      </c>
      <c r="B160" s="49"/>
      <c r="C160" s="4" t="s">
        <v>956</v>
      </c>
      <c r="D160" s="4" t="s">
        <v>1671</v>
      </c>
      <c r="E160" s="4" t="s">
        <v>933</v>
      </c>
      <c r="F160" s="4" t="s">
        <v>866</v>
      </c>
      <c r="G160" s="4" t="s">
        <v>1011</v>
      </c>
      <c r="H160" s="50">
        <v>450</v>
      </c>
      <c r="I160" s="49"/>
      <c r="J160" s="72">
        <v>43726</v>
      </c>
      <c r="K160" s="33" t="s">
        <v>915</v>
      </c>
      <c r="L160" s="49"/>
      <c r="M160" s="51"/>
      <c r="N160" s="53"/>
    </row>
    <row r="161" spans="1:14" ht="21.75" customHeight="1" x14ac:dyDescent="0.3">
      <c r="A161" s="81" t="s">
        <v>179</v>
      </c>
      <c r="B161" s="49"/>
      <c r="C161" s="69" t="s">
        <v>867</v>
      </c>
      <c r="D161" s="69" t="s">
        <v>868</v>
      </c>
      <c r="E161" s="69" t="s">
        <v>865</v>
      </c>
      <c r="F161" s="69" t="s">
        <v>866</v>
      </c>
      <c r="G161" s="69" t="s">
        <v>951</v>
      </c>
      <c r="H161" s="39">
        <v>32340</v>
      </c>
      <c r="I161" s="49"/>
      <c r="J161" s="72">
        <v>43662</v>
      </c>
      <c r="K161" s="69" t="s">
        <v>915</v>
      </c>
      <c r="L161" s="157" t="s">
        <v>1557</v>
      </c>
      <c r="M161" s="51"/>
      <c r="N161" s="98"/>
    </row>
    <row r="162" spans="1:14" ht="21.75" customHeight="1" x14ac:dyDescent="0.3">
      <c r="A162" s="81" t="s">
        <v>180</v>
      </c>
      <c r="B162" s="49"/>
      <c r="C162" s="4" t="s">
        <v>1672</v>
      </c>
      <c r="D162" s="4" t="s">
        <v>1673</v>
      </c>
      <c r="E162" s="4" t="s">
        <v>886</v>
      </c>
      <c r="F162" s="4" t="s">
        <v>1434</v>
      </c>
      <c r="G162" s="4" t="s">
        <v>1674</v>
      </c>
      <c r="H162" s="50">
        <v>665</v>
      </c>
      <c r="I162" s="49"/>
      <c r="J162" s="72">
        <v>43663</v>
      </c>
      <c r="K162" s="33" t="s">
        <v>915</v>
      </c>
      <c r="L162" s="4"/>
      <c r="M162" s="51"/>
      <c r="N162" s="3" t="s">
        <v>1675</v>
      </c>
    </row>
    <row r="163" spans="1:14" ht="21.75" customHeight="1" x14ac:dyDescent="0.3">
      <c r="A163" s="81" t="s">
        <v>181</v>
      </c>
      <c r="B163" s="49">
        <v>1</v>
      </c>
      <c r="C163" s="4" t="s">
        <v>1028</v>
      </c>
      <c r="D163" s="4" t="s">
        <v>1677</v>
      </c>
      <c r="E163" s="4" t="s">
        <v>1156</v>
      </c>
      <c r="F163" s="4" t="s">
        <v>1031</v>
      </c>
      <c r="G163" s="4" t="s">
        <v>1032</v>
      </c>
      <c r="H163" s="50">
        <v>5020</v>
      </c>
      <c r="I163" s="49"/>
      <c r="J163" s="72">
        <v>43731</v>
      </c>
      <c r="K163" s="33" t="s">
        <v>915</v>
      </c>
      <c r="L163" s="4"/>
      <c r="M163" s="51"/>
      <c r="N163" s="98" t="s">
        <v>1765</v>
      </c>
    </row>
    <row r="164" spans="1:14" ht="21.75" customHeight="1" x14ac:dyDescent="0.3">
      <c r="A164" s="81" t="s">
        <v>182</v>
      </c>
      <c r="B164" s="49">
        <v>1</v>
      </c>
      <c r="C164" s="4" t="s">
        <v>1028</v>
      </c>
      <c r="D164" s="4" t="s">
        <v>1678</v>
      </c>
      <c r="E164" s="4" t="s">
        <v>1156</v>
      </c>
      <c r="F164" s="4" t="s">
        <v>1031</v>
      </c>
      <c r="G164" s="4" t="s">
        <v>1032</v>
      </c>
      <c r="H164" s="50">
        <v>4100</v>
      </c>
      <c r="I164" s="157" t="s">
        <v>1914</v>
      </c>
      <c r="J164" s="72">
        <v>43731</v>
      </c>
      <c r="K164" s="33" t="s">
        <v>915</v>
      </c>
      <c r="L164" s="4"/>
      <c r="M164" s="51"/>
      <c r="N164" s="98"/>
    </row>
    <row r="165" spans="1:14" ht="21.75" customHeight="1" x14ac:dyDescent="0.3">
      <c r="A165" s="81" t="s">
        <v>183</v>
      </c>
      <c r="B165" s="49"/>
      <c r="C165" s="4" t="s">
        <v>1679</v>
      </c>
      <c r="D165" s="4" t="s">
        <v>1680</v>
      </c>
      <c r="E165" s="4" t="s">
        <v>1156</v>
      </c>
      <c r="F165" s="4">
        <v>75002</v>
      </c>
      <c r="G165" s="4" t="s">
        <v>1681</v>
      </c>
      <c r="H165" s="50">
        <v>985</v>
      </c>
      <c r="I165" s="49"/>
      <c r="J165" s="72">
        <v>43732</v>
      </c>
      <c r="K165" s="33" t="s">
        <v>953</v>
      </c>
      <c r="L165" s="4"/>
      <c r="M165" s="51"/>
      <c r="N165" s="98"/>
    </row>
    <row r="166" spans="1:14" ht="21.75" customHeight="1" x14ac:dyDescent="0.3">
      <c r="A166" s="81" t="s">
        <v>184</v>
      </c>
      <c r="B166" s="49"/>
      <c r="C166" s="4" t="s">
        <v>1688</v>
      </c>
      <c r="D166" s="4" t="s">
        <v>1686</v>
      </c>
      <c r="E166" s="4" t="s">
        <v>1687</v>
      </c>
      <c r="F166" s="4">
        <v>95240</v>
      </c>
      <c r="G166" s="4" t="s">
        <v>1689</v>
      </c>
      <c r="H166" s="50">
        <v>550</v>
      </c>
      <c r="I166" s="49"/>
      <c r="J166" s="72">
        <v>43733</v>
      </c>
      <c r="K166" s="33" t="s">
        <v>915</v>
      </c>
      <c r="L166" s="4"/>
      <c r="M166" s="51"/>
      <c r="N166" s="98"/>
    </row>
    <row r="167" spans="1:14" ht="21.75" customHeight="1" x14ac:dyDescent="0.3">
      <c r="A167" s="81" t="s">
        <v>185</v>
      </c>
      <c r="B167" s="49"/>
      <c r="C167" s="4" t="s">
        <v>1694</v>
      </c>
      <c r="D167" s="4" t="s">
        <v>1695</v>
      </c>
      <c r="E167" s="4" t="s">
        <v>893</v>
      </c>
      <c r="F167" s="4">
        <v>75001</v>
      </c>
      <c r="G167" s="4" t="s">
        <v>1696</v>
      </c>
      <c r="H167" s="50">
        <v>855</v>
      </c>
      <c r="I167" s="49"/>
      <c r="J167" s="72">
        <v>43738</v>
      </c>
      <c r="K167" s="33" t="s">
        <v>953</v>
      </c>
      <c r="L167" s="4"/>
      <c r="M167" s="51"/>
      <c r="N167" s="168">
        <v>65</v>
      </c>
    </row>
    <row r="168" spans="1:14" ht="21.75" customHeight="1" x14ac:dyDescent="0.3">
      <c r="A168" s="81" t="s">
        <v>186</v>
      </c>
      <c r="B168" s="49"/>
      <c r="C168" s="4" t="s">
        <v>867</v>
      </c>
      <c r="D168" s="4" t="s">
        <v>868</v>
      </c>
      <c r="E168" s="4" t="s">
        <v>865</v>
      </c>
      <c r="F168" s="4" t="s">
        <v>866</v>
      </c>
      <c r="G168" s="69" t="s">
        <v>951</v>
      </c>
      <c r="H168" s="50">
        <v>3490</v>
      </c>
      <c r="I168" s="49"/>
      <c r="J168" s="72">
        <v>43738</v>
      </c>
      <c r="K168" s="123" t="s">
        <v>915</v>
      </c>
      <c r="L168" s="49"/>
      <c r="M168" s="51"/>
      <c r="N168" s="53"/>
    </row>
    <row r="169" spans="1:14" ht="21.75" customHeight="1" x14ac:dyDescent="0.3">
      <c r="A169" s="81" t="s">
        <v>187</v>
      </c>
      <c r="B169" s="49"/>
      <c r="C169" s="69" t="s">
        <v>867</v>
      </c>
      <c r="D169" s="69" t="s">
        <v>868</v>
      </c>
      <c r="E169" s="69" t="s">
        <v>865</v>
      </c>
      <c r="F169" s="69" t="s">
        <v>866</v>
      </c>
      <c r="G169" s="69" t="s">
        <v>951</v>
      </c>
      <c r="H169" s="39">
        <v>34860</v>
      </c>
      <c r="I169" s="49"/>
      <c r="J169" s="72">
        <v>43739</v>
      </c>
      <c r="K169" s="123" t="s">
        <v>915</v>
      </c>
      <c r="L169" s="49"/>
      <c r="M169" s="161" t="s">
        <v>1768</v>
      </c>
      <c r="N169" s="53"/>
    </row>
    <row r="170" spans="1:14" ht="21.75" customHeight="1" x14ac:dyDescent="0.3">
      <c r="A170" s="81" t="s">
        <v>188</v>
      </c>
      <c r="B170" s="49"/>
      <c r="C170" s="4" t="s">
        <v>937</v>
      </c>
      <c r="D170" s="4" t="s">
        <v>1142</v>
      </c>
      <c r="E170" s="4" t="s">
        <v>1143</v>
      </c>
      <c r="F170" s="4" t="s">
        <v>923</v>
      </c>
      <c r="G170" s="4" t="s">
        <v>1020</v>
      </c>
      <c r="H170" s="50">
        <v>485</v>
      </c>
      <c r="I170" s="49"/>
      <c r="J170" s="72">
        <v>43739</v>
      </c>
      <c r="K170" s="33" t="s">
        <v>915</v>
      </c>
      <c r="L170" s="4"/>
      <c r="M170" s="51"/>
      <c r="N170" s="98"/>
    </row>
    <row r="171" spans="1:14" ht="21.75" customHeight="1" x14ac:dyDescent="0.3">
      <c r="A171" s="81" t="s">
        <v>189</v>
      </c>
      <c r="B171" s="49"/>
      <c r="C171" s="4" t="s">
        <v>956</v>
      </c>
      <c r="D171" s="4" t="s">
        <v>1506</v>
      </c>
      <c r="E171" s="4" t="s">
        <v>903</v>
      </c>
      <c r="F171" s="157" t="s">
        <v>866</v>
      </c>
      <c r="G171" s="4" t="s">
        <v>1011</v>
      </c>
      <c r="H171" s="50">
        <v>714</v>
      </c>
      <c r="I171" s="49"/>
      <c r="J171" s="72">
        <v>43739</v>
      </c>
      <c r="K171" s="33" t="s">
        <v>915</v>
      </c>
      <c r="L171" s="162" t="s">
        <v>1776</v>
      </c>
      <c r="M171" s="51"/>
      <c r="N171" s="53"/>
    </row>
    <row r="172" spans="1:14" ht="21.75" customHeight="1" x14ac:dyDescent="0.3">
      <c r="A172" s="81" t="s">
        <v>1702</v>
      </c>
      <c r="B172" s="49"/>
      <c r="C172" s="4" t="s">
        <v>1471</v>
      </c>
      <c r="D172" s="4" t="s">
        <v>1703</v>
      </c>
      <c r="E172" s="4" t="s">
        <v>1156</v>
      </c>
      <c r="F172" s="157" t="s">
        <v>1637</v>
      </c>
      <c r="G172" s="4" t="s">
        <v>1704</v>
      </c>
      <c r="H172" s="50">
        <v>7160</v>
      </c>
      <c r="I172" s="49"/>
      <c r="J172" s="72">
        <v>44106</v>
      </c>
      <c r="K172" s="33" t="s">
        <v>1079</v>
      </c>
      <c r="L172" s="49"/>
      <c r="M172" s="51"/>
      <c r="N172" s="156" t="s">
        <v>1705</v>
      </c>
    </row>
    <row r="173" spans="1:14" ht="21.75" customHeight="1" x14ac:dyDescent="0.3">
      <c r="A173" s="81" t="s">
        <v>190</v>
      </c>
      <c r="B173" s="49"/>
      <c r="C173" s="4" t="s">
        <v>867</v>
      </c>
      <c r="D173" s="4" t="s">
        <v>1700</v>
      </c>
      <c r="E173" s="4" t="s">
        <v>933</v>
      </c>
      <c r="F173" s="4" t="s">
        <v>866</v>
      </c>
      <c r="G173" s="4" t="s">
        <v>1701</v>
      </c>
      <c r="H173" s="50">
        <v>3660</v>
      </c>
      <c r="I173" s="49"/>
      <c r="J173" s="72">
        <v>43739</v>
      </c>
      <c r="K173" s="33" t="s">
        <v>1079</v>
      </c>
      <c r="L173" s="4">
        <v>158</v>
      </c>
      <c r="M173" s="51"/>
      <c r="N173" s="52"/>
    </row>
    <row r="174" spans="1:14" ht="21.75" customHeight="1" x14ac:dyDescent="0.3">
      <c r="A174" s="81" t="s">
        <v>191</v>
      </c>
      <c r="B174" s="49"/>
      <c r="C174" s="4" t="s">
        <v>1706</v>
      </c>
      <c r="D174" s="4" t="s">
        <v>1707</v>
      </c>
      <c r="E174" s="4" t="s">
        <v>933</v>
      </c>
      <c r="F174" s="4" t="s">
        <v>1708</v>
      </c>
      <c r="G174" s="4" t="s">
        <v>1709</v>
      </c>
      <c r="H174" s="50">
        <v>1185</v>
      </c>
      <c r="I174" s="49"/>
      <c r="J174" s="72">
        <v>43745</v>
      </c>
      <c r="K174" s="33" t="s">
        <v>915</v>
      </c>
      <c r="L174" s="4"/>
      <c r="M174" s="51"/>
      <c r="N174" s="52"/>
    </row>
    <row r="175" spans="1:14" ht="21.75" customHeight="1" x14ac:dyDescent="0.3">
      <c r="A175" s="81" t="s">
        <v>192</v>
      </c>
      <c r="B175" s="49"/>
      <c r="C175" s="4" t="s">
        <v>1710</v>
      </c>
      <c r="D175" s="4" t="s">
        <v>1711</v>
      </c>
      <c r="E175" s="4" t="s">
        <v>1687</v>
      </c>
      <c r="F175" s="4" t="s">
        <v>866</v>
      </c>
      <c r="G175" s="4" t="s">
        <v>1712</v>
      </c>
      <c r="H175" s="50">
        <v>290</v>
      </c>
      <c r="I175" s="49"/>
      <c r="J175" s="72">
        <v>43745</v>
      </c>
      <c r="K175" s="123" t="s">
        <v>953</v>
      </c>
      <c r="L175" s="4"/>
      <c r="M175" s="51"/>
      <c r="N175" s="52"/>
    </row>
    <row r="176" spans="1:14" ht="21.75" customHeight="1" x14ac:dyDescent="0.3">
      <c r="A176" s="81" t="s">
        <v>193</v>
      </c>
      <c r="B176" s="49">
        <v>2</v>
      </c>
      <c r="C176" s="4" t="s">
        <v>867</v>
      </c>
      <c r="D176" s="4" t="s">
        <v>868</v>
      </c>
      <c r="E176" s="4" t="s">
        <v>865</v>
      </c>
      <c r="F176" s="4" t="s">
        <v>866</v>
      </c>
      <c r="G176" s="4" t="s">
        <v>1713</v>
      </c>
      <c r="H176" s="50">
        <v>4170</v>
      </c>
      <c r="I176" s="49"/>
      <c r="J176" s="72">
        <v>43746</v>
      </c>
      <c r="K176" s="123" t="s">
        <v>915</v>
      </c>
      <c r="L176" s="4" t="s">
        <v>1744</v>
      </c>
      <c r="M176" s="161" t="s">
        <v>1795</v>
      </c>
      <c r="N176" s="52"/>
    </row>
    <row r="177" spans="1:14" ht="21.75" customHeight="1" x14ac:dyDescent="0.3">
      <c r="A177" s="81" t="s">
        <v>194</v>
      </c>
      <c r="B177" s="49"/>
      <c r="C177" s="79" t="s">
        <v>1715</v>
      </c>
      <c r="D177" s="4" t="s">
        <v>1717</v>
      </c>
      <c r="E177" s="4" t="s">
        <v>933</v>
      </c>
      <c r="F177" s="4" t="s">
        <v>1716</v>
      </c>
      <c r="G177" s="4" t="s">
        <v>1714</v>
      </c>
      <c r="H177" s="50">
        <v>5710</v>
      </c>
      <c r="I177" s="49"/>
      <c r="J177" s="72">
        <v>43746</v>
      </c>
      <c r="K177" s="123" t="s">
        <v>915</v>
      </c>
      <c r="L177" s="91">
        <v>43585</v>
      </c>
      <c r="M177" s="51"/>
      <c r="N177" s="3" t="s">
        <v>1722</v>
      </c>
    </row>
    <row r="178" spans="1:14" ht="21.75" customHeight="1" x14ac:dyDescent="0.3">
      <c r="A178" s="81" t="s">
        <v>195</v>
      </c>
      <c r="B178" s="49"/>
      <c r="C178" s="4" t="s">
        <v>867</v>
      </c>
      <c r="D178" s="4" t="s">
        <v>868</v>
      </c>
      <c r="E178" s="4" t="s">
        <v>1718</v>
      </c>
      <c r="F178" s="4" t="s">
        <v>866</v>
      </c>
      <c r="G178" s="4" t="s">
        <v>1719</v>
      </c>
      <c r="H178" s="50">
        <v>940</v>
      </c>
      <c r="I178" s="49"/>
      <c r="J178" s="72">
        <v>43747</v>
      </c>
      <c r="K178" s="123" t="s">
        <v>915</v>
      </c>
      <c r="L178" s="4" t="s">
        <v>1743</v>
      </c>
      <c r="M178" s="51">
        <v>99040</v>
      </c>
      <c r="N178" s="52"/>
    </row>
    <row r="179" spans="1:14" ht="21.75" customHeight="1" x14ac:dyDescent="0.3">
      <c r="A179" s="81" t="s">
        <v>196</v>
      </c>
      <c r="B179" s="49"/>
      <c r="C179" s="4" t="s">
        <v>1723</v>
      </c>
      <c r="D179" s="4" t="s">
        <v>1724</v>
      </c>
      <c r="E179" s="4" t="s">
        <v>1725</v>
      </c>
      <c r="F179" s="4" t="s">
        <v>866</v>
      </c>
      <c r="G179" s="4" t="s">
        <v>1726</v>
      </c>
      <c r="H179" s="50">
        <v>1800</v>
      </c>
      <c r="I179" s="49"/>
      <c r="J179" s="72">
        <v>43748</v>
      </c>
      <c r="K179" s="69" t="s">
        <v>953</v>
      </c>
      <c r="L179" s="4"/>
      <c r="M179" s="51"/>
      <c r="N179" s="52"/>
    </row>
    <row r="180" spans="1:14" ht="21.75" customHeight="1" x14ac:dyDescent="0.3">
      <c r="A180" s="81" t="s">
        <v>197</v>
      </c>
      <c r="B180" s="49"/>
      <c r="C180" s="4" t="s">
        <v>1727</v>
      </c>
      <c r="D180" s="4" t="s">
        <v>1728</v>
      </c>
      <c r="E180" s="4" t="s">
        <v>903</v>
      </c>
      <c r="F180" s="4" t="s">
        <v>866</v>
      </c>
      <c r="G180" s="4" t="s">
        <v>1729</v>
      </c>
      <c r="H180" s="50">
        <v>449</v>
      </c>
      <c r="I180" s="49"/>
      <c r="J180" s="72">
        <v>43749</v>
      </c>
      <c r="K180" s="69" t="s">
        <v>915</v>
      </c>
      <c r="L180" s="4" t="s">
        <v>1746</v>
      </c>
      <c r="M180" s="51"/>
      <c r="N180" s="3"/>
    </row>
    <row r="181" spans="1:14" ht="21.75" customHeight="1" x14ac:dyDescent="0.3">
      <c r="A181" s="81" t="s">
        <v>198</v>
      </c>
      <c r="B181" s="49"/>
      <c r="C181" s="4" t="s">
        <v>867</v>
      </c>
      <c r="D181" s="4" t="s">
        <v>868</v>
      </c>
      <c r="E181" s="4" t="s">
        <v>865</v>
      </c>
      <c r="F181" s="4" t="s">
        <v>866</v>
      </c>
      <c r="G181" s="4" t="s">
        <v>1713</v>
      </c>
      <c r="H181" s="50">
        <v>925</v>
      </c>
      <c r="I181" s="49"/>
      <c r="J181" s="72">
        <v>43755</v>
      </c>
      <c r="K181" s="69" t="s">
        <v>915</v>
      </c>
      <c r="L181" s="4" t="s">
        <v>1742</v>
      </c>
      <c r="M181" s="51"/>
      <c r="N181" s="52"/>
    </row>
    <row r="182" spans="1:14" ht="21.75" customHeight="1" x14ac:dyDescent="0.3">
      <c r="A182" s="81" t="s">
        <v>199</v>
      </c>
      <c r="B182" s="49"/>
      <c r="C182" s="69" t="s">
        <v>867</v>
      </c>
      <c r="D182" s="69" t="s">
        <v>868</v>
      </c>
      <c r="E182" s="69" t="s">
        <v>865</v>
      </c>
      <c r="F182" s="69" t="s">
        <v>866</v>
      </c>
      <c r="G182" s="69" t="s">
        <v>951</v>
      </c>
      <c r="H182" s="50">
        <v>10040</v>
      </c>
      <c r="I182" s="49"/>
      <c r="J182" s="72">
        <v>43755</v>
      </c>
      <c r="K182" s="69" t="s">
        <v>915</v>
      </c>
      <c r="L182" s="4" t="s">
        <v>1745</v>
      </c>
      <c r="M182" s="51"/>
      <c r="N182" s="52"/>
    </row>
    <row r="183" spans="1:14" ht="29.25" customHeight="1" x14ac:dyDescent="0.3">
      <c r="A183" s="81" t="s">
        <v>200</v>
      </c>
      <c r="B183" s="49"/>
      <c r="C183" s="87" t="s">
        <v>1463</v>
      </c>
      <c r="D183" s="69" t="s">
        <v>1738</v>
      </c>
      <c r="E183" s="68" t="s">
        <v>965</v>
      </c>
      <c r="F183" s="68" t="s">
        <v>1739</v>
      </c>
      <c r="G183" s="69" t="s">
        <v>1740</v>
      </c>
      <c r="H183" s="63">
        <v>11904.97</v>
      </c>
      <c r="I183" s="63"/>
      <c r="J183" s="72">
        <v>43759</v>
      </c>
      <c r="K183" s="33" t="s">
        <v>883</v>
      </c>
      <c r="L183" s="4" t="s">
        <v>1741</v>
      </c>
      <c r="M183" s="51"/>
      <c r="N183" s="52"/>
    </row>
    <row r="184" spans="1:14" ht="32.25" customHeight="1" x14ac:dyDescent="0.3">
      <c r="A184" s="81" t="s">
        <v>201</v>
      </c>
      <c r="B184" s="49"/>
      <c r="C184" s="4" t="s">
        <v>867</v>
      </c>
      <c r="D184" s="4" t="s">
        <v>868</v>
      </c>
      <c r="E184" s="4" t="s">
        <v>865</v>
      </c>
      <c r="F184" s="4" t="s">
        <v>866</v>
      </c>
      <c r="G184" s="4" t="s">
        <v>1713</v>
      </c>
      <c r="H184" s="50">
        <v>925</v>
      </c>
      <c r="I184" s="49"/>
      <c r="J184" s="72">
        <v>43759</v>
      </c>
      <c r="K184" s="33" t="s">
        <v>915</v>
      </c>
      <c r="L184" s="157" t="s">
        <v>1751</v>
      </c>
      <c r="M184" s="161" t="s">
        <v>1846</v>
      </c>
      <c r="N184" s="3"/>
    </row>
    <row r="185" spans="1:14" ht="29.25" customHeight="1" x14ac:dyDescent="0.3">
      <c r="A185" s="81" t="s">
        <v>202</v>
      </c>
      <c r="B185" s="49"/>
      <c r="C185" s="4" t="s">
        <v>1496</v>
      </c>
      <c r="D185" s="4" t="s">
        <v>1497</v>
      </c>
      <c r="E185" s="4" t="s">
        <v>893</v>
      </c>
      <c r="F185" s="4" t="s">
        <v>866</v>
      </c>
      <c r="G185" s="4" t="s">
        <v>1754</v>
      </c>
      <c r="H185" s="50">
        <v>2465</v>
      </c>
      <c r="I185" s="49"/>
      <c r="J185" s="72">
        <v>43760</v>
      </c>
      <c r="K185" s="33" t="s">
        <v>953</v>
      </c>
      <c r="L185" s="157" t="s">
        <v>1756</v>
      </c>
      <c r="M185" s="51"/>
      <c r="N185" s="156" t="s">
        <v>1755</v>
      </c>
    </row>
    <row r="186" spans="1:14" ht="31.5" customHeight="1" x14ac:dyDescent="0.3">
      <c r="A186" s="81" t="s">
        <v>203</v>
      </c>
      <c r="B186" s="49"/>
      <c r="C186" s="4" t="s">
        <v>867</v>
      </c>
      <c r="D186" s="4" t="s">
        <v>1757</v>
      </c>
      <c r="E186" s="4" t="s">
        <v>893</v>
      </c>
      <c r="F186" s="4" t="s">
        <v>866</v>
      </c>
      <c r="G186" s="4" t="s">
        <v>1758</v>
      </c>
      <c r="H186" s="50">
        <v>1160</v>
      </c>
      <c r="I186" s="49"/>
      <c r="J186" s="72">
        <v>43760</v>
      </c>
      <c r="K186" s="33" t="s">
        <v>915</v>
      </c>
      <c r="L186" s="4" t="s">
        <v>1759</v>
      </c>
      <c r="M186" s="161">
        <v>99463</v>
      </c>
      <c r="N186" s="156" t="s">
        <v>1760</v>
      </c>
    </row>
    <row r="187" spans="1:14" ht="21.75" customHeight="1" x14ac:dyDescent="0.3">
      <c r="A187" s="81" t="s">
        <v>204</v>
      </c>
      <c r="B187" s="49"/>
      <c r="C187" s="157" t="s">
        <v>1463</v>
      </c>
      <c r="D187" s="157" t="s">
        <v>1761</v>
      </c>
      <c r="E187" s="157" t="s">
        <v>1718</v>
      </c>
      <c r="F187" s="157" t="s">
        <v>1367</v>
      </c>
      <c r="G187" s="157" t="s">
        <v>1762</v>
      </c>
      <c r="H187" s="50">
        <v>525</v>
      </c>
      <c r="I187" s="49"/>
      <c r="J187" s="72">
        <v>43761</v>
      </c>
      <c r="K187" s="33" t="s">
        <v>915</v>
      </c>
      <c r="L187" s="157" t="s">
        <v>1763</v>
      </c>
      <c r="M187" s="51"/>
      <c r="N187" s="53"/>
    </row>
    <row r="188" spans="1:14" ht="21.75" customHeight="1" x14ac:dyDescent="0.3">
      <c r="A188" s="81" t="s">
        <v>205</v>
      </c>
      <c r="B188" s="49"/>
      <c r="C188" s="157" t="s">
        <v>937</v>
      </c>
      <c r="D188" s="157" t="s">
        <v>1764</v>
      </c>
      <c r="E188" s="157" t="s">
        <v>893</v>
      </c>
      <c r="F188" s="157" t="s">
        <v>866</v>
      </c>
      <c r="G188" s="157" t="s">
        <v>1145</v>
      </c>
      <c r="H188" s="50">
        <v>2405</v>
      </c>
      <c r="I188" s="49"/>
      <c r="J188" s="72">
        <v>43761</v>
      </c>
      <c r="K188" s="33" t="s">
        <v>1079</v>
      </c>
      <c r="L188" s="157" t="s">
        <v>1769</v>
      </c>
      <c r="M188" s="51"/>
      <c r="N188" s="169" t="s">
        <v>1333</v>
      </c>
    </row>
    <row r="189" spans="1:14" ht="21.75" customHeight="1" x14ac:dyDescent="0.3">
      <c r="A189" s="81" t="s">
        <v>206</v>
      </c>
      <c r="B189" s="49"/>
      <c r="C189" s="68" t="s">
        <v>1247</v>
      </c>
      <c r="D189" s="157" t="s">
        <v>1770</v>
      </c>
      <c r="E189" s="157" t="s">
        <v>893</v>
      </c>
      <c r="F189" s="157" t="s">
        <v>866</v>
      </c>
      <c r="G189" s="157" t="s">
        <v>1771</v>
      </c>
      <c r="H189" s="50">
        <v>1115</v>
      </c>
      <c r="I189" s="49"/>
      <c r="J189" s="72">
        <v>43762</v>
      </c>
      <c r="K189" s="33" t="s">
        <v>915</v>
      </c>
      <c r="L189" s="157" t="s">
        <v>1772</v>
      </c>
      <c r="M189" s="51"/>
      <c r="N189" s="169" t="s">
        <v>1279</v>
      </c>
    </row>
    <row r="190" spans="1:14" ht="21.75" customHeight="1" x14ac:dyDescent="0.3">
      <c r="A190" s="81" t="s">
        <v>207</v>
      </c>
      <c r="B190" s="49"/>
      <c r="C190" s="69" t="s">
        <v>867</v>
      </c>
      <c r="D190" s="69" t="s">
        <v>868</v>
      </c>
      <c r="E190" s="69" t="s">
        <v>865</v>
      </c>
      <c r="F190" s="69" t="s">
        <v>866</v>
      </c>
      <c r="G190" s="69" t="s">
        <v>1774</v>
      </c>
      <c r="H190" s="50">
        <v>985</v>
      </c>
      <c r="I190" s="49"/>
      <c r="J190" s="72">
        <v>43766</v>
      </c>
      <c r="K190" s="33" t="s">
        <v>915</v>
      </c>
      <c r="L190" s="157" t="s">
        <v>1773</v>
      </c>
      <c r="M190" s="51">
        <v>8856</v>
      </c>
      <c r="N190" s="53"/>
    </row>
    <row r="191" spans="1:14" ht="21.75" customHeight="1" x14ac:dyDescent="0.3">
      <c r="A191" s="81" t="s">
        <v>208</v>
      </c>
      <c r="B191" s="49"/>
      <c r="C191" s="4" t="s">
        <v>1549</v>
      </c>
      <c r="D191" s="4" t="s">
        <v>1550</v>
      </c>
      <c r="E191" s="69" t="s">
        <v>1537</v>
      </c>
      <c r="F191" s="4" t="s">
        <v>1551</v>
      </c>
      <c r="G191" s="4" t="s">
        <v>1552</v>
      </c>
      <c r="H191" s="50">
        <v>1710</v>
      </c>
      <c r="I191" s="49"/>
      <c r="J191" s="72">
        <v>43766</v>
      </c>
      <c r="K191" s="33" t="s">
        <v>915</v>
      </c>
      <c r="L191" s="157" t="s">
        <v>1786</v>
      </c>
      <c r="M191" s="51"/>
      <c r="N191" s="53"/>
    </row>
    <row r="192" spans="1:14" ht="21.75" customHeight="1" x14ac:dyDescent="0.3">
      <c r="A192" s="81" t="s">
        <v>209</v>
      </c>
      <c r="B192" s="49"/>
      <c r="C192" s="157" t="s">
        <v>1787</v>
      </c>
      <c r="D192" s="157" t="s">
        <v>1788</v>
      </c>
      <c r="E192" s="157" t="s">
        <v>886</v>
      </c>
      <c r="F192" s="157" t="s">
        <v>1789</v>
      </c>
      <c r="G192" s="157" t="s">
        <v>1790</v>
      </c>
      <c r="H192" s="50">
        <v>7680</v>
      </c>
      <c r="I192" s="49"/>
      <c r="J192" s="72">
        <v>43767</v>
      </c>
      <c r="K192" s="33" t="s">
        <v>953</v>
      </c>
      <c r="L192" s="157" t="s">
        <v>1791</v>
      </c>
      <c r="M192" s="51"/>
      <c r="N192" s="169" t="s">
        <v>1792</v>
      </c>
    </row>
    <row r="193" spans="1:14" ht="21.75" customHeight="1" x14ac:dyDescent="0.3">
      <c r="A193" s="81" t="s">
        <v>210</v>
      </c>
      <c r="B193" s="49"/>
      <c r="C193" s="157" t="s">
        <v>1804</v>
      </c>
      <c r="D193" s="157" t="s">
        <v>1805</v>
      </c>
      <c r="E193" s="157" t="s">
        <v>1806</v>
      </c>
      <c r="F193" s="157" t="s">
        <v>923</v>
      </c>
      <c r="G193" s="157" t="s">
        <v>1020</v>
      </c>
      <c r="H193" s="50">
        <v>1665</v>
      </c>
      <c r="I193" s="49"/>
      <c r="J193" s="72">
        <v>43775</v>
      </c>
      <c r="K193" s="123" t="s">
        <v>915</v>
      </c>
      <c r="L193" s="157" t="s">
        <v>1808</v>
      </c>
      <c r="M193" s="51"/>
      <c r="N193" s="53">
        <v>105</v>
      </c>
    </row>
    <row r="194" spans="1:14" ht="21.75" customHeight="1" x14ac:dyDescent="0.3">
      <c r="A194" s="81" t="s">
        <v>211</v>
      </c>
      <c r="B194" s="49"/>
      <c r="C194" s="69" t="s">
        <v>867</v>
      </c>
      <c r="D194" s="69" t="s">
        <v>868</v>
      </c>
      <c r="E194" s="69" t="s">
        <v>865</v>
      </c>
      <c r="F194" s="69" t="s">
        <v>866</v>
      </c>
      <c r="G194" s="69" t="s">
        <v>951</v>
      </c>
      <c r="H194" s="50">
        <v>540</v>
      </c>
      <c r="I194" s="49"/>
      <c r="J194" s="72">
        <v>43775</v>
      </c>
      <c r="K194" s="33" t="s">
        <v>915</v>
      </c>
      <c r="L194" s="157" t="s">
        <v>1807</v>
      </c>
      <c r="M194" s="173"/>
      <c r="N194" s="53"/>
    </row>
    <row r="195" spans="1:14" ht="21.75" customHeight="1" x14ac:dyDescent="0.3">
      <c r="A195" s="81" t="s">
        <v>212</v>
      </c>
      <c r="B195" s="49"/>
      <c r="C195" s="157" t="s">
        <v>1811</v>
      </c>
      <c r="D195" s="157" t="s">
        <v>1812</v>
      </c>
      <c r="E195" s="157" t="s">
        <v>893</v>
      </c>
      <c r="F195" s="69" t="s">
        <v>866</v>
      </c>
      <c r="G195" s="157" t="s">
        <v>1813</v>
      </c>
      <c r="H195" s="170" t="s">
        <v>1814</v>
      </c>
      <c r="I195" s="49"/>
      <c r="J195" s="72">
        <v>43781</v>
      </c>
      <c r="K195" s="33" t="s">
        <v>953</v>
      </c>
      <c r="L195" s="157" t="s">
        <v>1815</v>
      </c>
      <c r="M195" s="51"/>
      <c r="N195" s="53"/>
    </row>
    <row r="196" spans="1:14" ht="21.75" customHeight="1" x14ac:dyDescent="0.3">
      <c r="A196" s="81" t="s">
        <v>213</v>
      </c>
      <c r="B196" s="49"/>
      <c r="C196" s="69" t="s">
        <v>867</v>
      </c>
      <c r="D196" s="69" t="s">
        <v>868</v>
      </c>
      <c r="E196" s="69" t="s">
        <v>1816</v>
      </c>
      <c r="F196" s="69" t="s">
        <v>866</v>
      </c>
      <c r="G196" s="69" t="s">
        <v>951</v>
      </c>
      <c r="H196" s="50">
        <v>2935</v>
      </c>
      <c r="I196" s="49"/>
      <c r="J196" s="72">
        <v>43777</v>
      </c>
      <c r="K196" s="33" t="s">
        <v>915</v>
      </c>
      <c r="L196" s="157" t="s">
        <v>1818</v>
      </c>
      <c r="M196" s="173"/>
      <c r="N196" s="169" t="s">
        <v>1817</v>
      </c>
    </row>
    <row r="197" spans="1:14" ht="26.25" customHeight="1" x14ac:dyDescent="0.3">
      <c r="A197" s="81" t="s">
        <v>214</v>
      </c>
      <c r="B197" s="49"/>
      <c r="C197" s="4" t="s">
        <v>1471</v>
      </c>
      <c r="D197" s="157" t="s">
        <v>1823</v>
      </c>
      <c r="E197" s="157" t="s">
        <v>893</v>
      </c>
      <c r="F197" s="157" t="s">
        <v>1467</v>
      </c>
      <c r="G197" s="157" t="s">
        <v>1797</v>
      </c>
      <c r="H197" s="50">
        <v>875</v>
      </c>
      <c r="I197" s="49"/>
      <c r="J197" s="171">
        <v>43787</v>
      </c>
      <c r="K197" s="33" t="s">
        <v>883</v>
      </c>
      <c r="L197" s="49"/>
      <c r="M197" s="173"/>
      <c r="N197" s="53"/>
    </row>
    <row r="198" spans="1:14" ht="21.75" customHeight="1" x14ac:dyDescent="0.3">
      <c r="A198" s="81" t="s">
        <v>215</v>
      </c>
      <c r="B198" s="49"/>
      <c r="C198" s="157" t="s">
        <v>1463</v>
      </c>
      <c r="D198" s="157" t="s">
        <v>1830</v>
      </c>
      <c r="E198" s="157" t="s">
        <v>903</v>
      </c>
      <c r="F198" s="157" t="s">
        <v>945</v>
      </c>
      <c r="G198" s="157" t="s">
        <v>1831</v>
      </c>
      <c r="H198" s="50">
        <v>317.43</v>
      </c>
      <c r="I198" s="49"/>
      <c r="J198" s="72">
        <v>43787</v>
      </c>
      <c r="K198" s="33" t="s">
        <v>915</v>
      </c>
      <c r="L198" s="172" t="s">
        <v>1832</v>
      </c>
      <c r="M198" s="51"/>
      <c r="N198" s="169" t="s">
        <v>1833</v>
      </c>
    </row>
    <row r="199" spans="1:14" ht="21.75" customHeight="1" x14ac:dyDescent="0.3">
      <c r="A199" s="81" t="s">
        <v>216</v>
      </c>
      <c r="B199" s="49"/>
      <c r="C199" s="157" t="s">
        <v>1836</v>
      </c>
      <c r="D199" s="157" t="s">
        <v>1837</v>
      </c>
      <c r="E199" s="157" t="s">
        <v>1838</v>
      </c>
      <c r="F199" s="157" t="s">
        <v>1637</v>
      </c>
      <c r="G199" s="157" t="s">
        <v>1839</v>
      </c>
      <c r="H199" s="50">
        <v>12455</v>
      </c>
      <c r="I199" s="49"/>
      <c r="J199" s="72">
        <v>43790</v>
      </c>
      <c r="K199" s="123" t="s">
        <v>953</v>
      </c>
      <c r="L199" s="49"/>
      <c r="M199" s="51"/>
      <c r="N199" s="53"/>
    </row>
    <row r="200" spans="1:14" ht="21.75" customHeight="1" x14ac:dyDescent="0.3">
      <c r="A200" s="81" t="s">
        <v>217</v>
      </c>
      <c r="B200" s="49"/>
      <c r="C200" s="157" t="s">
        <v>1304</v>
      </c>
      <c r="D200" s="157" t="s">
        <v>1304</v>
      </c>
      <c r="E200" s="157" t="s">
        <v>903</v>
      </c>
      <c r="F200" s="157" t="s">
        <v>866</v>
      </c>
      <c r="G200" s="157" t="s">
        <v>1306</v>
      </c>
      <c r="H200" s="50">
        <v>1610</v>
      </c>
      <c r="I200" s="49"/>
      <c r="J200" s="72">
        <v>43790</v>
      </c>
      <c r="K200" s="123" t="s">
        <v>915</v>
      </c>
      <c r="L200" s="49"/>
      <c r="M200" s="173"/>
      <c r="N200" s="53"/>
    </row>
    <row r="201" spans="1:14" ht="21.75" customHeight="1" x14ac:dyDescent="0.3">
      <c r="A201" s="81" t="s">
        <v>218</v>
      </c>
      <c r="B201" s="49"/>
      <c r="C201" s="4" t="s">
        <v>1563</v>
      </c>
      <c r="D201" s="4" t="s">
        <v>1558</v>
      </c>
      <c r="E201" s="4" t="s">
        <v>893</v>
      </c>
      <c r="F201" s="157" t="s">
        <v>1560</v>
      </c>
      <c r="G201" s="4" t="s">
        <v>1561</v>
      </c>
      <c r="H201" s="50">
        <v>3580</v>
      </c>
      <c r="I201" s="49"/>
      <c r="J201" s="72">
        <v>43790</v>
      </c>
      <c r="K201" s="123" t="s">
        <v>915</v>
      </c>
      <c r="L201" s="157" t="s">
        <v>1840</v>
      </c>
      <c r="M201" s="36"/>
      <c r="N201" s="53"/>
    </row>
    <row r="202" spans="1:14" ht="27" customHeight="1" x14ac:dyDescent="0.3">
      <c r="A202" s="81" t="s">
        <v>219</v>
      </c>
      <c r="B202" s="49"/>
      <c r="C202" s="79" t="s">
        <v>1715</v>
      </c>
      <c r="D202" s="4" t="s">
        <v>1843</v>
      </c>
      <c r="E202" s="4" t="s">
        <v>933</v>
      </c>
      <c r="F202" s="4" t="s">
        <v>1844</v>
      </c>
      <c r="G202" s="4" t="s">
        <v>1714</v>
      </c>
      <c r="H202" s="50">
        <v>6075</v>
      </c>
      <c r="I202" s="49"/>
      <c r="J202" s="72">
        <v>43791</v>
      </c>
      <c r="K202" s="33" t="s">
        <v>943</v>
      </c>
      <c r="L202" s="172" t="s">
        <v>1845</v>
      </c>
      <c r="M202" s="51"/>
      <c r="N202" s="169" t="s">
        <v>1722</v>
      </c>
    </row>
    <row r="203" spans="1:14" ht="21.75" customHeight="1" x14ac:dyDescent="0.3">
      <c r="A203" s="81" t="s">
        <v>220</v>
      </c>
      <c r="B203" s="49"/>
      <c r="C203" s="157" t="s">
        <v>867</v>
      </c>
      <c r="D203" s="157" t="s">
        <v>868</v>
      </c>
      <c r="E203" s="157" t="s">
        <v>1847</v>
      </c>
      <c r="F203" s="157" t="s">
        <v>866</v>
      </c>
      <c r="G203" s="157" t="s">
        <v>1848</v>
      </c>
      <c r="H203" s="50">
        <v>1950</v>
      </c>
      <c r="I203" s="49"/>
      <c r="J203" s="72">
        <v>43791</v>
      </c>
      <c r="K203" s="123" t="s">
        <v>915</v>
      </c>
      <c r="L203" s="157" t="s">
        <v>1858</v>
      </c>
      <c r="M203" s="36"/>
      <c r="N203" s="53"/>
    </row>
    <row r="204" spans="1:14" ht="21.75" customHeight="1" x14ac:dyDescent="0.3">
      <c r="A204" s="81" t="s">
        <v>221</v>
      </c>
      <c r="B204" s="49"/>
      <c r="C204" s="157" t="s">
        <v>1463</v>
      </c>
      <c r="D204" s="157" t="s">
        <v>1849</v>
      </c>
      <c r="E204" s="157" t="s">
        <v>886</v>
      </c>
      <c r="F204" s="157" t="s">
        <v>1850</v>
      </c>
      <c r="G204" s="157" t="s">
        <v>1851</v>
      </c>
      <c r="H204" s="50">
        <v>874.94</v>
      </c>
      <c r="I204" s="49"/>
      <c r="J204" s="72">
        <v>43792</v>
      </c>
      <c r="K204" s="33" t="s">
        <v>883</v>
      </c>
      <c r="L204" s="157" t="s">
        <v>1852</v>
      </c>
      <c r="M204" s="173"/>
      <c r="N204" s="53"/>
    </row>
    <row r="205" spans="1:14" ht="21.75" customHeight="1" x14ac:dyDescent="0.3">
      <c r="A205" s="81" t="s">
        <v>222</v>
      </c>
      <c r="B205" s="49"/>
      <c r="C205" s="157" t="s">
        <v>1400</v>
      </c>
      <c r="D205" s="174" t="s">
        <v>1864</v>
      </c>
      <c r="E205" s="157" t="s">
        <v>886</v>
      </c>
      <c r="F205" s="157" t="s">
        <v>887</v>
      </c>
      <c r="G205" s="157" t="s">
        <v>1865</v>
      </c>
      <c r="H205" s="50">
        <v>1275</v>
      </c>
      <c r="I205" s="49"/>
      <c r="J205" s="72">
        <v>43792</v>
      </c>
      <c r="K205" s="33" t="s">
        <v>915</v>
      </c>
      <c r="L205" s="157" t="s">
        <v>1866</v>
      </c>
      <c r="M205" s="51"/>
      <c r="N205" s="169" t="s">
        <v>1867</v>
      </c>
    </row>
    <row r="206" spans="1:14" ht="21.75" customHeight="1" x14ac:dyDescent="0.3">
      <c r="A206" s="81" t="s">
        <v>223</v>
      </c>
      <c r="B206" s="49"/>
      <c r="C206" s="69" t="s">
        <v>1261</v>
      </c>
      <c r="D206" s="69" t="s">
        <v>1264</v>
      </c>
      <c r="E206" s="69" t="s">
        <v>1890</v>
      </c>
      <c r="F206" s="69">
        <v>75011</v>
      </c>
      <c r="G206" s="69" t="s">
        <v>1868</v>
      </c>
      <c r="H206" s="50">
        <v>3805</v>
      </c>
      <c r="I206" s="49"/>
      <c r="J206" s="72">
        <v>43803</v>
      </c>
      <c r="K206" s="33" t="s">
        <v>943</v>
      </c>
      <c r="L206" s="157" t="s">
        <v>1869</v>
      </c>
      <c r="M206" s="51"/>
      <c r="N206" s="53">
        <v>65</v>
      </c>
    </row>
    <row r="207" spans="1:14" ht="21.75" customHeight="1" x14ac:dyDescent="0.3">
      <c r="A207" s="81" t="s">
        <v>224</v>
      </c>
      <c r="B207" s="49"/>
      <c r="C207" s="79" t="s">
        <v>1715</v>
      </c>
      <c r="D207" s="4" t="s">
        <v>1870</v>
      </c>
      <c r="E207" s="4" t="s">
        <v>1871</v>
      </c>
      <c r="F207" s="4" t="s">
        <v>1872</v>
      </c>
      <c r="G207" s="4" t="s">
        <v>1714</v>
      </c>
      <c r="H207" s="50">
        <v>1070</v>
      </c>
      <c r="I207" s="49"/>
      <c r="J207" s="72">
        <v>43803</v>
      </c>
      <c r="K207" s="33" t="s">
        <v>915</v>
      </c>
      <c r="L207" s="157" t="s">
        <v>1873</v>
      </c>
      <c r="M207" s="51"/>
      <c r="N207" s="169" t="s">
        <v>1874</v>
      </c>
    </row>
    <row r="208" spans="1:14" ht="30" customHeight="1" x14ac:dyDescent="0.3">
      <c r="A208" s="81" t="s">
        <v>225</v>
      </c>
      <c r="B208" s="49"/>
      <c r="C208" s="157" t="s">
        <v>1247</v>
      </c>
      <c r="D208" s="157" t="s">
        <v>1875</v>
      </c>
      <c r="E208" s="157" t="s">
        <v>933</v>
      </c>
      <c r="F208" s="157" t="s">
        <v>1467</v>
      </c>
      <c r="G208" s="157" t="s">
        <v>1876</v>
      </c>
      <c r="H208" s="50">
        <v>1455</v>
      </c>
      <c r="I208" s="49"/>
      <c r="J208" s="72">
        <v>43803</v>
      </c>
      <c r="K208" s="123" t="s">
        <v>915</v>
      </c>
      <c r="L208" s="157" t="s">
        <v>1877</v>
      </c>
      <c r="M208" s="51"/>
      <c r="N208" s="53">
        <v>65</v>
      </c>
    </row>
    <row r="209" spans="1:14" ht="21.75" customHeight="1" x14ac:dyDescent="0.3">
      <c r="A209" s="81" t="s">
        <v>226</v>
      </c>
      <c r="B209" s="49"/>
      <c r="C209" s="157" t="s">
        <v>1878</v>
      </c>
      <c r="D209" s="157" t="s">
        <v>1879</v>
      </c>
      <c r="E209" s="157" t="s">
        <v>903</v>
      </c>
      <c r="F209" s="157" t="s">
        <v>1880</v>
      </c>
      <c r="G209" s="157" t="s">
        <v>1881</v>
      </c>
      <c r="H209" s="50">
        <v>1280</v>
      </c>
      <c r="I209" s="49"/>
      <c r="J209" s="72">
        <v>43805</v>
      </c>
      <c r="K209" s="123" t="s">
        <v>943</v>
      </c>
      <c r="L209" s="49"/>
      <c r="M209" s="51"/>
      <c r="N209" s="53"/>
    </row>
    <row r="210" spans="1:14" x14ac:dyDescent="0.3">
      <c r="A210" s="81" t="s">
        <v>227</v>
      </c>
      <c r="B210" s="49"/>
      <c r="C210" s="157" t="s">
        <v>1563</v>
      </c>
      <c r="D210" s="69" t="s">
        <v>1580</v>
      </c>
      <c r="E210" s="157" t="s">
        <v>1883</v>
      </c>
      <c r="F210" s="69">
        <v>75011</v>
      </c>
      <c r="G210" s="157" t="s">
        <v>1884</v>
      </c>
      <c r="H210" s="50">
        <v>2025</v>
      </c>
      <c r="I210" s="49"/>
      <c r="J210" s="72">
        <v>43805</v>
      </c>
      <c r="K210" s="33" t="s">
        <v>915</v>
      </c>
      <c r="L210" s="157" t="s">
        <v>1885</v>
      </c>
      <c r="M210" s="51"/>
      <c r="N210" s="53"/>
    </row>
    <row r="211" spans="1:14" x14ac:dyDescent="0.3">
      <c r="A211" s="81" t="s">
        <v>228</v>
      </c>
      <c r="B211" s="49"/>
      <c r="C211" s="157" t="s">
        <v>1016</v>
      </c>
      <c r="D211" s="157" t="s">
        <v>1886</v>
      </c>
      <c r="E211" s="157" t="s">
        <v>949</v>
      </c>
      <c r="F211" s="49">
        <v>95</v>
      </c>
      <c r="G211" s="157" t="s">
        <v>1887</v>
      </c>
      <c r="H211" s="50">
        <v>1890</v>
      </c>
      <c r="I211" s="49"/>
      <c r="J211" s="72">
        <v>43805</v>
      </c>
      <c r="K211" s="33" t="s">
        <v>915</v>
      </c>
      <c r="L211" s="157" t="s">
        <v>1888</v>
      </c>
      <c r="M211" s="51"/>
      <c r="N211" s="169" t="s">
        <v>1889</v>
      </c>
    </row>
    <row r="212" spans="1:14" x14ac:dyDescent="0.3">
      <c r="A212" s="81" t="s">
        <v>229</v>
      </c>
      <c r="B212" s="49">
        <v>2</v>
      </c>
      <c r="C212" s="157" t="s">
        <v>867</v>
      </c>
      <c r="D212" s="157" t="s">
        <v>868</v>
      </c>
      <c r="E212" s="157" t="s">
        <v>865</v>
      </c>
      <c r="F212" s="157" t="s">
        <v>866</v>
      </c>
      <c r="G212" s="157" t="s">
        <v>951</v>
      </c>
      <c r="H212" s="50">
        <v>1755</v>
      </c>
      <c r="I212" s="49"/>
      <c r="J212" s="72">
        <v>43809</v>
      </c>
      <c r="K212" s="123" t="s">
        <v>915</v>
      </c>
      <c r="L212" s="157" t="s">
        <v>1897</v>
      </c>
      <c r="M212" s="51"/>
      <c r="N212" s="169" t="s">
        <v>1898</v>
      </c>
    </row>
    <row r="213" spans="1:14" x14ac:dyDescent="0.3">
      <c r="A213" s="81" t="s">
        <v>230</v>
      </c>
      <c r="B213" s="49"/>
      <c r="C213" s="157" t="s">
        <v>1247</v>
      </c>
      <c r="D213" s="157" t="s">
        <v>1901</v>
      </c>
      <c r="E213" s="157" t="s">
        <v>865</v>
      </c>
      <c r="F213" s="157" t="s">
        <v>866</v>
      </c>
      <c r="G213" s="157" t="s">
        <v>1902</v>
      </c>
      <c r="H213" s="50">
        <v>960</v>
      </c>
      <c r="I213" s="49"/>
      <c r="J213" s="72">
        <v>43812</v>
      </c>
      <c r="K213" s="33" t="s">
        <v>915</v>
      </c>
      <c r="L213" s="157" t="s">
        <v>1903</v>
      </c>
      <c r="M213" s="51"/>
      <c r="N213" s="53"/>
    </row>
    <row r="214" spans="1:14" x14ac:dyDescent="0.3">
      <c r="A214" s="81" t="s">
        <v>231</v>
      </c>
      <c r="B214" s="49"/>
      <c r="C214" s="157" t="s">
        <v>1878</v>
      </c>
      <c r="D214" s="157" t="s">
        <v>1905</v>
      </c>
      <c r="E214" s="157" t="s">
        <v>903</v>
      </c>
      <c r="F214" s="157" t="s">
        <v>1880</v>
      </c>
      <c r="G214" s="157" t="s">
        <v>1881</v>
      </c>
      <c r="H214" s="50">
        <v>1280</v>
      </c>
      <c r="I214" s="49"/>
      <c r="J214" s="72">
        <v>43815</v>
      </c>
      <c r="K214" s="33" t="s">
        <v>943</v>
      </c>
      <c r="L214" s="49"/>
      <c r="M214" s="51"/>
      <c r="N214" s="53"/>
    </row>
    <row r="215" spans="1:14" x14ac:dyDescent="0.3">
      <c r="A215" s="81" t="s">
        <v>232</v>
      </c>
      <c r="B215" s="49"/>
      <c r="C215" s="157" t="s">
        <v>867</v>
      </c>
      <c r="D215" s="157" t="s">
        <v>868</v>
      </c>
      <c r="E215" s="157" t="s">
        <v>865</v>
      </c>
      <c r="F215" s="157" t="s">
        <v>1596</v>
      </c>
      <c r="G215" s="157" t="s">
        <v>951</v>
      </c>
      <c r="H215" s="50">
        <v>41244</v>
      </c>
      <c r="I215" s="49"/>
      <c r="J215" s="72">
        <v>43819</v>
      </c>
      <c r="K215" s="123" t="s">
        <v>883</v>
      </c>
      <c r="L215" s="49"/>
      <c r="M215" s="51"/>
      <c r="N215" s="53"/>
    </row>
    <row r="216" spans="1:14" x14ac:dyDescent="0.3">
      <c r="A216" s="81" t="s">
        <v>233</v>
      </c>
      <c r="B216" s="49"/>
      <c r="C216" s="157" t="s">
        <v>867</v>
      </c>
      <c r="D216" s="157" t="s">
        <v>868</v>
      </c>
      <c r="E216" s="157" t="s">
        <v>1907</v>
      </c>
      <c r="F216" s="157" t="s">
        <v>1596</v>
      </c>
      <c r="G216" s="157" t="s">
        <v>1908</v>
      </c>
      <c r="H216" s="50">
        <v>1380</v>
      </c>
      <c r="I216" s="49"/>
      <c r="J216" s="72">
        <v>43819</v>
      </c>
      <c r="K216" s="123" t="s">
        <v>915</v>
      </c>
      <c r="L216" s="157" t="s">
        <v>1909</v>
      </c>
      <c r="M216" s="51"/>
      <c r="N216" s="53"/>
    </row>
    <row r="217" spans="1:14" x14ac:dyDescent="0.3">
      <c r="A217" s="81" t="s">
        <v>234</v>
      </c>
      <c r="B217" s="49"/>
      <c r="C217" s="157" t="s">
        <v>1913</v>
      </c>
      <c r="D217" s="157" t="s">
        <v>1910</v>
      </c>
      <c r="E217" s="157" t="s">
        <v>886</v>
      </c>
      <c r="F217" s="157" t="s">
        <v>1911</v>
      </c>
      <c r="G217" s="157" t="s">
        <v>1912</v>
      </c>
      <c r="H217" s="39">
        <v>32580</v>
      </c>
      <c r="I217" s="49"/>
      <c r="J217" s="72">
        <v>43819</v>
      </c>
      <c r="K217" s="123" t="s">
        <v>883</v>
      </c>
      <c r="L217" s="49"/>
      <c r="M217" s="51"/>
      <c r="N217" s="169" t="s">
        <v>1915</v>
      </c>
    </row>
    <row r="218" spans="1:14" x14ac:dyDescent="0.3">
      <c r="A218" s="81" t="s">
        <v>235</v>
      </c>
      <c r="B218" s="49"/>
      <c r="C218" s="49"/>
      <c r="D218" s="49"/>
      <c r="E218" s="49"/>
      <c r="F218" s="49"/>
      <c r="G218" s="49"/>
      <c r="H218" s="50"/>
      <c r="I218" s="49"/>
      <c r="J218" s="49"/>
      <c r="K218" s="33"/>
      <c r="L218" s="49"/>
      <c r="M218" s="51"/>
      <c r="N218" s="53"/>
    </row>
    <row r="219" spans="1:14" x14ac:dyDescent="0.3">
      <c r="A219" s="81" t="s">
        <v>236</v>
      </c>
      <c r="B219" s="49"/>
      <c r="C219" s="49"/>
      <c r="D219" s="49"/>
      <c r="E219" s="49"/>
      <c r="F219" s="49"/>
      <c r="G219" s="49"/>
      <c r="H219" s="50"/>
      <c r="I219" s="49"/>
      <c r="J219" s="49"/>
      <c r="K219" s="33"/>
      <c r="L219" s="49"/>
      <c r="M219" s="51"/>
      <c r="N219" s="53"/>
    </row>
    <row r="220" spans="1:14" x14ac:dyDescent="0.3">
      <c r="A220" s="81" t="s">
        <v>237</v>
      </c>
      <c r="B220" s="49"/>
      <c r="C220" s="49"/>
      <c r="D220" s="49"/>
      <c r="E220" s="49"/>
      <c r="F220" s="49"/>
      <c r="G220" s="49"/>
      <c r="H220" s="50"/>
      <c r="I220" s="49"/>
      <c r="J220" s="49"/>
      <c r="K220" s="33"/>
      <c r="L220" s="49"/>
      <c r="M220" s="51"/>
      <c r="N220" s="53"/>
    </row>
    <row r="221" spans="1:14" x14ac:dyDescent="0.3">
      <c r="A221" s="81" t="s">
        <v>238</v>
      </c>
      <c r="B221" s="49"/>
      <c r="C221" s="49"/>
      <c r="D221" s="49"/>
      <c r="E221" s="49"/>
      <c r="F221" s="49"/>
      <c r="G221" s="49"/>
      <c r="H221" s="50"/>
      <c r="I221" s="49"/>
      <c r="J221" s="49"/>
      <c r="K221" s="33"/>
      <c r="L221" s="49"/>
      <c r="M221" s="51"/>
      <c r="N221" s="53"/>
    </row>
  </sheetData>
  <autoFilter ref="A7:N221" xr:uid="{ADD30C31-2DBB-48C1-8A3C-E5B91385C870}"/>
  <mergeCells count="1">
    <mergeCell ref="A3:K3"/>
  </mergeCells>
  <phoneticPr fontId="26" type="noConversion"/>
  <conditionalFormatting sqref="K42:K46 K96 K132 K151:K154 K178:K179 K1:K21 K28:K29 K31:K40 K51:K54 K58:K60 K70:K78 K82:K89 K91:K94 K98:K104 K127:K128 K162:K163 K134:K140 K142:K147 K115:K118 K156:K160 K168:K176 K184:K187 K190 K193:K200 K202:K206 K208:K1048576">
    <cfRule type="containsText" dxfId="624" priority="320" operator="containsText" text="facturé">
      <formula>NOT(ISERROR(SEARCH("facturé",K1)))</formula>
    </cfRule>
    <cfRule type="containsText" dxfId="623" priority="322" operator="containsText" text="Facturé">
      <formula>NOT(ISERROR(SEARCH("Facturé",K1)))</formula>
    </cfRule>
    <cfRule type="containsText" dxfId="622" priority="323" operator="containsText" text="En cours">
      <formula>NOT(ISERROR(SEARCH("En cours",K1)))</formula>
    </cfRule>
    <cfRule type="containsText" dxfId="621" priority="324" operator="containsText" text="Perdu">
      <formula>NOT(ISERROR(SEARCH("Perdu",K1)))</formula>
    </cfRule>
    <cfRule type="containsText" dxfId="620" priority="325" operator="containsText" text="Perdu">
      <formula>NOT(ISERROR(SEARCH("Perdu",K1)))</formula>
    </cfRule>
    <cfRule type="containsText" dxfId="619" priority="326" operator="containsText" text="Gagné">
      <formula>NOT(ISERROR(SEARCH("Gagné",K1)))</formula>
    </cfRule>
  </conditionalFormatting>
  <conditionalFormatting sqref="K61:K62">
    <cfRule type="containsText" dxfId="618" priority="301" operator="containsText" text="facturé">
      <formula>NOT(ISERROR(SEARCH("facturé",K61)))</formula>
    </cfRule>
    <cfRule type="containsText" dxfId="617" priority="302" operator="containsText" text="Facturé">
      <formula>NOT(ISERROR(SEARCH("Facturé",K61)))</formula>
    </cfRule>
    <cfRule type="containsText" dxfId="616" priority="303" operator="containsText" text="En cours">
      <formula>NOT(ISERROR(SEARCH("En cours",K61)))</formula>
    </cfRule>
    <cfRule type="containsText" dxfId="615" priority="304" operator="containsText" text="Perdu">
      <formula>NOT(ISERROR(SEARCH("Perdu",K61)))</formula>
    </cfRule>
    <cfRule type="containsText" dxfId="614" priority="305" operator="containsText" text="Perdu">
      <formula>NOT(ISERROR(SEARCH("Perdu",K61)))</formula>
    </cfRule>
    <cfRule type="containsText" dxfId="613" priority="306" operator="containsText" text="Gagné">
      <formula>NOT(ISERROR(SEARCH("Gagné",K61)))</formula>
    </cfRule>
  </conditionalFormatting>
  <conditionalFormatting sqref="K79:K81">
    <cfRule type="containsText" dxfId="612" priority="289" operator="containsText" text="facturé">
      <formula>NOT(ISERROR(SEARCH("facturé",K79)))</formula>
    </cfRule>
    <cfRule type="containsText" dxfId="611" priority="290" operator="containsText" text="Facturé">
      <formula>NOT(ISERROR(SEARCH("Facturé",K79)))</formula>
    </cfRule>
    <cfRule type="containsText" dxfId="610" priority="291" operator="containsText" text="En cours">
      <formula>NOT(ISERROR(SEARCH("En cours",K79)))</formula>
    </cfRule>
    <cfRule type="containsText" dxfId="609" priority="292" operator="containsText" text="Perdu">
      <formula>NOT(ISERROR(SEARCH("Perdu",K79)))</formula>
    </cfRule>
    <cfRule type="containsText" dxfId="608" priority="293" operator="containsText" text="Perdu">
      <formula>NOT(ISERROR(SEARCH("Perdu",K79)))</formula>
    </cfRule>
    <cfRule type="containsText" dxfId="607" priority="294" operator="containsText" text="Gagné">
      <formula>NOT(ISERROR(SEARCH("Gagné",K79)))</formula>
    </cfRule>
  </conditionalFormatting>
  <conditionalFormatting sqref="K105">
    <cfRule type="containsText" dxfId="606" priority="277" operator="containsText" text="facturé">
      <formula>NOT(ISERROR(SEARCH("facturé",K105)))</formula>
    </cfRule>
    <cfRule type="containsText" dxfId="605" priority="278" operator="containsText" text="Facturé">
      <formula>NOT(ISERROR(SEARCH("Facturé",K105)))</formula>
    </cfRule>
    <cfRule type="containsText" dxfId="604" priority="279" operator="containsText" text="En cours">
      <formula>NOT(ISERROR(SEARCH("En cours",K105)))</formula>
    </cfRule>
    <cfRule type="containsText" dxfId="603" priority="280" operator="containsText" text="Perdu">
      <formula>NOT(ISERROR(SEARCH("Perdu",K105)))</formula>
    </cfRule>
    <cfRule type="containsText" dxfId="602" priority="281" operator="containsText" text="Perdu">
      <formula>NOT(ISERROR(SEARCH("Perdu",K105)))</formula>
    </cfRule>
    <cfRule type="containsText" dxfId="601" priority="282" operator="containsText" text="Gagné">
      <formula>NOT(ISERROR(SEARCH("Gagné",K105)))</formula>
    </cfRule>
  </conditionalFormatting>
  <conditionalFormatting sqref="K124:K126">
    <cfRule type="containsText" dxfId="600" priority="265" operator="containsText" text="facturé">
      <formula>NOT(ISERROR(SEARCH("facturé",K124)))</formula>
    </cfRule>
    <cfRule type="containsText" dxfId="599" priority="266" operator="containsText" text="Facturé">
      <formula>NOT(ISERROR(SEARCH("Facturé",K124)))</formula>
    </cfRule>
    <cfRule type="containsText" dxfId="598" priority="267" operator="containsText" text="En cours">
      <formula>NOT(ISERROR(SEARCH("En cours",K124)))</formula>
    </cfRule>
    <cfRule type="containsText" dxfId="597" priority="268" operator="containsText" text="Perdu">
      <formula>NOT(ISERROR(SEARCH("Perdu",K124)))</formula>
    </cfRule>
    <cfRule type="containsText" dxfId="596" priority="269" operator="containsText" text="Perdu">
      <formula>NOT(ISERROR(SEARCH("Perdu",K124)))</formula>
    </cfRule>
    <cfRule type="containsText" dxfId="595" priority="270" operator="containsText" text="Gagné">
      <formula>NOT(ISERROR(SEARCH("Gagné",K124)))</formula>
    </cfRule>
  </conditionalFormatting>
  <conditionalFormatting sqref="K129:K131 K133">
    <cfRule type="containsText" dxfId="594" priority="259" operator="containsText" text="facturé">
      <formula>NOT(ISERROR(SEARCH("facturé",K129)))</formula>
    </cfRule>
    <cfRule type="containsText" dxfId="593" priority="260" operator="containsText" text="Facturé">
      <formula>NOT(ISERROR(SEARCH("Facturé",K129)))</formula>
    </cfRule>
    <cfRule type="containsText" dxfId="592" priority="261" operator="containsText" text="En cours">
      <formula>NOT(ISERROR(SEARCH("En cours",K129)))</formula>
    </cfRule>
    <cfRule type="containsText" dxfId="591" priority="262" operator="containsText" text="Perdu">
      <formula>NOT(ISERROR(SEARCH("Perdu",K129)))</formula>
    </cfRule>
    <cfRule type="containsText" dxfId="590" priority="263" operator="containsText" text="Perdu">
      <formula>NOT(ISERROR(SEARCH("Perdu",K129)))</formula>
    </cfRule>
    <cfRule type="containsText" dxfId="589" priority="264" operator="containsText" text="Gagné">
      <formula>NOT(ISERROR(SEARCH("Gagné",K129)))</formula>
    </cfRule>
  </conditionalFormatting>
  <conditionalFormatting sqref="K41">
    <cfRule type="containsText" dxfId="588" priority="253" operator="containsText" text="facturé">
      <formula>NOT(ISERROR(SEARCH("facturé",K41)))</formula>
    </cfRule>
    <cfRule type="containsText" dxfId="587" priority="254" operator="containsText" text="Facturé">
      <formula>NOT(ISERROR(SEARCH("Facturé",K41)))</formula>
    </cfRule>
    <cfRule type="containsText" dxfId="586" priority="255" operator="containsText" text="En cours">
      <formula>NOT(ISERROR(SEARCH("En cours",K41)))</formula>
    </cfRule>
    <cfRule type="containsText" dxfId="585" priority="256" operator="containsText" text="Perdu">
      <formula>NOT(ISERROR(SEARCH("Perdu",K41)))</formula>
    </cfRule>
    <cfRule type="containsText" dxfId="584" priority="257" operator="containsText" text="Perdu">
      <formula>NOT(ISERROR(SEARCH("Perdu",K41)))</formula>
    </cfRule>
    <cfRule type="containsText" dxfId="583" priority="258" operator="containsText" text="Gagné">
      <formula>NOT(ISERROR(SEARCH("Gagné",K41)))</formula>
    </cfRule>
  </conditionalFormatting>
  <conditionalFormatting sqref="K47:K50">
    <cfRule type="containsText" dxfId="582" priority="247" operator="containsText" text="facturé">
      <formula>NOT(ISERROR(SEARCH("facturé",K47)))</formula>
    </cfRule>
    <cfRule type="containsText" dxfId="581" priority="248" operator="containsText" text="Facturé">
      <formula>NOT(ISERROR(SEARCH("Facturé",K47)))</formula>
    </cfRule>
    <cfRule type="containsText" dxfId="580" priority="249" operator="containsText" text="En cours">
      <formula>NOT(ISERROR(SEARCH("En cours",K47)))</formula>
    </cfRule>
    <cfRule type="containsText" dxfId="579" priority="250" operator="containsText" text="Perdu">
      <formula>NOT(ISERROR(SEARCH("Perdu",K47)))</formula>
    </cfRule>
    <cfRule type="containsText" dxfId="578" priority="251" operator="containsText" text="Perdu">
      <formula>NOT(ISERROR(SEARCH("Perdu",K47)))</formula>
    </cfRule>
    <cfRule type="containsText" dxfId="577" priority="252" operator="containsText" text="Gagné">
      <formula>NOT(ISERROR(SEARCH("Gagné",K47)))</formula>
    </cfRule>
  </conditionalFormatting>
  <conditionalFormatting sqref="K55:K57">
    <cfRule type="containsText" dxfId="576" priority="229" operator="containsText" text="facturé">
      <formula>NOT(ISERROR(SEARCH("facturé",K55)))</formula>
    </cfRule>
    <cfRule type="containsText" dxfId="575" priority="230" operator="containsText" text="Facturé">
      <formula>NOT(ISERROR(SEARCH("Facturé",K55)))</formula>
    </cfRule>
    <cfRule type="containsText" dxfId="574" priority="231" operator="containsText" text="En cours">
      <formula>NOT(ISERROR(SEARCH("En cours",K55)))</formula>
    </cfRule>
    <cfRule type="containsText" dxfId="573" priority="232" operator="containsText" text="Perdu">
      <formula>NOT(ISERROR(SEARCH("Perdu",K55)))</formula>
    </cfRule>
    <cfRule type="containsText" dxfId="572" priority="233" operator="containsText" text="Perdu">
      <formula>NOT(ISERROR(SEARCH("Perdu",K55)))</formula>
    </cfRule>
    <cfRule type="containsText" dxfId="571" priority="234" operator="containsText" text="Gagné">
      <formula>NOT(ISERROR(SEARCH("Gagné",K55)))</formula>
    </cfRule>
  </conditionalFormatting>
  <conditionalFormatting sqref="K63:K64">
    <cfRule type="containsText" dxfId="570" priority="223" operator="containsText" text="facturé">
      <formula>NOT(ISERROR(SEARCH("facturé",K63)))</formula>
    </cfRule>
    <cfRule type="containsText" dxfId="569" priority="224" operator="containsText" text="Facturé">
      <formula>NOT(ISERROR(SEARCH("Facturé",K63)))</formula>
    </cfRule>
    <cfRule type="containsText" dxfId="568" priority="225" operator="containsText" text="En cours">
      <formula>NOT(ISERROR(SEARCH("En cours",K63)))</formula>
    </cfRule>
    <cfRule type="containsText" dxfId="567" priority="226" operator="containsText" text="Perdu">
      <formula>NOT(ISERROR(SEARCH("Perdu",K63)))</formula>
    </cfRule>
    <cfRule type="containsText" dxfId="566" priority="227" operator="containsText" text="Perdu">
      <formula>NOT(ISERROR(SEARCH("Perdu",K63)))</formula>
    </cfRule>
    <cfRule type="containsText" dxfId="565" priority="228" operator="containsText" text="Gagné">
      <formula>NOT(ISERROR(SEARCH("Gagné",K63)))</formula>
    </cfRule>
  </conditionalFormatting>
  <conditionalFormatting sqref="K67:K69">
    <cfRule type="containsText" dxfId="564" priority="199" operator="containsText" text="facturé">
      <formula>NOT(ISERROR(SEARCH("facturé",K67)))</formula>
    </cfRule>
    <cfRule type="containsText" dxfId="563" priority="200" operator="containsText" text="Facturé">
      <formula>NOT(ISERROR(SEARCH("Facturé",K67)))</formula>
    </cfRule>
    <cfRule type="containsText" dxfId="562" priority="201" operator="containsText" text="En cours">
      <formula>NOT(ISERROR(SEARCH("En cours",K67)))</formula>
    </cfRule>
    <cfRule type="containsText" dxfId="561" priority="202" operator="containsText" text="Perdu">
      <formula>NOT(ISERROR(SEARCH("Perdu",K67)))</formula>
    </cfRule>
    <cfRule type="containsText" dxfId="560" priority="203" operator="containsText" text="Perdu">
      <formula>NOT(ISERROR(SEARCH("Perdu",K67)))</formula>
    </cfRule>
    <cfRule type="containsText" dxfId="559" priority="204" operator="containsText" text="Gagné">
      <formula>NOT(ISERROR(SEARCH("Gagné",K67)))</formula>
    </cfRule>
  </conditionalFormatting>
  <conditionalFormatting sqref="K95">
    <cfRule type="containsText" dxfId="558" priority="181" operator="containsText" text="facturé">
      <formula>NOT(ISERROR(SEARCH("facturé",K95)))</formula>
    </cfRule>
    <cfRule type="containsText" dxfId="557" priority="182" operator="containsText" text="Facturé">
      <formula>NOT(ISERROR(SEARCH("Facturé",K95)))</formula>
    </cfRule>
    <cfRule type="containsText" dxfId="556" priority="183" operator="containsText" text="En cours">
      <formula>NOT(ISERROR(SEARCH("En cours",K95)))</formula>
    </cfRule>
    <cfRule type="containsText" dxfId="555" priority="184" operator="containsText" text="Perdu">
      <formula>NOT(ISERROR(SEARCH("Perdu",K95)))</formula>
    </cfRule>
    <cfRule type="containsText" dxfId="554" priority="185" operator="containsText" text="Perdu">
      <formula>NOT(ISERROR(SEARCH("Perdu",K95)))</formula>
    </cfRule>
    <cfRule type="containsText" dxfId="553" priority="186" operator="containsText" text="Gagné">
      <formula>NOT(ISERROR(SEARCH("Gagné",K95)))</formula>
    </cfRule>
  </conditionalFormatting>
  <conditionalFormatting sqref="K97">
    <cfRule type="containsText" dxfId="552" priority="175" operator="containsText" text="facturé">
      <formula>NOT(ISERROR(SEARCH("facturé",K97)))</formula>
    </cfRule>
    <cfRule type="containsText" dxfId="551" priority="176" operator="containsText" text="Facturé">
      <formula>NOT(ISERROR(SEARCH("Facturé",K97)))</formula>
    </cfRule>
    <cfRule type="containsText" dxfId="550" priority="177" operator="containsText" text="En cours">
      <formula>NOT(ISERROR(SEARCH("En cours",K97)))</formula>
    </cfRule>
    <cfRule type="containsText" dxfId="549" priority="178" operator="containsText" text="Perdu">
      <formula>NOT(ISERROR(SEARCH("Perdu",K97)))</formula>
    </cfRule>
    <cfRule type="containsText" dxfId="548" priority="179" operator="containsText" text="Perdu">
      <formula>NOT(ISERROR(SEARCH("Perdu",K97)))</formula>
    </cfRule>
    <cfRule type="containsText" dxfId="547" priority="180" operator="containsText" text="Gagné">
      <formula>NOT(ISERROR(SEARCH("Gagné",K97)))</formula>
    </cfRule>
  </conditionalFormatting>
  <conditionalFormatting sqref="K106:K112">
    <cfRule type="containsText" dxfId="546" priority="163" operator="containsText" text="facturé">
      <formula>NOT(ISERROR(SEARCH("facturé",K106)))</formula>
    </cfRule>
    <cfRule type="containsText" dxfId="545" priority="164" operator="containsText" text="Facturé">
      <formula>NOT(ISERROR(SEARCH("Facturé",K106)))</formula>
    </cfRule>
    <cfRule type="containsText" dxfId="544" priority="165" operator="containsText" text="En cours">
      <formula>NOT(ISERROR(SEARCH("En cours",K106)))</formula>
    </cfRule>
    <cfRule type="containsText" dxfId="543" priority="166" operator="containsText" text="Perdu">
      <formula>NOT(ISERROR(SEARCH("Perdu",K106)))</formula>
    </cfRule>
    <cfRule type="containsText" dxfId="542" priority="167" operator="containsText" text="Perdu">
      <formula>NOT(ISERROR(SEARCH("Perdu",K106)))</formula>
    </cfRule>
    <cfRule type="containsText" dxfId="541" priority="168" operator="containsText" text="Gagné">
      <formula>NOT(ISERROR(SEARCH("Gagné",K106)))</formula>
    </cfRule>
  </conditionalFormatting>
  <conditionalFormatting sqref="K119:K123">
    <cfRule type="containsText" dxfId="540" priority="157" operator="containsText" text="facturé">
      <formula>NOT(ISERROR(SEARCH("facturé",K119)))</formula>
    </cfRule>
    <cfRule type="containsText" dxfId="539" priority="158" operator="containsText" text="Facturé">
      <formula>NOT(ISERROR(SEARCH("Facturé",K119)))</formula>
    </cfRule>
    <cfRule type="containsText" dxfId="538" priority="159" operator="containsText" text="En cours">
      <formula>NOT(ISERROR(SEARCH("En cours",K119)))</formula>
    </cfRule>
    <cfRule type="containsText" dxfId="537" priority="160" operator="containsText" text="Perdu">
      <formula>NOT(ISERROR(SEARCH("Perdu",K119)))</formula>
    </cfRule>
    <cfRule type="containsText" dxfId="536" priority="161" operator="containsText" text="Perdu">
      <formula>NOT(ISERROR(SEARCH("Perdu",K119)))</formula>
    </cfRule>
    <cfRule type="containsText" dxfId="535" priority="162" operator="containsText" text="Gagné">
      <formula>NOT(ISERROR(SEARCH("Gagné",K119)))</formula>
    </cfRule>
  </conditionalFormatting>
  <conditionalFormatting sqref="K149">
    <cfRule type="containsText" dxfId="534" priority="145" operator="containsText" text="facturé">
      <formula>NOT(ISERROR(SEARCH("facturé",K149)))</formula>
    </cfRule>
    <cfRule type="containsText" dxfId="533" priority="146" operator="containsText" text="Facturé">
      <formula>NOT(ISERROR(SEARCH("Facturé",K149)))</formula>
    </cfRule>
    <cfRule type="containsText" dxfId="532" priority="147" operator="containsText" text="En cours">
      <formula>NOT(ISERROR(SEARCH("En cours",K149)))</formula>
    </cfRule>
    <cfRule type="containsText" dxfId="531" priority="148" operator="containsText" text="Perdu">
      <formula>NOT(ISERROR(SEARCH("Perdu",K149)))</formula>
    </cfRule>
    <cfRule type="containsText" dxfId="530" priority="149" operator="containsText" text="Perdu">
      <formula>NOT(ISERROR(SEARCH("Perdu",K149)))</formula>
    </cfRule>
    <cfRule type="containsText" dxfId="529" priority="150" operator="containsText" text="Gagné">
      <formula>NOT(ISERROR(SEARCH("Gagné",K149)))</formula>
    </cfRule>
  </conditionalFormatting>
  <conditionalFormatting sqref="K150">
    <cfRule type="containsText" dxfId="528" priority="139" operator="containsText" text="facturé">
      <formula>NOT(ISERROR(SEARCH("facturé",K150)))</formula>
    </cfRule>
    <cfRule type="containsText" dxfId="527" priority="140" operator="containsText" text="Facturé">
      <formula>NOT(ISERROR(SEARCH("Facturé",K150)))</formula>
    </cfRule>
    <cfRule type="containsText" dxfId="526" priority="141" operator="containsText" text="En cours">
      <formula>NOT(ISERROR(SEARCH("En cours",K150)))</formula>
    </cfRule>
    <cfRule type="containsText" dxfId="525" priority="142" operator="containsText" text="Perdu">
      <formula>NOT(ISERROR(SEARCH("Perdu",K150)))</formula>
    </cfRule>
    <cfRule type="containsText" dxfId="524" priority="143" operator="containsText" text="Perdu">
      <formula>NOT(ISERROR(SEARCH("Perdu",K150)))</formula>
    </cfRule>
    <cfRule type="containsText" dxfId="523" priority="144" operator="containsText" text="Gagné">
      <formula>NOT(ISERROR(SEARCH("Gagné",K150)))</formula>
    </cfRule>
  </conditionalFormatting>
  <conditionalFormatting sqref="K180">
    <cfRule type="containsText" dxfId="522" priority="127" operator="containsText" text="facturé">
      <formula>NOT(ISERROR(SEARCH("facturé",K180)))</formula>
    </cfRule>
    <cfRule type="containsText" dxfId="521" priority="128" operator="containsText" text="Facturé">
      <formula>NOT(ISERROR(SEARCH("Facturé",K180)))</formula>
    </cfRule>
    <cfRule type="containsText" dxfId="520" priority="129" operator="containsText" text="En cours">
      <formula>NOT(ISERROR(SEARCH("En cours",K180)))</formula>
    </cfRule>
    <cfRule type="containsText" dxfId="519" priority="130" operator="containsText" text="Perdu">
      <formula>NOT(ISERROR(SEARCH("Perdu",K180)))</formula>
    </cfRule>
    <cfRule type="containsText" dxfId="518" priority="131" operator="containsText" text="Perdu">
      <formula>NOT(ISERROR(SEARCH("Perdu",K180)))</formula>
    </cfRule>
    <cfRule type="containsText" dxfId="517" priority="132" operator="containsText" text="Gagné">
      <formula>NOT(ISERROR(SEARCH("Gagné",K180)))</formula>
    </cfRule>
  </conditionalFormatting>
  <conditionalFormatting sqref="K181">
    <cfRule type="containsText" dxfId="516" priority="121" operator="containsText" text="facturé">
      <formula>NOT(ISERROR(SEARCH("facturé",K181)))</formula>
    </cfRule>
    <cfRule type="containsText" dxfId="515" priority="122" operator="containsText" text="Facturé">
      <formula>NOT(ISERROR(SEARCH("Facturé",K181)))</formula>
    </cfRule>
    <cfRule type="containsText" dxfId="514" priority="123" operator="containsText" text="En cours">
      <formula>NOT(ISERROR(SEARCH("En cours",K181)))</formula>
    </cfRule>
    <cfRule type="containsText" dxfId="513" priority="124" operator="containsText" text="Perdu">
      <formula>NOT(ISERROR(SEARCH("Perdu",K181)))</formula>
    </cfRule>
    <cfRule type="containsText" dxfId="512" priority="125" operator="containsText" text="Perdu">
      <formula>NOT(ISERROR(SEARCH("Perdu",K181)))</formula>
    </cfRule>
    <cfRule type="containsText" dxfId="511" priority="126" operator="containsText" text="Gagné">
      <formula>NOT(ISERROR(SEARCH("Gagné",K181)))</formula>
    </cfRule>
  </conditionalFormatting>
  <conditionalFormatting sqref="K183">
    <cfRule type="containsText" dxfId="510" priority="115" operator="containsText" text="facturé">
      <formula>NOT(ISERROR(SEARCH("facturé",K183)))</formula>
    </cfRule>
    <cfRule type="containsText" dxfId="509" priority="116" operator="containsText" text="Facturé">
      <formula>NOT(ISERROR(SEARCH("Facturé",K183)))</formula>
    </cfRule>
    <cfRule type="containsText" dxfId="508" priority="117" operator="containsText" text="En cours">
      <formula>NOT(ISERROR(SEARCH("En cours",K183)))</formula>
    </cfRule>
    <cfRule type="containsText" dxfId="507" priority="118" operator="containsText" text="Perdu">
      <formula>NOT(ISERROR(SEARCH("Perdu",K183)))</formula>
    </cfRule>
    <cfRule type="containsText" dxfId="506" priority="119" operator="containsText" text="Perdu">
      <formula>NOT(ISERROR(SEARCH("Perdu",K183)))</formula>
    </cfRule>
    <cfRule type="containsText" dxfId="505" priority="120" operator="containsText" text="Gagné">
      <formula>NOT(ISERROR(SEARCH("Gagné",K183)))</formula>
    </cfRule>
  </conditionalFormatting>
  <conditionalFormatting sqref="K22:K23">
    <cfRule type="containsText" dxfId="504" priority="109" operator="containsText" text="facturé">
      <formula>NOT(ISERROR(SEARCH("facturé",K22)))</formula>
    </cfRule>
    <cfRule type="containsText" dxfId="503" priority="110" operator="containsText" text="Facturé">
      <formula>NOT(ISERROR(SEARCH("Facturé",K22)))</formula>
    </cfRule>
    <cfRule type="containsText" dxfId="502" priority="111" operator="containsText" text="En cours">
      <formula>NOT(ISERROR(SEARCH("En cours",K22)))</formula>
    </cfRule>
    <cfRule type="containsText" dxfId="501" priority="112" operator="containsText" text="Perdu">
      <formula>NOT(ISERROR(SEARCH("Perdu",K22)))</formula>
    </cfRule>
    <cfRule type="containsText" dxfId="500" priority="113" operator="containsText" text="Perdu">
      <formula>NOT(ISERROR(SEARCH("Perdu",K22)))</formula>
    </cfRule>
    <cfRule type="containsText" dxfId="499" priority="114" operator="containsText" text="Gagné">
      <formula>NOT(ISERROR(SEARCH("Gagné",K22)))</formula>
    </cfRule>
  </conditionalFormatting>
  <conditionalFormatting sqref="K24:K27">
    <cfRule type="containsText" dxfId="498" priority="103" operator="containsText" text="facturé">
      <formula>NOT(ISERROR(SEARCH("facturé",K24)))</formula>
    </cfRule>
    <cfRule type="containsText" dxfId="497" priority="104" operator="containsText" text="Facturé">
      <formula>NOT(ISERROR(SEARCH("Facturé",K24)))</formula>
    </cfRule>
    <cfRule type="containsText" dxfId="496" priority="105" operator="containsText" text="En cours">
      <formula>NOT(ISERROR(SEARCH("En cours",K24)))</formula>
    </cfRule>
    <cfRule type="containsText" dxfId="495" priority="106" operator="containsText" text="Perdu">
      <formula>NOT(ISERROR(SEARCH("Perdu",K24)))</formula>
    </cfRule>
    <cfRule type="containsText" dxfId="494" priority="107" operator="containsText" text="Perdu">
      <formula>NOT(ISERROR(SEARCH("Perdu",K24)))</formula>
    </cfRule>
    <cfRule type="containsText" dxfId="493" priority="108" operator="containsText" text="Gagné">
      <formula>NOT(ISERROR(SEARCH("Gagné",K24)))</formula>
    </cfRule>
  </conditionalFormatting>
  <conditionalFormatting sqref="K30">
    <cfRule type="containsText" dxfId="492" priority="97" operator="containsText" text="facturé">
      <formula>NOT(ISERROR(SEARCH("facturé",K30)))</formula>
    </cfRule>
    <cfRule type="containsText" dxfId="491" priority="98" operator="containsText" text="Facturé">
      <formula>NOT(ISERROR(SEARCH("Facturé",K30)))</formula>
    </cfRule>
    <cfRule type="containsText" dxfId="490" priority="99" operator="containsText" text="En cours">
      <formula>NOT(ISERROR(SEARCH("En cours",K30)))</formula>
    </cfRule>
    <cfRule type="containsText" dxfId="489" priority="100" operator="containsText" text="Perdu">
      <formula>NOT(ISERROR(SEARCH("Perdu",K30)))</formula>
    </cfRule>
    <cfRule type="containsText" dxfId="488" priority="101" operator="containsText" text="Perdu">
      <formula>NOT(ISERROR(SEARCH("Perdu",K30)))</formula>
    </cfRule>
    <cfRule type="containsText" dxfId="487" priority="102" operator="containsText" text="Gagné">
      <formula>NOT(ISERROR(SEARCH("Gagné",K30)))</formula>
    </cfRule>
  </conditionalFormatting>
  <conditionalFormatting sqref="K65:K66">
    <cfRule type="containsText" dxfId="486" priority="91" operator="containsText" text="facturé">
      <formula>NOT(ISERROR(SEARCH("facturé",K65)))</formula>
    </cfRule>
    <cfRule type="containsText" dxfId="485" priority="92" operator="containsText" text="Facturé">
      <formula>NOT(ISERROR(SEARCH("Facturé",K65)))</formula>
    </cfRule>
    <cfRule type="containsText" dxfId="484" priority="93" operator="containsText" text="En cours">
      <formula>NOT(ISERROR(SEARCH("En cours",K65)))</formula>
    </cfRule>
    <cfRule type="containsText" dxfId="483" priority="94" operator="containsText" text="Perdu">
      <formula>NOT(ISERROR(SEARCH("Perdu",K65)))</formula>
    </cfRule>
    <cfRule type="containsText" dxfId="482" priority="95" operator="containsText" text="Perdu">
      <formula>NOT(ISERROR(SEARCH("Perdu",K65)))</formula>
    </cfRule>
    <cfRule type="containsText" dxfId="481" priority="96" operator="containsText" text="Gagné">
      <formula>NOT(ISERROR(SEARCH("Gagné",K65)))</formula>
    </cfRule>
  </conditionalFormatting>
  <conditionalFormatting sqref="K90">
    <cfRule type="containsText" dxfId="480" priority="85" operator="containsText" text="facturé">
      <formula>NOT(ISERROR(SEARCH("facturé",K90)))</formula>
    </cfRule>
    <cfRule type="containsText" dxfId="479" priority="86" operator="containsText" text="Facturé">
      <formula>NOT(ISERROR(SEARCH("Facturé",K90)))</formula>
    </cfRule>
    <cfRule type="containsText" dxfId="478" priority="87" operator="containsText" text="En cours">
      <formula>NOT(ISERROR(SEARCH("En cours",K90)))</formula>
    </cfRule>
    <cfRule type="containsText" dxfId="477" priority="88" operator="containsText" text="Perdu">
      <formula>NOT(ISERROR(SEARCH("Perdu",K90)))</formula>
    </cfRule>
    <cfRule type="containsText" dxfId="476" priority="89" operator="containsText" text="Perdu">
      <formula>NOT(ISERROR(SEARCH("Perdu",K90)))</formula>
    </cfRule>
    <cfRule type="containsText" dxfId="475" priority="90" operator="containsText" text="Gagné">
      <formula>NOT(ISERROR(SEARCH("Gagné",K90)))</formula>
    </cfRule>
  </conditionalFormatting>
  <conditionalFormatting sqref="K113">
    <cfRule type="containsText" dxfId="474" priority="73" operator="containsText" text="facturé">
      <formula>NOT(ISERROR(SEARCH("facturé",K113)))</formula>
    </cfRule>
    <cfRule type="containsText" dxfId="473" priority="74" operator="containsText" text="Facturé">
      <formula>NOT(ISERROR(SEARCH("Facturé",K113)))</formula>
    </cfRule>
    <cfRule type="containsText" dxfId="472" priority="75" operator="containsText" text="En cours">
      <formula>NOT(ISERROR(SEARCH("En cours",K113)))</formula>
    </cfRule>
    <cfRule type="containsText" dxfId="471" priority="76" operator="containsText" text="Perdu">
      <formula>NOT(ISERROR(SEARCH("Perdu",K113)))</formula>
    </cfRule>
    <cfRule type="containsText" dxfId="470" priority="77" operator="containsText" text="Perdu">
      <formula>NOT(ISERROR(SEARCH("Perdu",K113)))</formula>
    </cfRule>
    <cfRule type="containsText" dxfId="469" priority="78" operator="containsText" text="Gagné">
      <formula>NOT(ISERROR(SEARCH("Gagné",K113)))</formula>
    </cfRule>
  </conditionalFormatting>
  <conditionalFormatting sqref="K114">
    <cfRule type="containsText" dxfId="468" priority="67" operator="containsText" text="facturé">
      <formula>NOT(ISERROR(SEARCH("facturé",K114)))</formula>
    </cfRule>
    <cfRule type="containsText" dxfId="467" priority="68" operator="containsText" text="Facturé">
      <formula>NOT(ISERROR(SEARCH("Facturé",K114)))</formula>
    </cfRule>
    <cfRule type="containsText" dxfId="466" priority="69" operator="containsText" text="En cours">
      <formula>NOT(ISERROR(SEARCH("En cours",K114)))</formula>
    </cfRule>
    <cfRule type="containsText" dxfId="465" priority="70" operator="containsText" text="Perdu">
      <formula>NOT(ISERROR(SEARCH("Perdu",K114)))</formula>
    </cfRule>
    <cfRule type="containsText" dxfId="464" priority="71" operator="containsText" text="Perdu">
      <formula>NOT(ISERROR(SEARCH("Perdu",K114)))</formula>
    </cfRule>
    <cfRule type="containsText" dxfId="463" priority="72" operator="containsText" text="Gagné">
      <formula>NOT(ISERROR(SEARCH("Gagné",K114)))</formula>
    </cfRule>
  </conditionalFormatting>
  <conditionalFormatting sqref="K161">
    <cfRule type="containsText" dxfId="462" priority="61" operator="containsText" text="facturé">
      <formula>NOT(ISERROR(SEARCH("facturé",K161)))</formula>
    </cfRule>
    <cfRule type="containsText" dxfId="461" priority="62" operator="containsText" text="Facturé">
      <formula>NOT(ISERROR(SEARCH("Facturé",K161)))</formula>
    </cfRule>
    <cfRule type="containsText" dxfId="460" priority="63" operator="containsText" text="En cours">
      <formula>NOT(ISERROR(SEARCH("En cours",K161)))</formula>
    </cfRule>
    <cfRule type="containsText" dxfId="459" priority="64" operator="containsText" text="Perdu">
      <formula>NOT(ISERROR(SEARCH("Perdu",K161)))</formula>
    </cfRule>
    <cfRule type="containsText" dxfId="458" priority="65" operator="containsText" text="Perdu">
      <formula>NOT(ISERROR(SEARCH("Perdu",K161)))</formula>
    </cfRule>
    <cfRule type="containsText" dxfId="457" priority="66" operator="containsText" text="Gagné">
      <formula>NOT(ISERROR(SEARCH("Gagné",K161)))</formula>
    </cfRule>
  </conditionalFormatting>
  <conditionalFormatting sqref="K141">
    <cfRule type="containsText" dxfId="456" priority="55" operator="containsText" text="facturé">
      <formula>NOT(ISERROR(SEARCH("facturé",K141)))</formula>
    </cfRule>
    <cfRule type="containsText" dxfId="455" priority="56" operator="containsText" text="Facturé">
      <formula>NOT(ISERROR(SEARCH("Facturé",K141)))</formula>
    </cfRule>
    <cfRule type="containsText" dxfId="454" priority="57" operator="containsText" text="En cours">
      <formula>NOT(ISERROR(SEARCH("En cours",K141)))</formula>
    </cfRule>
    <cfRule type="containsText" dxfId="453" priority="58" operator="containsText" text="Perdu">
      <formula>NOT(ISERROR(SEARCH("Perdu",K141)))</formula>
    </cfRule>
    <cfRule type="containsText" dxfId="452" priority="59" operator="containsText" text="Perdu">
      <formula>NOT(ISERROR(SEARCH("Perdu",K141)))</formula>
    </cfRule>
    <cfRule type="containsText" dxfId="451" priority="60" operator="containsText" text="Gagné">
      <formula>NOT(ISERROR(SEARCH("Gagné",K141)))</formula>
    </cfRule>
  </conditionalFormatting>
  <conditionalFormatting sqref="K148">
    <cfRule type="containsText" dxfId="450" priority="49" operator="containsText" text="facturé">
      <formula>NOT(ISERROR(SEARCH("facturé",K148)))</formula>
    </cfRule>
    <cfRule type="containsText" dxfId="449" priority="50" operator="containsText" text="Facturé">
      <formula>NOT(ISERROR(SEARCH("Facturé",K148)))</formula>
    </cfRule>
    <cfRule type="containsText" dxfId="448" priority="51" operator="containsText" text="En cours">
      <formula>NOT(ISERROR(SEARCH("En cours",K148)))</formula>
    </cfRule>
    <cfRule type="containsText" dxfId="447" priority="52" operator="containsText" text="Perdu">
      <formula>NOT(ISERROR(SEARCH("Perdu",K148)))</formula>
    </cfRule>
    <cfRule type="containsText" dxfId="446" priority="53" operator="containsText" text="Perdu">
      <formula>NOT(ISERROR(SEARCH("Perdu",K148)))</formula>
    </cfRule>
    <cfRule type="containsText" dxfId="445" priority="54" operator="containsText" text="Gagné">
      <formula>NOT(ISERROR(SEARCH("Gagné",K148)))</formula>
    </cfRule>
  </conditionalFormatting>
  <conditionalFormatting sqref="K155">
    <cfRule type="containsText" dxfId="444" priority="43" operator="containsText" text="facturé">
      <formula>NOT(ISERROR(SEARCH("facturé",K155)))</formula>
    </cfRule>
    <cfRule type="containsText" dxfId="443" priority="44" operator="containsText" text="Facturé">
      <formula>NOT(ISERROR(SEARCH("Facturé",K155)))</formula>
    </cfRule>
    <cfRule type="containsText" dxfId="442" priority="45" operator="containsText" text="En cours">
      <formula>NOT(ISERROR(SEARCH("En cours",K155)))</formula>
    </cfRule>
    <cfRule type="containsText" dxfId="441" priority="46" operator="containsText" text="Perdu">
      <formula>NOT(ISERROR(SEARCH("Perdu",K155)))</formula>
    </cfRule>
    <cfRule type="containsText" dxfId="440" priority="47" operator="containsText" text="Perdu">
      <formula>NOT(ISERROR(SEARCH("Perdu",K155)))</formula>
    </cfRule>
    <cfRule type="containsText" dxfId="439" priority="48" operator="containsText" text="Gagné">
      <formula>NOT(ISERROR(SEARCH("Gagné",K155)))</formula>
    </cfRule>
  </conditionalFormatting>
  <conditionalFormatting sqref="K164:K167">
    <cfRule type="containsText" dxfId="438" priority="37" operator="containsText" text="facturé">
      <formula>NOT(ISERROR(SEARCH("facturé",K164)))</formula>
    </cfRule>
    <cfRule type="containsText" dxfId="437" priority="38" operator="containsText" text="Facturé">
      <formula>NOT(ISERROR(SEARCH("Facturé",K164)))</formula>
    </cfRule>
    <cfRule type="containsText" dxfId="436" priority="39" operator="containsText" text="En cours">
      <formula>NOT(ISERROR(SEARCH("En cours",K164)))</formula>
    </cfRule>
    <cfRule type="containsText" dxfId="435" priority="40" operator="containsText" text="Perdu">
      <formula>NOT(ISERROR(SEARCH("Perdu",K164)))</formula>
    </cfRule>
    <cfRule type="containsText" dxfId="434" priority="41" operator="containsText" text="Perdu">
      <formula>NOT(ISERROR(SEARCH("Perdu",K164)))</formula>
    </cfRule>
    <cfRule type="containsText" dxfId="433" priority="42" operator="containsText" text="Gagné">
      <formula>NOT(ISERROR(SEARCH("Gagné",K164)))</formula>
    </cfRule>
  </conditionalFormatting>
  <conditionalFormatting sqref="K177">
    <cfRule type="containsText" dxfId="432" priority="31" operator="containsText" text="facturé">
      <formula>NOT(ISERROR(SEARCH("facturé",K177)))</formula>
    </cfRule>
    <cfRule type="containsText" dxfId="431" priority="32" operator="containsText" text="Facturé">
      <formula>NOT(ISERROR(SEARCH("Facturé",K177)))</formula>
    </cfRule>
    <cfRule type="containsText" dxfId="430" priority="33" operator="containsText" text="En cours">
      <formula>NOT(ISERROR(SEARCH("En cours",K177)))</formula>
    </cfRule>
    <cfRule type="containsText" dxfId="429" priority="34" operator="containsText" text="Perdu">
      <formula>NOT(ISERROR(SEARCH("Perdu",K177)))</formula>
    </cfRule>
    <cfRule type="containsText" dxfId="428" priority="35" operator="containsText" text="Perdu">
      <formula>NOT(ISERROR(SEARCH("Perdu",K177)))</formula>
    </cfRule>
    <cfRule type="containsText" dxfId="427" priority="36" operator="containsText" text="Gagné">
      <formula>NOT(ISERROR(SEARCH("Gagné",K177)))</formula>
    </cfRule>
  </conditionalFormatting>
  <conditionalFormatting sqref="K182">
    <cfRule type="containsText" dxfId="426" priority="25" operator="containsText" text="facturé">
      <formula>NOT(ISERROR(SEARCH("facturé",K182)))</formula>
    </cfRule>
    <cfRule type="containsText" dxfId="425" priority="26" operator="containsText" text="Facturé">
      <formula>NOT(ISERROR(SEARCH("Facturé",K182)))</formula>
    </cfRule>
    <cfRule type="containsText" dxfId="424" priority="27" operator="containsText" text="En cours">
      <formula>NOT(ISERROR(SEARCH("En cours",K182)))</formula>
    </cfRule>
    <cfRule type="containsText" dxfId="423" priority="28" operator="containsText" text="Perdu">
      <formula>NOT(ISERROR(SEARCH("Perdu",K182)))</formula>
    </cfRule>
    <cfRule type="containsText" dxfId="422" priority="29" operator="containsText" text="Perdu">
      <formula>NOT(ISERROR(SEARCH("Perdu",K182)))</formula>
    </cfRule>
    <cfRule type="containsText" dxfId="421" priority="30" operator="containsText" text="Gagné">
      <formula>NOT(ISERROR(SEARCH("Gagné",K182)))</formula>
    </cfRule>
  </conditionalFormatting>
  <conditionalFormatting sqref="K188:K189">
    <cfRule type="containsText" dxfId="420" priority="19" operator="containsText" text="facturé">
      <formula>NOT(ISERROR(SEARCH("facturé",K188)))</formula>
    </cfRule>
    <cfRule type="containsText" dxfId="419" priority="20" operator="containsText" text="Facturé">
      <formula>NOT(ISERROR(SEARCH("Facturé",K188)))</formula>
    </cfRule>
    <cfRule type="containsText" dxfId="418" priority="21" operator="containsText" text="En cours">
      <formula>NOT(ISERROR(SEARCH("En cours",K188)))</formula>
    </cfRule>
    <cfRule type="containsText" dxfId="417" priority="22" operator="containsText" text="Perdu">
      <formula>NOT(ISERROR(SEARCH("Perdu",K188)))</formula>
    </cfRule>
    <cfRule type="containsText" dxfId="416" priority="23" operator="containsText" text="Perdu">
      <formula>NOT(ISERROR(SEARCH("Perdu",K188)))</formula>
    </cfRule>
    <cfRule type="containsText" dxfId="415" priority="24" operator="containsText" text="Gagné">
      <formula>NOT(ISERROR(SEARCH("Gagné",K188)))</formula>
    </cfRule>
  </conditionalFormatting>
  <conditionalFormatting sqref="K191:K192">
    <cfRule type="containsText" dxfId="414" priority="13" operator="containsText" text="facturé">
      <formula>NOT(ISERROR(SEARCH("facturé",K191)))</formula>
    </cfRule>
    <cfRule type="containsText" dxfId="413" priority="14" operator="containsText" text="Facturé">
      <formula>NOT(ISERROR(SEARCH("Facturé",K191)))</formula>
    </cfRule>
    <cfRule type="containsText" dxfId="412" priority="15" operator="containsText" text="En cours">
      <formula>NOT(ISERROR(SEARCH("En cours",K191)))</formula>
    </cfRule>
    <cfRule type="containsText" dxfId="411" priority="16" operator="containsText" text="Perdu">
      <formula>NOT(ISERROR(SEARCH("Perdu",K191)))</formula>
    </cfRule>
    <cfRule type="containsText" dxfId="410" priority="17" operator="containsText" text="Perdu">
      <formula>NOT(ISERROR(SEARCH("Perdu",K191)))</formula>
    </cfRule>
    <cfRule type="containsText" dxfId="409" priority="18" operator="containsText" text="Gagné">
      <formula>NOT(ISERROR(SEARCH("Gagné",K191)))</formula>
    </cfRule>
  </conditionalFormatting>
  <conditionalFormatting sqref="K201">
    <cfRule type="containsText" dxfId="408" priority="7" operator="containsText" text="facturé">
      <formula>NOT(ISERROR(SEARCH("facturé",K201)))</formula>
    </cfRule>
    <cfRule type="containsText" dxfId="407" priority="8" operator="containsText" text="Facturé">
      <formula>NOT(ISERROR(SEARCH("Facturé",K201)))</formula>
    </cfRule>
    <cfRule type="containsText" dxfId="406" priority="9" operator="containsText" text="En cours">
      <formula>NOT(ISERROR(SEARCH("En cours",K201)))</formula>
    </cfRule>
    <cfRule type="containsText" dxfId="405" priority="10" operator="containsText" text="Perdu">
      <formula>NOT(ISERROR(SEARCH("Perdu",K201)))</formula>
    </cfRule>
    <cfRule type="containsText" dxfId="404" priority="11" operator="containsText" text="Perdu">
      <formula>NOT(ISERROR(SEARCH("Perdu",K201)))</formula>
    </cfRule>
    <cfRule type="containsText" dxfId="403" priority="12" operator="containsText" text="Gagné">
      <formula>NOT(ISERROR(SEARCH("Gagné",K201)))</formula>
    </cfRule>
  </conditionalFormatting>
  <conditionalFormatting sqref="K207">
    <cfRule type="containsText" dxfId="402" priority="1" operator="containsText" text="facturé">
      <formula>NOT(ISERROR(SEARCH("facturé",K207)))</formula>
    </cfRule>
    <cfRule type="containsText" dxfId="401" priority="2" operator="containsText" text="Facturé">
      <formula>NOT(ISERROR(SEARCH("Facturé",K207)))</formula>
    </cfRule>
    <cfRule type="containsText" dxfId="400" priority="3" operator="containsText" text="En cours">
      <formula>NOT(ISERROR(SEARCH("En cours",K207)))</formula>
    </cfRule>
    <cfRule type="containsText" dxfId="399" priority="4" operator="containsText" text="Perdu">
      <formula>NOT(ISERROR(SEARCH("Perdu",K207)))</formula>
    </cfRule>
    <cfRule type="containsText" dxfId="398" priority="5" operator="containsText" text="Perdu">
      <formula>NOT(ISERROR(SEARCH("Perdu",K207)))</formula>
    </cfRule>
    <cfRule type="containsText" dxfId="397" priority="6" operator="containsText" text="Gagné">
      <formula>NOT(ISERROR(SEARCH("Gagné",K207)))</formula>
    </cfRule>
  </conditionalFormatting>
  <dataValidations count="1">
    <dataValidation type="list" sqref="K8:K221" xr:uid="{00000000-0002-0000-0000-000000000000}">
      <formula1>"Gagné, Perdu, En cours, Annulé, Facturé"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 filterMode="1"/>
  <dimension ref="A3:EL414"/>
  <sheetViews>
    <sheetView tabSelected="1" topLeftCell="A5" zoomScale="68" zoomScaleNormal="85" workbookViewId="0">
      <pane ySplit="5" topLeftCell="A373" activePane="bottomLeft" state="frozen"/>
      <selection activeCell="A5" sqref="A5"/>
      <selection pane="bottomLeft" activeCell="A374" sqref="A374"/>
    </sheetView>
  </sheetViews>
  <sheetFormatPr baseColWidth="10" defaultColWidth="11.44140625" defaultRowHeight="14.4" x14ac:dyDescent="0.3"/>
  <cols>
    <col min="1" max="1" width="16.88671875" style="54" customWidth="1"/>
    <col min="2" max="2" width="8.6640625" style="54" customWidth="1"/>
    <col min="3" max="3" width="23.109375" style="54" customWidth="1"/>
    <col min="4" max="4" width="35.44140625" style="54" customWidth="1"/>
    <col min="5" max="5" width="11.44140625" style="54"/>
    <col min="6" max="6" width="27.44140625" style="54" customWidth="1"/>
    <col min="7" max="7" width="24.44140625" style="54" customWidth="1"/>
    <col min="8" max="8" width="17" style="54" customWidth="1"/>
    <col min="9" max="17" width="11.44140625" style="54"/>
    <col min="18" max="18" width="31.44140625" style="54" customWidth="1"/>
    <col min="19" max="16384" width="11.44140625" style="54"/>
  </cols>
  <sheetData>
    <row r="3" spans="1:19" ht="28.8" x14ac:dyDescent="0.55000000000000004">
      <c r="A3" s="191" t="s">
        <v>10</v>
      </c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</row>
    <row r="4" spans="1:19" ht="21" x14ac:dyDescent="0.4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</row>
    <row r="5" spans="1:19" ht="21" x14ac:dyDescent="0.4">
      <c r="A5" s="55"/>
      <c r="B5" s="55"/>
      <c r="C5" s="55"/>
      <c r="D5" s="193" t="s">
        <v>239</v>
      </c>
      <c r="E5" s="193"/>
      <c r="F5" s="193"/>
      <c r="G5" s="193"/>
      <c r="H5" s="193"/>
      <c r="I5" s="193"/>
      <c r="J5" s="193"/>
      <c r="K5" s="193"/>
      <c r="L5" s="193"/>
      <c r="M5" s="193"/>
      <c r="N5" s="55"/>
      <c r="O5" s="55"/>
      <c r="P5" s="55"/>
    </row>
    <row r="6" spans="1:19" ht="21" x14ac:dyDescent="0.4">
      <c r="A6" s="55"/>
      <c r="B6" s="55"/>
      <c r="C6" s="55"/>
      <c r="D6" s="193"/>
      <c r="E6" s="193"/>
      <c r="F6" s="193"/>
      <c r="G6" s="193"/>
      <c r="H6" s="193"/>
      <c r="I6" s="193"/>
      <c r="J6" s="193"/>
      <c r="K6" s="193"/>
      <c r="L6" s="193"/>
      <c r="M6" s="193"/>
      <c r="N6" s="55"/>
      <c r="O6" s="55"/>
      <c r="P6" s="55"/>
    </row>
    <row r="7" spans="1:19" ht="21" x14ac:dyDescent="0.4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</row>
    <row r="9" spans="1:19" ht="41.4" x14ac:dyDescent="0.3">
      <c r="A9" s="56" t="s">
        <v>0</v>
      </c>
      <c r="B9" s="56" t="s">
        <v>18</v>
      </c>
      <c r="C9" s="56" t="s">
        <v>1</v>
      </c>
      <c r="D9" s="56" t="s">
        <v>21</v>
      </c>
      <c r="E9" s="83" t="s">
        <v>26</v>
      </c>
      <c r="F9" s="56" t="s">
        <v>3</v>
      </c>
      <c r="G9" s="56" t="s">
        <v>22</v>
      </c>
      <c r="H9" s="56" t="s">
        <v>5</v>
      </c>
      <c r="I9" s="57" t="s">
        <v>13</v>
      </c>
      <c r="J9" s="57" t="s">
        <v>19</v>
      </c>
      <c r="K9" s="57" t="s">
        <v>20</v>
      </c>
      <c r="L9" s="57" t="s">
        <v>14</v>
      </c>
      <c r="M9" s="57" t="s">
        <v>15</v>
      </c>
      <c r="N9" s="57" t="s">
        <v>16</v>
      </c>
      <c r="O9" s="56" t="s">
        <v>8</v>
      </c>
      <c r="P9" s="56" t="s">
        <v>9</v>
      </c>
      <c r="Q9" s="56" t="s">
        <v>11</v>
      </c>
      <c r="R9" s="57" t="s">
        <v>12</v>
      </c>
    </row>
    <row r="10" spans="1:19" ht="24" hidden="1" customHeight="1" x14ac:dyDescent="0.3">
      <c r="A10" s="104" t="s">
        <v>240</v>
      </c>
      <c r="B10" s="105"/>
      <c r="C10" s="106" t="s">
        <v>863</v>
      </c>
      <c r="D10" s="107" t="s">
        <v>864</v>
      </c>
      <c r="E10" s="108"/>
      <c r="F10" s="106" t="s">
        <v>865</v>
      </c>
      <c r="G10" s="106" t="s">
        <v>866</v>
      </c>
      <c r="H10" s="106" t="s">
        <v>869</v>
      </c>
      <c r="I10" s="109">
        <v>213</v>
      </c>
      <c r="J10" s="109">
        <f t="shared" ref="J10:J64" si="0">SUM(I10*0.2)</f>
        <v>42.6</v>
      </c>
      <c r="K10" s="109">
        <f t="shared" ref="K10:K64" si="1">SUM(I10+J10)</f>
        <v>255.6</v>
      </c>
      <c r="L10" s="110"/>
      <c r="M10" s="111"/>
      <c r="N10" s="110">
        <f t="shared" ref="N10:N64" si="2">SUM(L10*M10)</f>
        <v>0</v>
      </c>
      <c r="O10" s="112" t="s">
        <v>1924</v>
      </c>
      <c r="P10" s="113" t="s">
        <v>950</v>
      </c>
      <c r="Q10" s="114">
        <v>43498</v>
      </c>
      <c r="R10" s="107"/>
    </row>
    <row r="11" spans="1:19" ht="24" hidden="1" customHeight="1" x14ac:dyDescent="0.3">
      <c r="A11" s="104" t="s">
        <v>241</v>
      </c>
      <c r="B11" s="105"/>
      <c r="C11" s="107" t="s">
        <v>897</v>
      </c>
      <c r="D11" s="107" t="s">
        <v>899</v>
      </c>
      <c r="E11" s="116"/>
      <c r="F11" s="107" t="s">
        <v>886</v>
      </c>
      <c r="G11" s="106" t="s">
        <v>898</v>
      </c>
      <c r="H11" s="117" t="s">
        <v>900</v>
      </c>
      <c r="I11" s="109">
        <v>3630</v>
      </c>
      <c r="J11" s="109">
        <f t="shared" si="0"/>
        <v>726</v>
      </c>
      <c r="K11" s="109">
        <f t="shared" si="1"/>
        <v>4356</v>
      </c>
      <c r="L11" s="110">
        <v>40</v>
      </c>
      <c r="M11" s="111">
        <v>24</v>
      </c>
      <c r="N11" s="110">
        <f t="shared" si="2"/>
        <v>960</v>
      </c>
      <c r="O11" s="112">
        <v>43468</v>
      </c>
      <c r="P11" s="113" t="s">
        <v>950</v>
      </c>
      <c r="Q11" s="114">
        <v>43499</v>
      </c>
      <c r="R11" s="115" t="s">
        <v>901</v>
      </c>
    </row>
    <row r="12" spans="1:19" s="59" customFormat="1" ht="24" hidden="1" customHeight="1" x14ac:dyDescent="0.3">
      <c r="A12" s="104" t="s">
        <v>242</v>
      </c>
      <c r="B12" s="105"/>
      <c r="C12" s="107" t="s">
        <v>908</v>
      </c>
      <c r="D12" s="107" t="s">
        <v>909</v>
      </c>
      <c r="E12" s="116"/>
      <c r="F12" s="107" t="s">
        <v>865</v>
      </c>
      <c r="G12" s="106" t="s">
        <v>866</v>
      </c>
      <c r="H12" s="117" t="s">
        <v>914</v>
      </c>
      <c r="I12" s="109">
        <v>660</v>
      </c>
      <c r="J12" s="109">
        <f t="shared" si="0"/>
        <v>132</v>
      </c>
      <c r="K12" s="109">
        <f t="shared" si="1"/>
        <v>792</v>
      </c>
      <c r="L12" s="110"/>
      <c r="M12" s="111"/>
      <c r="N12" s="110">
        <f t="shared" si="2"/>
        <v>0</v>
      </c>
      <c r="O12" s="112">
        <v>43473</v>
      </c>
      <c r="P12" s="113" t="s">
        <v>950</v>
      </c>
      <c r="Q12" s="114">
        <v>43504</v>
      </c>
      <c r="R12" s="115" t="s">
        <v>28</v>
      </c>
      <c r="S12" s="54"/>
    </row>
    <row r="13" spans="1:19" s="59" customFormat="1" ht="27" hidden="1" customHeight="1" x14ac:dyDescent="0.3">
      <c r="A13" s="104" t="s">
        <v>243</v>
      </c>
      <c r="B13" s="105"/>
      <c r="C13" s="107" t="s">
        <v>884</v>
      </c>
      <c r="D13" s="107" t="s">
        <v>910</v>
      </c>
      <c r="E13" s="116"/>
      <c r="F13" s="107" t="s">
        <v>903</v>
      </c>
      <c r="G13" s="106" t="s">
        <v>911</v>
      </c>
      <c r="H13" s="117" t="s">
        <v>912</v>
      </c>
      <c r="I13" s="109">
        <v>2640</v>
      </c>
      <c r="J13" s="109">
        <f t="shared" si="0"/>
        <v>528</v>
      </c>
      <c r="K13" s="109">
        <f t="shared" si="1"/>
        <v>3168</v>
      </c>
      <c r="L13" s="110">
        <v>58</v>
      </c>
      <c r="M13" s="111"/>
      <c r="N13" s="110">
        <f t="shared" si="2"/>
        <v>0</v>
      </c>
      <c r="O13" s="112">
        <v>43474</v>
      </c>
      <c r="P13" s="113" t="s">
        <v>950</v>
      </c>
      <c r="Q13" s="114">
        <v>43519</v>
      </c>
      <c r="R13" s="115" t="s">
        <v>913</v>
      </c>
      <c r="S13" s="54"/>
    </row>
    <row r="14" spans="1:19" ht="21.75" hidden="1" customHeight="1" x14ac:dyDescent="0.3">
      <c r="A14" s="104" t="s">
        <v>244</v>
      </c>
      <c r="B14" s="105"/>
      <c r="C14" s="106" t="s">
        <v>863</v>
      </c>
      <c r="D14" s="107" t="s">
        <v>864</v>
      </c>
      <c r="E14" s="108"/>
      <c r="F14" s="106" t="s">
        <v>865</v>
      </c>
      <c r="G14" s="106" t="s">
        <v>866</v>
      </c>
      <c r="H14" s="106" t="s">
        <v>869</v>
      </c>
      <c r="I14" s="109">
        <v>400</v>
      </c>
      <c r="J14" s="109">
        <f t="shared" si="0"/>
        <v>80</v>
      </c>
      <c r="K14" s="109">
        <f t="shared" si="1"/>
        <v>480</v>
      </c>
      <c r="L14" s="110"/>
      <c r="M14" s="111"/>
      <c r="N14" s="110">
        <f t="shared" si="2"/>
        <v>0</v>
      </c>
      <c r="O14" s="112">
        <v>43474</v>
      </c>
      <c r="P14" s="113" t="s">
        <v>950</v>
      </c>
      <c r="Q14" s="114">
        <v>43519</v>
      </c>
      <c r="R14" s="115" t="s">
        <v>30</v>
      </c>
    </row>
    <row r="15" spans="1:19" ht="24" hidden="1" customHeight="1" x14ac:dyDescent="0.3">
      <c r="A15" s="104" t="s">
        <v>245</v>
      </c>
      <c r="B15" s="105"/>
      <c r="C15" s="107" t="s">
        <v>891</v>
      </c>
      <c r="D15" s="107" t="s">
        <v>916</v>
      </c>
      <c r="E15" s="116"/>
      <c r="F15" s="107" t="s">
        <v>921</v>
      </c>
      <c r="G15" s="106" t="s">
        <v>918</v>
      </c>
      <c r="H15" s="117" t="s">
        <v>919</v>
      </c>
      <c r="I15" s="109">
        <v>22730</v>
      </c>
      <c r="J15" s="109">
        <f t="shared" si="0"/>
        <v>4546</v>
      </c>
      <c r="K15" s="109">
        <f t="shared" si="1"/>
        <v>27276</v>
      </c>
      <c r="L15" s="110">
        <v>65</v>
      </c>
      <c r="M15" s="111">
        <v>152</v>
      </c>
      <c r="N15" s="110">
        <f t="shared" si="2"/>
        <v>9880</v>
      </c>
      <c r="O15" s="112">
        <v>43474</v>
      </c>
      <c r="P15" s="113" t="s">
        <v>950</v>
      </c>
      <c r="Q15" s="114">
        <v>43519</v>
      </c>
      <c r="R15" s="115" t="s">
        <v>920</v>
      </c>
      <c r="S15" s="99">
        <f>I15*0.15</f>
        <v>3409.5</v>
      </c>
    </row>
    <row r="16" spans="1:19" ht="24" hidden="1" customHeight="1" x14ac:dyDescent="0.3">
      <c r="A16" s="104" t="s">
        <v>246</v>
      </c>
      <c r="B16" s="105"/>
      <c r="C16" s="107" t="s">
        <v>891</v>
      </c>
      <c r="D16" s="107" t="s">
        <v>916</v>
      </c>
      <c r="E16" s="116"/>
      <c r="F16" s="107" t="s">
        <v>917</v>
      </c>
      <c r="G16" s="106" t="s">
        <v>918</v>
      </c>
      <c r="H16" s="117" t="s">
        <v>919</v>
      </c>
      <c r="I16" s="109">
        <v>10600</v>
      </c>
      <c r="J16" s="109">
        <f t="shared" si="0"/>
        <v>2120</v>
      </c>
      <c r="K16" s="109">
        <f t="shared" si="1"/>
        <v>12720</v>
      </c>
      <c r="L16" s="110"/>
      <c r="M16" s="111"/>
      <c r="N16" s="110">
        <f t="shared" si="2"/>
        <v>0</v>
      </c>
      <c r="O16" s="112">
        <v>43474</v>
      </c>
      <c r="P16" s="113" t="s">
        <v>950</v>
      </c>
      <c r="Q16" s="114">
        <v>43519</v>
      </c>
      <c r="R16" s="115" t="s">
        <v>922</v>
      </c>
      <c r="S16" s="99">
        <f t="shared" ref="S16:S17" si="3">I16*0.15</f>
        <v>1590</v>
      </c>
    </row>
    <row r="17" spans="1:20" ht="24" hidden="1" customHeight="1" x14ac:dyDescent="0.3">
      <c r="A17" s="104" t="s">
        <v>247</v>
      </c>
      <c r="B17" s="105"/>
      <c r="C17" s="107" t="s">
        <v>891</v>
      </c>
      <c r="D17" s="107" t="s">
        <v>924</v>
      </c>
      <c r="E17" s="116"/>
      <c r="F17" s="107" t="s">
        <v>917</v>
      </c>
      <c r="G17" s="106" t="s">
        <v>923</v>
      </c>
      <c r="H17" s="117" t="s">
        <v>919</v>
      </c>
      <c r="I17" s="109">
        <v>8850</v>
      </c>
      <c r="J17" s="109">
        <f t="shared" si="0"/>
        <v>1770</v>
      </c>
      <c r="K17" s="109">
        <f t="shared" si="1"/>
        <v>10620</v>
      </c>
      <c r="L17" s="110"/>
      <c r="M17" s="111">
        <v>91</v>
      </c>
      <c r="N17" s="110">
        <f t="shared" si="2"/>
        <v>0</v>
      </c>
      <c r="O17" s="112">
        <v>43475</v>
      </c>
      <c r="P17" s="113" t="s">
        <v>950</v>
      </c>
      <c r="Q17" s="114">
        <v>43506</v>
      </c>
      <c r="R17" s="115" t="s">
        <v>925</v>
      </c>
      <c r="S17" s="99">
        <f t="shared" si="3"/>
        <v>1327.5</v>
      </c>
    </row>
    <row r="18" spans="1:20" ht="24" hidden="1" customHeight="1" x14ac:dyDescent="0.3">
      <c r="A18" s="104" t="s">
        <v>248</v>
      </c>
      <c r="B18" s="105"/>
      <c r="C18" s="107" t="s">
        <v>926</v>
      </c>
      <c r="D18" s="107" t="s">
        <v>927</v>
      </c>
      <c r="E18" s="116"/>
      <c r="F18" s="107" t="s">
        <v>917</v>
      </c>
      <c r="G18" s="106" t="s">
        <v>928</v>
      </c>
      <c r="H18" s="117" t="s">
        <v>929</v>
      </c>
      <c r="I18" s="109">
        <v>5615</v>
      </c>
      <c r="J18" s="109">
        <f t="shared" si="0"/>
        <v>1123</v>
      </c>
      <c r="K18" s="109">
        <f t="shared" si="1"/>
        <v>6738</v>
      </c>
      <c r="L18" s="110">
        <v>60</v>
      </c>
      <c r="M18" s="111">
        <v>45</v>
      </c>
      <c r="N18" s="110">
        <f t="shared" si="2"/>
        <v>2700</v>
      </c>
      <c r="O18" s="112">
        <v>43479</v>
      </c>
      <c r="P18" s="113" t="s">
        <v>950</v>
      </c>
      <c r="Q18" s="114">
        <v>43510</v>
      </c>
      <c r="R18" s="115" t="s">
        <v>930</v>
      </c>
    </row>
    <row r="19" spans="1:20" s="59" customFormat="1" ht="24" hidden="1" customHeight="1" x14ac:dyDescent="0.3">
      <c r="A19" s="104" t="s">
        <v>249</v>
      </c>
      <c r="B19" s="105"/>
      <c r="C19" s="107" t="s">
        <v>908</v>
      </c>
      <c r="D19" s="107" t="s">
        <v>932</v>
      </c>
      <c r="E19" s="116"/>
      <c r="F19" s="107" t="s">
        <v>933</v>
      </c>
      <c r="G19" s="106" t="s">
        <v>866</v>
      </c>
      <c r="H19" s="117" t="s">
        <v>934</v>
      </c>
      <c r="I19" s="109">
        <v>1375</v>
      </c>
      <c r="J19" s="109">
        <f t="shared" si="0"/>
        <v>275</v>
      </c>
      <c r="K19" s="109">
        <f t="shared" si="1"/>
        <v>1650</v>
      </c>
      <c r="L19" s="110"/>
      <c r="M19" s="111"/>
      <c r="N19" s="110">
        <f t="shared" si="2"/>
        <v>0</v>
      </c>
      <c r="O19" s="112">
        <v>43483</v>
      </c>
      <c r="P19" s="106" t="s">
        <v>950</v>
      </c>
      <c r="Q19" s="114">
        <v>43514</v>
      </c>
      <c r="R19" s="115" t="s">
        <v>29</v>
      </c>
    </row>
    <row r="20" spans="1:20" ht="24" hidden="1" customHeight="1" x14ac:dyDescent="0.3">
      <c r="A20" s="104" t="s">
        <v>250</v>
      </c>
      <c r="B20" s="105"/>
      <c r="C20" s="107" t="s">
        <v>944</v>
      </c>
      <c r="D20" s="107" t="s">
        <v>945</v>
      </c>
      <c r="E20" s="116"/>
      <c r="F20" s="107" t="s">
        <v>946</v>
      </c>
      <c r="G20" s="106" t="s">
        <v>945</v>
      </c>
      <c r="H20" s="117" t="s">
        <v>944</v>
      </c>
      <c r="I20" s="164">
        <v>90</v>
      </c>
      <c r="J20" s="109">
        <f t="shared" si="0"/>
        <v>18</v>
      </c>
      <c r="K20" s="109">
        <f t="shared" si="1"/>
        <v>108</v>
      </c>
      <c r="L20" s="110"/>
      <c r="M20" s="111"/>
      <c r="N20" s="110">
        <f t="shared" si="2"/>
        <v>0</v>
      </c>
      <c r="O20" s="112">
        <v>43488</v>
      </c>
      <c r="P20" s="106" t="s">
        <v>950</v>
      </c>
      <c r="Q20" s="114">
        <v>43519</v>
      </c>
      <c r="R20" s="115" t="s">
        <v>1399</v>
      </c>
    </row>
    <row r="21" spans="1:20" ht="24" hidden="1" customHeight="1" x14ac:dyDescent="0.3">
      <c r="A21" s="104" t="s">
        <v>251</v>
      </c>
      <c r="B21" s="105"/>
      <c r="C21" s="107" t="s">
        <v>908</v>
      </c>
      <c r="D21" s="107" t="s">
        <v>909</v>
      </c>
      <c r="E21" s="116"/>
      <c r="F21" s="107" t="s">
        <v>865</v>
      </c>
      <c r="G21" s="106" t="s">
        <v>866</v>
      </c>
      <c r="H21" s="117" t="s">
        <v>914</v>
      </c>
      <c r="I21" s="109">
        <v>465</v>
      </c>
      <c r="J21" s="109">
        <f t="shared" si="0"/>
        <v>93</v>
      </c>
      <c r="K21" s="109">
        <f t="shared" si="1"/>
        <v>558</v>
      </c>
      <c r="L21" s="110"/>
      <c r="M21" s="111"/>
      <c r="N21" s="110">
        <f t="shared" si="2"/>
        <v>0</v>
      </c>
      <c r="O21" s="112">
        <v>43493</v>
      </c>
      <c r="P21" s="106" t="s">
        <v>950</v>
      </c>
      <c r="Q21" s="114">
        <v>43524</v>
      </c>
      <c r="R21" s="115" t="s">
        <v>34</v>
      </c>
    </row>
    <row r="22" spans="1:20" ht="24" hidden="1" customHeight="1" x14ac:dyDescent="0.3">
      <c r="A22" s="121" t="s">
        <v>252</v>
      </c>
      <c r="B22" s="121"/>
      <c r="C22" s="148" t="s">
        <v>987</v>
      </c>
      <c r="D22" s="149" t="s">
        <v>942</v>
      </c>
      <c r="E22" s="148"/>
      <c r="F22" s="148" t="s">
        <v>938</v>
      </c>
      <c r="G22" s="148" t="s">
        <v>963</v>
      </c>
      <c r="H22" s="148" t="s">
        <v>969</v>
      </c>
      <c r="I22" s="150">
        <v>630</v>
      </c>
      <c r="J22" s="150">
        <f t="shared" si="0"/>
        <v>126</v>
      </c>
      <c r="K22" s="150">
        <f t="shared" si="1"/>
        <v>756</v>
      </c>
      <c r="L22" s="151"/>
      <c r="M22" s="152"/>
      <c r="N22" s="151">
        <f t="shared" si="2"/>
        <v>0</v>
      </c>
      <c r="O22" s="153">
        <v>43494</v>
      </c>
      <c r="P22" s="148" t="s">
        <v>950</v>
      </c>
      <c r="Q22" s="154">
        <v>43525</v>
      </c>
      <c r="R22" s="155" t="s">
        <v>35</v>
      </c>
    </row>
    <row r="23" spans="1:20" s="59" customFormat="1" ht="24" hidden="1" customHeight="1" x14ac:dyDescent="0.3">
      <c r="A23" s="104" t="s">
        <v>253</v>
      </c>
      <c r="B23" s="105"/>
      <c r="C23" s="107" t="s">
        <v>908</v>
      </c>
      <c r="D23" s="107" t="s">
        <v>909</v>
      </c>
      <c r="E23" s="116"/>
      <c r="F23" s="107" t="s">
        <v>865</v>
      </c>
      <c r="G23" s="106" t="s">
        <v>866</v>
      </c>
      <c r="H23" s="117" t="s">
        <v>914</v>
      </c>
      <c r="I23" s="109">
        <v>400</v>
      </c>
      <c r="J23" s="109">
        <f t="shared" si="0"/>
        <v>80</v>
      </c>
      <c r="K23" s="109">
        <f t="shared" si="1"/>
        <v>480</v>
      </c>
      <c r="L23" s="110"/>
      <c r="M23" s="111"/>
      <c r="N23" s="110">
        <f t="shared" si="2"/>
        <v>0</v>
      </c>
      <c r="O23" s="112">
        <v>43497</v>
      </c>
      <c r="P23" s="106" t="s">
        <v>950</v>
      </c>
      <c r="Q23" s="114">
        <v>43526</v>
      </c>
      <c r="R23" s="115" t="s">
        <v>1001</v>
      </c>
      <c r="S23" s="54"/>
      <c r="T23" s="54"/>
    </row>
    <row r="24" spans="1:20" ht="24" hidden="1" customHeight="1" x14ac:dyDescent="0.3">
      <c r="A24" s="104" t="s">
        <v>254</v>
      </c>
      <c r="B24" s="105"/>
      <c r="C24" s="107" t="s">
        <v>979</v>
      </c>
      <c r="D24" s="107" t="s">
        <v>1004</v>
      </c>
      <c r="E24" s="116" t="s">
        <v>1005</v>
      </c>
      <c r="F24" s="107" t="s">
        <v>1008</v>
      </c>
      <c r="G24" s="106" t="s">
        <v>1006</v>
      </c>
      <c r="H24" s="117" t="s">
        <v>1007</v>
      </c>
      <c r="I24" s="109">
        <v>1814.75</v>
      </c>
      <c r="J24" s="109">
        <v>362.95</v>
      </c>
      <c r="K24" s="109">
        <v>2177.6999999999998</v>
      </c>
      <c r="L24" s="110"/>
      <c r="M24" s="111"/>
      <c r="N24" s="110">
        <f t="shared" si="2"/>
        <v>0</v>
      </c>
      <c r="O24" s="112">
        <v>43497</v>
      </c>
      <c r="P24" s="106" t="s">
        <v>950</v>
      </c>
      <c r="Q24" s="114">
        <v>43526</v>
      </c>
      <c r="R24" s="115"/>
    </row>
    <row r="25" spans="1:20" ht="24" hidden="1" customHeight="1" x14ac:dyDescent="0.3">
      <c r="A25" s="104" t="s">
        <v>255</v>
      </c>
      <c r="B25" s="105"/>
      <c r="C25" s="107" t="s">
        <v>956</v>
      </c>
      <c r="D25" s="106" t="s">
        <v>1009</v>
      </c>
      <c r="E25" s="120"/>
      <c r="F25" s="107" t="s">
        <v>1010</v>
      </c>
      <c r="G25" s="106" t="s">
        <v>866</v>
      </c>
      <c r="H25" s="117" t="s">
        <v>1011</v>
      </c>
      <c r="I25" s="109">
        <v>235</v>
      </c>
      <c r="J25" s="109">
        <f t="shared" si="0"/>
        <v>47</v>
      </c>
      <c r="K25" s="109">
        <f t="shared" si="1"/>
        <v>282</v>
      </c>
      <c r="L25" s="110"/>
      <c r="M25" s="111"/>
      <c r="N25" s="110">
        <f t="shared" si="2"/>
        <v>0</v>
      </c>
      <c r="O25" s="112">
        <v>43497</v>
      </c>
      <c r="P25" s="106" t="s">
        <v>950</v>
      </c>
      <c r="Q25" s="114">
        <v>43498</v>
      </c>
      <c r="R25" s="115" t="s">
        <v>40</v>
      </c>
    </row>
    <row r="26" spans="1:20" ht="24" hidden="1" customHeight="1" x14ac:dyDescent="0.3">
      <c r="A26" s="104" t="s">
        <v>256</v>
      </c>
      <c r="B26" s="105"/>
      <c r="C26" s="107" t="s">
        <v>1012</v>
      </c>
      <c r="D26" s="106" t="s">
        <v>1013</v>
      </c>
      <c r="E26" s="106"/>
      <c r="F26" s="107" t="s">
        <v>933</v>
      </c>
      <c r="G26" s="106" t="s">
        <v>866</v>
      </c>
      <c r="H26" s="117" t="s">
        <v>1014</v>
      </c>
      <c r="I26" s="109">
        <v>1030</v>
      </c>
      <c r="J26" s="109">
        <f t="shared" si="0"/>
        <v>206</v>
      </c>
      <c r="K26" s="109">
        <f t="shared" si="1"/>
        <v>1236</v>
      </c>
      <c r="L26" s="110"/>
      <c r="M26" s="111"/>
      <c r="N26" s="110">
        <f t="shared" si="2"/>
        <v>0</v>
      </c>
      <c r="O26" s="112">
        <v>43501</v>
      </c>
      <c r="P26" s="106" t="s">
        <v>950</v>
      </c>
      <c r="Q26" s="114">
        <v>43529</v>
      </c>
      <c r="R26" s="115" t="s">
        <v>1015</v>
      </c>
    </row>
    <row r="27" spans="1:20" ht="24" hidden="1" customHeight="1" x14ac:dyDescent="0.3">
      <c r="A27" s="104" t="s">
        <v>257</v>
      </c>
      <c r="B27" s="105"/>
      <c r="C27" s="107" t="s">
        <v>1016</v>
      </c>
      <c r="D27" s="106" t="s">
        <v>1017</v>
      </c>
      <c r="E27" s="120"/>
      <c r="F27" s="107" t="s">
        <v>903</v>
      </c>
      <c r="G27" s="106" t="s">
        <v>1019</v>
      </c>
      <c r="H27" s="117" t="s">
        <v>1020</v>
      </c>
      <c r="I27" s="109">
        <v>1250</v>
      </c>
      <c r="J27" s="109">
        <f t="shared" si="0"/>
        <v>250</v>
      </c>
      <c r="K27" s="109">
        <f t="shared" si="1"/>
        <v>1500</v>
      </c>
      <c r="L27" s="110"/>
      <c r="M27" s="111"/>
      <c r="N27" s="110">
        <f t="shared" si="2"/>
        <v>0</v>
      </c>
      <c r="O27" s="112">
        <v>43501</v>
      </c>
      <c r="P27" s="106" t="s">
        <v>950</v>
      </c>
      <c r="Q27" s="114">
        <v>43529</v>
      </c>
      <c r="R27" s="115"/>
      <c r="S27" s="99">
        <f t="shared" ref="S27:S28" si="4">I27*0.15</f>
        <v>187.5</v>
      </c>
    </row>
    <row r="28" spans="1:20" ht="24" hidden="1" customHeight="1" x14ac:dyDescent="0.3">
      <c r="A28" s="104" t="s">
        <v>258</v>
      </c>
      <c r="B28" s="105"/>
      <c r="C28" s="107" t="s">
        <v>1016</v>
      </c>
      <c r="D28" s="106" t="s">
        <v>1017</v>
      </c>
      <c r="E28" s="120"/>
      <c r="F28" s="107" t="s">
        <v>1018</v>
      </c>
      <c r="G28" s="106" t="s">
        <v>1019</v>
      </c>
      <c r="H28" s="117" t="s">
        <v>1020</v>
      </c>
      <c r="I28" s="109">
        <v>645</v>
      </c>
      <c r="J28" s="109">
        <f t="shared" si="0"/>
        <v>129</v>
      </c>
      <c r="K28" s="109">
        <f t="shared" si="1"/>
        <v>774</v>
      </c>
      <c r="L28" s="110"/>
      <c r="M28" s="111"/>
      <c r="N28" s="110">
        <f t="shared" si="2"/>
        <v>0</v>
      </c>
      <c r="O28" s="112">
        <v>43501</v>
      </c>
      <c r="P28" s="106" t="s">
        <v>950</v>
      </c>
      <c r="Q28" s="114">
        <v>43529</v>
      </c>
      <c r="R28" s="115"/>
      <c r="S28" s="99">
        <f t="shared" si="4"/>
        <v>96.75</v>
      </c>
    </row>
    <row r="29" spans="1:20" ht="24" hidden="1" customHeight="1" x14ac:dyDescent="0.3">
      <c r="A29" s="104" t="s">
        <v>259</v>
      </c>
      <c r="B29" s="105"/>
      <c r="C29" s="107" t="s">
        <v>1022</v>
      </c>
      <c r="D29" s="106" t="s">
        <v>1023</v>
      </c>
      <c r="E29" s="120"/>
      <c r="F29" s="107" t="s">
        <v>1024</v>
      </c>
      <c r="G29" s="106" t="s">
        <v>1025</v>
      </c>
      <c r="H29" s="117" t="s">
        <v>1026</v>
      </c>
      <c r="I29" s="109">
        <v>5045</v>
      </c>
      <c r="J29" s="109">
        <f t="shared" si="0"/>
        <v>1009</v>
      </c>
      <c r="K29" s="109">
        <f t="shared" si="1"/>
        <v>6054</v>
      </c>
      <c r="L29" s="110"/>
      <c r="M29" s="111"/>
      <c r="N29" s="110">
        <f t="shared" si="2"/>
        <v>0</v>
      </c>
      <c r="O29" s="112">
        <v>43503</v>
      </c>
      <c r="P29" s="106" t="s">
        <v>950</v>
      </c>
      <c r="Q29" s="114">
        <v>43531</v>
      </c>
      <c r="R29" s="115" t="s">
        <v>1027</v>
      </c>
    </row>
    <row r="30" spans="1:20" ht="24" hidden="1" customHeight="1" x14ac:dyDescent="0.3">
      <c r="A30" s="104" t="s">
        <v>260</v>
      </c>
      <c r="B30" s="105"/>
      <c r="C30" s="107" t="s">
        <v>956</v>
      </c>
      <c r="D30" s="106" t="s">
        <v>1034</v>
      </c>
      <c r="E30" s="120"/>
      <c r="F30" s="107" t="s">
        <v>903</v>
      </c>
      <c r="G30" s="106" t="s">
        <v>866</v>
      </c>
      <c r="H30" s="117" t="s">
        <v>1011</v>
      </c>
      <c r="I30" s="109">
        <v>275</v>
      </c>
      <c r="J30" s="109">
        <f t="shared" si="0"/>
        <v>55</v>
      </c>
      <c r="K30" s="109">
        <f t="shared" si="1"/>
        <v>330</v>
      </c>
      <c r="L30" s="110"/>
      <c r="M30" s="111"/>
      <c r="N30" s="110">
        <f t="shared" si="2"/>
        <v>0</v>
      </c>
      <c r="O30" s="112">
        <v>43503</v>
      </c>
      <c r="P30" s="106" t="s">
        <v>950</v>
      </c>
      <c r="Q30" s="114">
        <v>43531</v>
      </c>
      <c r="R30" s="115" t="s">
        <v>1035</v>
      </c>
    </row>
    <row r="31" spans="1:20" ht="24" hidden="1" customHeight="1" x14ac:dyDescent="0.3">
      <c r="A31" s="104" t="s">
        <v>261</v>
      </c>
      <c r="B31" s="105"/>
      <c r="C31" s="107" t="s">
        <v>908</v>
      </c>
      <c r="D31" s="106" t="s">
        <v>1036</v>
      </c>
      <c r="E31" s="120"/>
      <c r="F31" s="107" t="s">
        <v>933</v>
      </c>
      <c r="G31" s="106" t="s">
        <v>866</v>
      </c>
      <c r="H31" s="117" t="s">
        <v>914</v>
      </c>
      <c r="I31" s="109">
        <v>1245</v>
      </c>
      <c r="J31" s="109">
        <f t="shared" si="0"/>
        <v>249</v>
      </c>
      <c r="K31" s="109">
        <f t="shared" si="1"/>
        <v>1494</v>
      </c>
      <c r="L31" s="110"/>
      <c r="M31" s="111"/>
      <c r="N31" s="110">
        <f t="shared" si="2"/>
        <v>0</v>
      </c>
      <c r="O31" s="112">
        <v>43504</v>
      </c>
      <c r="P31" s="106" t="s">
        <v>950</v>
      </c>
      <c r="Q31" s="114">
        <v>43504</v>
      </c>
      <c r="R31" s="106" t="s">
        <v>1037</v>
      </c>
    </row>
    <row r="32" spans="1:20" ht="24" hidden="1" customHeight="1" x14ac:dyDescent="0.3">
      <c r="A32" s="104" t="s">
        <v>262</v>
      </c>
      <c r="B32" s="105"/>
      <c r="C32" s="107" t="s">
        <v>1028</v>
      </c>
      <c r="D32" s="106" t="s">
        <v>1040</v>
      </c>
      <c r="E32" s="120"/>
      <c r="F32" s="107" t="s">
        <v>1030</v>
      </c>
      <c r="G32" s="106" t="s">
        <v>1031</v>
      </c>
      <c r="H32" s="117" t="s">
        <v>1041</v>
      </c>
      <c r="I32" s="109">
        <v>5550</v>
      </c>
      <c r="J32" s="109">
        <f t="shared" si="0"/>
        <v>1110</v>
      </c>
      <c r="K32" s="109">
        <f t="shared" si="1"/>
        <v>6660</v>
      </c>
      <c r="L32" s="110"/>
      <c r="M32" s="111"/>
      <c r="N32" s="110">
        <f t="shared" si="2"/>
        <v>0</v>
      </c>
      <c r="O32" s="112">
        <v>43508</v>
      </c>
      <c r="P32" s="106" t="s">
        <v>950</v>
      </c>
      <c r="Q32" s="114">
        <v>43556</v>
      </c>
      <c r="R32" s="106" t="s">
        <v>1042</v>
      </c>
    </row>
    <row r="33" spans="1:19" ht="24" hidden="1" customHeight="1" x14ac:dyDescent="0.3">
      <c r="A33" s="104" t="s">
        <v>1922</v>
      </c>
      <c r="B33" s="105"/>
      <c r="C33" s="107" t="s">
        <v>979</v>
      </c>
      <c r="D33" s="106" t="s">
        <v>1080</v>
      </c>
      <c r="E33" s="120"/>
      <c r="F33" s="107" t="s">
        <v>886</v>
      </c>
      <c r="G33" s="106" t="s">
        <v>1081</v>
      </c>
      <c r="H33" s="117" t="s">
        <v>1082</v>
      </c>
      <c r="I33" s="109">
        <v>909</v>
      </c>
      <c r="J33" s="109">
        <f t="shared" si="0"/>
        <v>181.8</v>
      </c>
      <c r="K33" s="109">
        <f t="shared" si="1"/>
        <v>1090.8</v>
      </c>
      <c r="L33" s="110"/>
      <c r="M33" s="111"/>
      <c r="N33" s="110">
        <f t="shared" si="2"/>
        <v>0</v>
      </c>
      <c r="O33" s="114">
        <v>43521</v>
      </c>
      <c r="P33" s="106" t="s">
        <v>950</v>
      </c>
      <c r="Q33" s="114">
        <v>43577</v>
      </c>
      <c r="R33" s="120">
        <v>928081</v>
      </c>
    </row>
    <row r="34" spans="1:19" ht="24" hidden="1" customHeight="1" x14ac:dyDescent="0.3">
      <c r="A34" s="104" t="s">
        <v>263</v>
      </c>
      <c r="B34" s="105"/>
      <c r="C34" s="107" t="s">
        <v>979</v>
      </c>
      <c r="D34" s="106" t="s">
        <v>1083</v>
      </c>
      <c r="E34" s="120"/>
      <c r="F34" s="107" t="s">
        <v>886</v>
      </c>
      <c r="G34" s="106" t="s">
        <v>1084</v>
      </c>
      <c r="H34" s="117" t="s">
        <v>1082</v>
      </c>
      <c r="I34" s="109">
        <v>1737</v>
      </c>
      <c r="J34" s="109">
        <f t="shared" si="0"/>
        <v>347.40000000000003</v>
      </c>
      <c r="K34" s="109">
        <f t="shared" si="1"/>
        <v>2084.4</v>
      </c>
      <c r="L34" s="110"/>
      <c r="M34" s="111"/>
      <c r="N34" s="110">
        <f t="shared" si="2"/>
        <v>0</v>
      </c>
      <c r="O34" s="114">
        <v>43521</v>
      </c>
      <c r="P34" s="106" t="s">
        <v>950</v>
      </c>
      <c r="Q34" s="114">
        <v>43577</v>
      </c>
      <c r="R34" s="120">
        <v>928091</v>
      </c>
    </row>
    <row r="35" spans="1:19" ht="24" hidden="1" customHeight="1" x14ac:dyDescent="0.3">
      <c r="A35" s="104" t="s">
        <v>264</v>
      </c>
      <c r="B35" s="105"/>
      <c r="C35" s="107" t="s">
        <v>1085</v>
      </c>
      <c r="D35" s="107" t="s">
        <v>1086</v>
      </c>
      <c r="E35" s="116"/>
      <c r="F35" s="107" t="s">
        <v>886</v>
      </c>
      <c r="G35" s="106" t="s">
        <v>1087</v>
      </c>
      <c r="H35" s="106" t="s">
        <v>1088</v>
      </c>
      <c r="I35" s="109">
        <v>3450</v>
      </c>
      <c r="J35" s="109">
        <f t="shared" si="0"/>
        <v>690</v>
      </c>
      <c r="K35" s="109">
        <f t="shared" si="1"/>
        <v>4140</v>
      </c>
      <c r="L35" s="110"/>
      <c r="M35" s="111"/>
      <c r="N35" s="110">
        <f t="shared" si="2"/>
        <v>0</v>
      </c>
      <c r="O35" s="114">
        <v>43523</v>
      </c>
      <c r="P35" s="106" t="s">
        <v>950</v>
      </c>
      <c r="Q35" s="114">
        <v>43551</v>
      </c>
      <c r="R35" s="115" t="s">
        <v>1089</v>
      </c>
      <c r="S35" s="99">
        <f>I35*0.05</f>
        <v>172.5</v>
      </c>
    </row>
    <row r="36" spans="1:19" ht="24" hidden="1" customHeight="1" x14ac:dyDescent="0.3">
      <c r="A36" s="104" t="s">
        <v>265</v>
      </c>
      <c r="B36" s="105"/>
      <c r="C36" s="107" t="s">
        <v>884</v>
      </c>
      <c r="D36" s="107" t="s">
        <v>910</v>
      </c>
      <c r="E36" s="116"/>
      <c r="F36" s="107" t="s">
        <v>903</v>
      </c>
      <c r="G36" s="106" t="s">
        <v>911</v>
      </c>
      <c r="H36" s="117" t="s">
        <v>912</v>
      </c>
      <c r="I36" s="109">
        <v>330</v>
      </c>
      <c r="J36" s="109">
        <f t="shared" ref="J36" si="5">SUM(I36*0.2)</f>
        <v>66</v>
      </c>
      <c r="K36" s="109">
        <f t="shared" ref="K36" si="6">SUM(I36+J36)</f>
        <v>396</v>
      </c>
      <c r="L36" s="110">
        <v>58</v>
      </c>
      <c r="M36" s="111"/>
      <c r="N36" s="110">
        <f t="shared" ref="N36" si="7">SUM(L36*M36)</f>
        <v>0</v>
      </c>
      <c r="O36" s="112">
        <v>43523</v>
      </c>
      <c r="P36" s="113" t="s">
        <v>950</v>
      </c>
      <c r="Q36" s="114">
        <v>43551</v>
      </c>
      <c r="R36" s="115" t="s">
        <v>1090</v>
      </c>
    </row>
    <row r="37" spans="1:19" ht="24" hidden="1" customHeight="1" x14ac:dyDescent="0.3">
      <c r="A37" s="104" t="s">
        <v>266</v>
      </c>
      <c r="B37" s="105"/>
      <c r="C37" s="107" t="s">
        <v>979</v>
      </c>
      <c r="D37" s="107" t="s">
        <v>1004</v>
      </c>
      <c r="E37" s="116" t="s">
        <v>1005</v>
      </c>
      <c r="F37" s="107" t="s">
        <v>1101</v>
      </c>
      <c r="G37" s="106" t="s">
        <v>1006</v>
      </c>
      <c r="H37" s="117" t="s">
        <v>1007</v>
      </c>
      <c r="I37" s="109">
        <v>1814.75</v>
      </c>
      <c r="J37" s="109">
        <f t="shared" si="0"/>
        <v>362.95000000000005</v>
      </c>
      <c r="K37" s="109">
        <f t="shared" si="1"/>
        <v>2177.6999999999998</v>
      </c>
      <c r="L37" s="110"/>
      <c r="M37" s="111"/>
      <c r="N37" s="110">
        <f t="shared" si="2"/>
        <v>0</v>
      </c>
      <c r="O37" s="112">
        <v>43525</v>
      </c>
      <c r="P37" s="113" t="s">
        <v>950</v>
      </c>
      <c r="Q37" s="114">
        <v>43556</v>
      </c>
      <c r="R37" s="115"/>
    </row>
    <row r="38" spans="1:19" ht="24" hidden="1" customHeight="1" x14ac:dyDescent="0.3">
      <c r="A38" s="104" t="s">
        <v>267</v>
      </c>
      <c r="B38" s="105"/>
      <c r="C38" s="107" t="s">
        <v>956</v>
      </c>
      <c r="D38" s="107" t="s">
        <v>1034</v>
      </c>
      <c r="E38" s="120"/>
      <c r="F38" s="107" t="s">
        <v>903</v>
      </c>
      <c r="G38" s="106" t="s">
        <v>866</v>
      </c>
      <c r="H38" s="106" t="s">
        <v>1011</v>
      </c>
      <c r="I38" s="109">
        <v>3239</v>
      </c>
      <c r="J38" s="109">
        <f t="shared" si="0"/>
        <v>647.80000000000007</v>
      </c>
      <c r="K38" s="109">
        <f t="shared" si="1"/>
        <v>3886.8</v>
      </c>
      <c r="L38" s="110"/>
      <c r="M38" s="111"/>
      <c r="N38" s="110">
        <f t="shared" si="2"/>
        <v>0</v>
      </c>
      <c r="O38" s="114">
        <v>43528</v>
      </c>
      <c r="P38" s="106" t="s">
        <v>950</v>
      </c>
      <c r="Q38" s="114">
        <v>43559</v>
      </c>
      <c r="R38" s="115" t="s">
        <v>52</v>
      </c>
    </row>
    <row r="39" spans="1:19" ht="24" hidden="1" customHeight="1" x14ac:dyDescent="0.3">
      <c r="A39" s="104" t="s">
        <v>268</v>
      </c>
      <c r="B39" s="105"/>
      <c r="C39" s="107" t="s">
        <v>1096</v>
      </c>
      <c r="D39" s="107" t="s">
        <v>1097</v>
      </c>
      <c r="E39" s="107" t="s">
        <v>865</v>
      </c>
      <c r="F39" s="107" t="s">
        <v>865</v>
      </c>
      <c r="G39" s="107" t="s">
        <v>1109</v>
      </c>
      <c r="H39" s="107" t="s">
        <v>1098</v>
      </c>
      <c r="I39" s="109">
        <v>2950</v>
      </c>
      <c r="J39" s="109">
        <f t="shared" si="0"/>
        <v>590</v>
      </c>
      <c r="K39" s="109">
        <f t="shared" si="1"/>
        <v>3540</v>
      </c>
      <c r="L39" s="110"/>
      <c r="M39" s="111"/>
      <c r="N39" s="110">
        <f t="shared" si="2"/>
        <v>0</v>
      </c>
      <c r="O39" s="114">
        <v>43530</v>
      </c>
      <c r="P39" s="106" t="s">
        <v>950</v>
      </c>
      <c r="Q39" s="114">
        <v>43561</v>
      </c>
      <c r="R39" s="115" t="s">
        <v>1110</v>
      </c>
    </row>
    <row r="40" spans="1:19" ht="24" hidden="1" customHeight="1" x14ac:dyDescent="0.3">
      <c r="A40" s="104" t="s">
        <v>269</v>
      </c>
      <c r="B40" s="105"/>
      <c r="C40" s="107" t="s">
        <v>1028</v>
      </c>
      <c r="D40" s="107" t="s">
        <v>1116</v>
      </c>
      <c r="E40" s="120"/>
      <c r="F40" s="107" t="s">
        <v>1030</v>
      </c>
      <c r="G40" s="106" t="s">
        <v>1031</v>
      </c>
      <c r="H40" s="117" t="s">
        <v>1041</v>
      </c>
      <c r="I40" s="109">
        <v>4185</v>
      </c>
      <c r="J40" s="109">
        <f t="shared" si="0"/>
        <v>837</v>
      </c>
      <c r="K40" s="109">
        <f t="shared" si="1"/>
        <v>5022</v>
      </c>
      <c r="L40" s="110"/>
      <c r="M40" s="111"/>
      <c r="N40" s="110">
        <f t="shared" si="2"/>
        <v>0</v>
      </c>
      <c r="O40" s="114">
        <v>43530</v>
      </c>
      <c r="P40" s="106" t="s">
        <v>950</v>
      </c>
      <c r="Q40" s="114">
        <v>43561</v>
      </c>
      <c r="R40" s="115" t="s">
        <v>1115</v>
      </c>
    </row>
    <row r="41" spans="1:19" ht="24" hidden="1" customHeight="1" x14ac:dyDescent="0.3">
      <c r="A41" s="104" t="s">
        <v>270</v>
      </c>
      <c r="B41" s="105"/>
      <c r="C41" s="107" t="s">
        <v>908</v>
      </c>
      <c r="D41" s="107" t="s">
        <v>1125</v>
      </c>
      <c r="E41" s="120"/>
      <c r="F41" s="107" t="s">
        <v>893</v>
      </c>
      <c r="G41" s="106" t="s">
        <v>866</v>
      </c>
      <c r="H41" s="117" t="s">
        <v>1126</v>
      </c>
      <c r="I41" s="109">
        <v>1375</v>
      </c>
      <c r="J41" s="109">
        <f t="shared" si="0"/>
        <v>275</v>
      </c>
      <c r="K41" s="109">
        <f t="shared" si="1"/>
        <v>1650</v>
      </c>
      <c r="L41" s="110"/>
      <c r="M41" s="111"/>
      <c r="N41" s="110">
        <f t="shared" si="2"/>
        <v>0</v>
      </c>
      <c r="O41" s="114">
        <v>43531</v>
      </c>
      <c r="P41" s="106" t="s">
        <v>950</v>
      </c>
      <c r="Q41" s="113">
        <v>43577</v>
      </c>
      <c r="R41" s="115" t="s">
        <v>1127</v>
      </c>
    </row>
    <row r="42" spans="1:19" ht="24" hidden="1" customHeight="1" x14ac:dyDescent="0.3">
      <c r="A42" s="104" t="s">
        <v>271</v>
      </c>
      <c r="B42" s="105"/>
      <c r="C42" s="107" t="s">
        <v>1056</v>
      </c>
      <c r="D42" s="107" t="s">
        <v>1059</v>
      </c>
      <c r="E42" s="107" t="s">
        <v>886</v>
      </c>
      <c r="F42" s="107" t="s">
        <v>886</v>
      </c>
      <c r="G42" s="107" t="s">
        <v>1058</v>
      </c>
      <c r="H42" s="107" t="s">
        <v>1057</v>
      </c>
      <c r="I42" s="109">
        <v>388</v>
      </c>
      <c r="J42" s="109">
        <f t="shared" si="0"/>
        <v>77.600000000000009</v>
      </c>
      <c r="K42" s="109">
        <f t="shared" si="1"/>
        <v>465.6</v>
      </c>
      <c r="L42" s="110"/>
      <c r="M42" s="111"/>
      <c r="N42" s="110">
        <f t="shared" si="2"/>
        <v>0</v>
      </c>
      <c r="O42" s="114">
        <v>43536</v>
      </c>
      <c r="P42" s="106" t="s">
        <v>950</v>
      </c>
      <c r="Q42" s="114">
        <v>43567</v>
      </c>
      <c r="R42" s="115" t="s">
        <v>1132</v>
      </c>
    </row>
    <row r="43" spans="1:19" ht="24" hidden="1" customHeight="1" x14ac:dyDescent="0.3">
      <c r="A43" s="104" t="s">
        <v>272</v>
      </c>
      <c r="B43" s="105"/>
      <c r="C43" s="107" t="s">
        <v>1028</v>
      </c>
      <c r="D43" s="106" t="s">
        <v>1128</v>
      </c>
      <c r="E43" s="120"/>
      <c r="F43" s="107" t="s">
        <v>1129</v>
      </c>
      <c r="G43" s="106" t="s">
        <v>1031</v>
      </c>
      <c r="H43" s="117" t="s">
        <v>1133</v>
      </c>
      <c r="I43" s="109">
        <v>275</v>
      </c>
      <c r="J43" s="109">
        <f t="shared" si="0"/>
        <v>55</v>
      </c>
      <c r="K43" s="109">
        <f t="shared" si="1"/>
        <v>330</v>
      </c>
      <c r="L43" s="110"/>
      <c r="M43" s="111"/>
      <c r="N43" s="110">
        <f t="shared" si="2"/>
        <v>0</v>
      </c>
      <c r="O43" s="114">
        <v>43538</v>
      </c>
      <c r="P43" s="106" t="s">
        <v>950</v>
      </c>
      <c r="Q43" s="114">
        <v>43569</v>
      </c>
      <c r="R43" s="107" t="s">
        <v>68</v>
      </c>
    </row>
    <row r="44" spans="1:19" ht="24" hidden="1" customHeight="1" x14ac:dyDescent="0.3">
      <c r="A44" s="104" t="s">
        <v>273</v>
      </c>
      <c r="B44" s="105"/>
      <c r="C44" s="107" t="s">
        <v>1051</v>
      </c>
      <c r="D44" s="107" t="s">
        <v>1158</v>
      </c>
      <c r="E44" s="116"/>
      <c r="F44" s="107" t="s">
        <v>886</v>
      </c>
      <c r="G44" s="106">
        <v>78</v>
      </c>
      <c r="H44" s="117" t="s">
        <v>1184</v>
      </c>
      <c r="I44" s="109">
        <v>450</v>
      </c>
      <c r="J44" s="109">
        <f t="shared" si="0"/>
        <v>90</v>
      </c>
      <c r="K44" s="109">
        <f t="shared" si="1"/>
        <v>540</v>
      </c>
      <c r="L44" s="110"/>
      <c r="M44" s="111"/>
      <c r="N44" s="110">
        <f t="shared" si="2"/>
        <v>0</v>
      </c>
      <c r="O44" s="114">
        <v>43539</v>
      </c>
      <c r="P44" s="106" t="s">
        <v>950</v>
      </c>
      <c r="Q44" s="114">
        <v>43600</v>
      </c>
      <c r="R44" s="107" t="s">
        <v>1159</v>
      </c>
    </row>
    <row r="45" spans="1:19" ht="35.25" hidden="1" customHeight="1" x14ac:dyDescent="0.3">
      <c r="A45" s="104" t="s">
        <v>274</v>
      </c>
      <c r="B45" s="105"/>
      <c r="C45" s="107" t="s">
        <v>979</v>
      </c>
      <c r="D45" s="106" t="s">
        <v>1161</v>
      </c>
      <c r="E45" s="120"/>
      <c r="F45" s="107" t="s">
        <v>886</v>
      </c>
      <c r="G45" s="106" t="s">
        <v>1084</v>
      </c>
      <c r="H45" s="117" t="s">
        <v>1162</v>
      </c>
      <c r="I45" s="109">
        <v>1067</v>
      </c>
      <c r="J45" s="109">
        <f t="shared" si="0"/>
        <v>213.4</v>
      </c>
      <c r="K45" s="109">
        <f t="shared" si="1"/>
        <v>1280.4000000000001</v>
      </c>
      <c r="L45" s="110"/>
      <c r="M45" s="111"/>
      <c r="N45" s="110">
        <f t="shared" si="2"/>
        <v>0</v>
      </c>
      <c r="O45" s="114">
        <v>43543</v>
      </c>
      <c r="P45" s="106" t="s">
        <v>950</v>
      </c>
      <c r="Q45" s="114">
        <v>43585</v>
      </c>
      <c r="R45" s="107">
        <v>914463</v>
      </c>
    </row>
    <row r="46" spans="1:19" ht="24" hidden="1" customHeight="1" x14ac:dyDescent="0.3">
      <c r="A46" s="104" t="s">
        <v>275</v>
      </c>
      <c r="B46" s="105"/>
      <c r="C46" s="107" t="s">
        <v>979</v>
      </c>
      <c r="D46" s="106" t="s">
        <v>1169</v>
      </c>
      <c r="E46" s="106" t="s">
        <v>1168</v>
      </c>
      <c r="F46" s="107" t="s">
        <v>886</v>
      </c>
      <c r="G46" s="106" t="s">
        <v>1167</v>
      </c>
      <c r="H46" s="106" t="s">
        <v>1170</v>
      </c>
      <c r="I46" s="109">
        <v>704.73</v>
      </c>
      <c r="J46" s="109">
        <f t="shared" si="0"/>
        <v>140.946</v>
      </c>
      <c r="K46" s="109">
        <f t="shared" si="1"/>
        <v>845.67600000000004</v>
      </c>
      <c r="L46" s="110"/>
      <c r="M46" s="111"/>
      <c r="N46" s="110">
        <f t="shared" si="2"/>
        <v>0</v>
      </c>
      <c r="O46" s="114">
        <v>43543</v>
      </c>
      <c r="P46" s="106" t="s">
        <v>950</v>
      </c>
      <c r="Q46" s="114">
        <v>43585</v>
      </c>
      <c r="R46" s="106">
        <v>842262</v>
      </c>
    </row>
    <row r="47" spans="1:19" ht="24" hidden="1" customHeight="1" x14ac:dyDescent="0.3">
      <c r="A47" s="104" t="s">
        <v>276</v>
      </c>
      <c r="B47" s="105"/>
      <c r="C47" s="107" t="s">
        <v>926</v>
      </c>
      <c r="D47" s="107" t="s">
        <v>1097</v>
      </c>
      <c r="E47" s="107" t="s">
        <v>865</v>
      </c>
      <c r="F47" s="107" t="s">
        <v>865</v>
      </c>
      <c r="G47" s="107">
        <v>75009</v>
      </c>
      <c r="H47" s="107" t="s">
        <v>1098</v>
      </c>
      <c r="I47" s="109">
        <v>2425</v>
      </c>
      <c r="J47" s="109">
        <f t="shared" si="0"/>
        <v>485</v>
      </c>
      <c r="K47" s="109">
        <f t="shared" si="1"/>
        <v>2910</v>
      </c>
      <c r="L47" s="110"/>
      <c r="M47" s="111"/>
      <c r="N47" s="110">
        <f t="shared" si="2"/>
        <v>0</v>
      </c>
      <c r="O47" s="114">
        <v>43544</v>
      </c>
      <c r="P47" s="106" t="s">
        <v>950</v>
      </c>
      <c r="Q47" s="114">
        <v>43575</v>
      </c>
      <c r="R47" s="106" t="s">
        <v>1172</v>
      </c>
    </row>
    <row r="48" spans="1:19" ht="24" hidden="1" customHeight="1" x14ac:dyDescent="0.3">
      <c r="A48" s="104" t="s">
        <v>277</v>
      </c>
      <c r="B48" s="105"/>
      <c r="C48" s="106" t="s">
        <v>1028</v>
      </c>
      <c r="D48" s="106" t="s">
        <v>1185</v>
      </c>
      <c r="E48" s="120"/>
      <c r="F48" s="107" t="s">
        <v>1024</v>
      </c>
      <c r="G48" s="106" t="s">
        <v>1031</v>
      </c>
      <c r="H48" s="106" t="s">
        <v>1041</v>
      </c>
      <c r="I48" s="109">
        <v>3310</v>
      </c>
      <c r="J48" s="109">
        <f t="shared" si="0"/>
        <v>662</v>
      </c>
      <c r="K48" s="109">
        <f t="shared" si="1"/>
        <v>3972</v>
      </c>
      <c r="L48" s="110"/>
      <c r="M48" s="111"/>
      <c r="N48" s="110">
        <f t="shared" si="2"/>
        <v>0</v>
      </c>
      <c r="O48" s="114">
        <v>43550</v>
      </c>
      <c r="P48" s="106" t="s">
        <v>950</v>
      </c>
      <c r="Q48" s="113">
        <v>43581</v>
      </c>
      <c r="R48" s="106" t="s">
        <v>1186</v>
      </c>
    </row>
    <row r="49" spans="1:19" ht="24" hidden="1" customHeight="1" x14ac:dyDescent="0.3">
      <c r="A49" s="104" t="s">
        <v>278</v>
      </c>
      <c r="B49" s="105"/>
      <c r="C49" s="106" t="s">
        <v>1016</v>
      </c>
      <c r="D49" s="106" t="s">
        <v>1190</v>
      </c>
      <c r="E49" s="120"/>
      <c r="F49" s="107" t="s">
        <v>886</v>
      </c>
      <c r="G49" s="106">
        <v>75</v>
      </c>
      <c r="H49" s="106" t="s">
        <v>919</v>
      </c>
      <c r="I49" s="109">
        <v>905</v>
      </c>
      <c r="J49" s="109">
        <f t="shared" si="0"/>
        <v>181</v>
      </c>
      <c r="K49" s="109">
        <f t="shared" si="1"/>
        <v>1086</v>
      </c>
      <c r="L49" s="110"/>
      <c r="M49" s="111"/>
      <c r="N49" s="110">
        <f t="shared" si="2"/>
        <v>0</v>
      </c>
      <c r="O49" s="114">
        <v>43550</v>
      </c>
      <c r="P49" s="106" t="s">
        <v>950</v>
      </c>
      <c r="Q49" s="113">
        <v>43581</v>
      </c>
      <c r="R49" s="106" t="s">
        <v>1191</v>
      </c>
    </row>
    <row r="50" spans="1:19" ht="24" hidden="1" customHeight="1" x14ac:dyDescent="0.3">
      <c r="A50" s="104" t="s">
        <v>279</v>
      </c>
      <c r="B50" s="105"/>
      <c r="C50" s="107" t="s">
        <v>979</v>
      </c>
      <c r="D50" s="107" t="s">
        <v>1004</v>
      </c>
      <c r="E50" s="116" t="s">
        <v>1005</v>
      </c>
      <c r="F50" s="107" t="s">
        <v>1192</v>
      </c>
      <c r="G50" s="106" t="s">
        <v>1006</v>
      </c>
      <c r="H50" s="117" t="s">
        <v>1007</v>
      </c>
      <c r="I50" s="109">
        <v>1814.75</v>
      </c>
      <c r="J50" s="109">
        <f t="shared" si="0"/>
        <v>362.95000000000005</v>
      </c>
      <c r="K50" s="109">
        <f t="shared" si="1"/>
        <v>2177.6999999999998</v>
      </c>
      <c r="L50" s="110"/>
      <c r="M50" s="111"/>
      <c r="N50" s="110">
        <f t="shared" si="2"/>
        <v>0</v>
      </c>
      <c r="O50" s="114">
        <v>43551</v>
      </c>
      <c r="P50" s="106" t="s">
        <v>950</v>
      </c>
      <c r="Q50" s="113">
        <v>43595</v>
      </c>
      <c r="R50" s="120"/>
    </row>
    <row r="51" spans="1:19" ht="24" hidden="1" customHeight="1" x14ac:dyDescent="0.3">
      <c r="A51" s="104" t="s">
        <v>280</v>
      </c>
      <c r="B51" s="105"/>
      <c r="C51" s="107" t="s">
        <v>926</v>
      </c>
      <c r="D51" s="107" t="s">
        <v>1097</v>
      </c>
      <c r="E51" s="107" t="s">
        <v>865</v>
      </c>
      <c r="F51" s="107" t="s">
        <v>865</v>
      </c>
      <c r="G51" s="107">
        <v>75009</v>
      </c>
      <c r="H51" s="107" t="s">
        <v>1098</v>
      </c>
      <c r="I51" s="109">
        <v>1775</v>
      </c>
      <c r="J51" s="109">
        <f t="shared" si="0"/>
        <v>355</v>
      </c>
      <c r="K51" s="109">
        <f t="shared" si="1"/>
        <v>2130</v>
      </c>
      <c r="L51" s="110"/>
      <c r="M51" s="111"/>
      <c r="N51" s="110">
        <f t="shared" si="2"/>
        <v>0</v>
      </c>
      <c r="O51" s="114">
        <v>43553</v>
      </c>
      <c r="P51" s="106" t="s">
        <v>950</v>
      </c>
      <c r="Q51" s="113">
        <v>43584</v>
      </c>
      <c r="R51" s="106" t="s">
        <v>1194</v>
      </c>
    </row>
    <row r="52" spans="1:19" ht="24" hidden="1" customHeight="1" x14ac:dyDescent="0.3">
      <c r="A52" s="104" t="s">
        <v>281</v>
      </c>
      <c r="B52" s="105"/>
      <c r="C52" s="107" t="s">
        <v>979</v>
      </c>
      <c r="D52" s="107" t="s">
        <v>1198</v>
      </c>
      <c r="E52" s="120"/>
      <c r="F52" s="107" t="s">
        <v>1199</v>
      </c>
      <c r="G52" s="106">
        <v>92390</v>
      </c>
      <c r="H52" s="117" t="s">
        <v>1200</v>
      </c>
      <c r="I52" s="109">
        <v>1732.5</v>
      </c>
      <c r="J52" s="109">
        <f t="shared" si="0"/>
        <v>346.5</v>
      </c>
      <c r="K52" s="109">
        <f t="shared" si="1"/>
        <v>2079</v>
      </c>
      <c r="L52" s="110"/>
      <c r="M52" s="111"/>
      <c r="N52" s="110">
        <f t="shared" si="2"/>
        <v>0</v>
      </c>
      <c r="O52" s="114">
        <v>43553</v>
      </c>
      <c r="P52" s="106" t="s">
        <v>950</v>
      </c>
      <c r="Q52" s="113">
        <v>43585</v>
      </c>
      <c r="R52" s="120">
        <v>932686</v>
      </c>
    </row>
    <row r="53" spans="1:19" ht="24" hidden="1" customHeight="1" x14ac:dyDescent="0.3">
      <c r="A53" s="104" t="s">
        <v>282</v>
      </c>
      <c r="B53" s="105"/>
      <c r="C53" s="106" t="s">
        <v>1137</v>
      </c>
      <c r="D53" s="106" t="s">
        <v>1209</v>
      </c>
      <c r="E53" s="120"/>
      <c r="F53" s="107" t="s">
        <v>893</v>
      </c>
      <c r="G53" s="106">
        <v>75016</v>
      </c>
      <c r="H53" s="106" t="s">
        <v>1210</v>
      </c>
      <c r="I53" s="109">
        <v>294</v>
      </c>
      <c r="J53" s="109">
        <f t="shared" si="0"/>
        <v>58.800000000000004</v>
      </c>
      <c r="K53" s="109">
        <f t="shared" si="1"/>
        <v>352.8</v>
      </c>
      <c r="L53" s="110"/>
      <c r="M53" s="111"/>
      <c r="N53" s="110">
        <f t="shared" si="2"/>
        <v>0</v>
      </c>
      <c r="O53" s="114">
        <v>43557</v>
      </c>
      <c r="P53" s="106" t="s">
        <v>950</v>
      </c>
      <c r="Q53" s="113">
        <v>43587</v>
      </c>
      <c r="R53" s="106" t="s">
        <v>1211</v>
      </c>
    </row>
    <row r="54" spans="1:19" ht="24" hidden="1" customHeight="1" x14ac:dyDescent="0.3">
      <c r="A54" s="104" t="s">
        <v>283</v>
      </c>
      <c r="B54" s="105"/>
      <c r="C54" s="106" t="s">
        <v>1102</v>
      </c>
      <c r="D54" s="106" t="s">
        <v>1218</v>
      </c>
      <c r="E54" s="120"/>
      <c r="F54" s="107" t="s">
        <v>933</v>
      </c>
      <c r="G54" s="106" t="s">
        <v>1219</v>
      </c>
      <c r="H54" s="106" t="s">
        <v>1220</v>
      </c>
      <c r="I54" s="109">
        <v>750</v>
      </c>
      <c r="J54" s="109">
        <f t="shared" si="0"/>
        <v>150</v>
      </c>
      <c r="K54" s="109">
        <f t="shared" si="1"/>
        <v>900</v>
      </c>
      <c r="L54" s="110"/>
      <c r="M54" s="111"/>
      <c r="N54" s="110">
        <f t="shared" si="2"/>
        <v>0</v>
      </c>
      <c r="O54" s="114">
        <v>43557</v>
      </c>
      <c r="P54" s="106" t="s">
        <v>950</v>
      </c>
      <c r="Q54" s="113">
        <v>43587</v>
      </c>
      <c r="R54" s="106" t="s">
        <v>1221</v>
      </c>
    </row>
    <row r="55" spans="1:19" ht="24" hidden="1" customHeight="1" x14ac:dyDescent="0.3">
      <c r="A55" s="104" t="s">
        <v>284</v>
      </c>
      <c r="B55" s="105"/>
      <c r="C55" s="106" t="s">
        <v>1102</v>
      </c>
      <c r="D55" s="106" t="s">
        <v>1218</v>
      </c>
      <c r="E55" s="120"/>
      <c r="F55" s="107" t="s">
        <v>933</v>
      </c>
      <c r="G55" s="106" t="s">
        <v>1219</v>
      </c>
      <c r="H55" s="106" t="s">
        <v>1220</v>
      </c>
      <c r="I55" s="109">
        <v>550</v>
      </c>
      <c r="J55" s="109">
        <f t="shared" si="0"/>
        <v>110</v>
      </c>
      <c r="K55" s="109">
        <f t="shared" si="1"/>
        <v>660</v>
      </c>
      <c r="L55" s="110"/>
      <c r="M55" s="111"/>
      <c r="N55" s="110">
        <f t="shared" si="2"/>
        <v>0</v>
      </c>
      <c r="O55" s="114">
        <v>43557</v>
      </c>
      <c r="P55" s="106" t="s">
        <v>950</v>
      </c>
      <c r="Q55" s="113">
        <v>43587</v>
      </c>
      <c r="R55" s="106" t="s">
        <v>1222</v>
      </c>
    </row>
    <row r="56" spans="1:19" ht="24" hidden="1" customHeight="1" x14ac:dyDescent="0.3">
      <c r="A56" s="104" t="s">
        <v>285</v>
      </c>
      <c r="B56" s="105"/>
      <c r="C56" s="107" t="s">
        <v>884</v>
      </c>
      <c r="D56" s="107" t="s">
        <v>1225</v>
      </c>
      <c r="E56" s="116"/>
      <c r="F56" s="107" t="s">
        <v>903</v>
      </c>
      <c r="G56" s="106" t="s">
        <v>911</v>
      </c>
      <c r="H56" s="117" t="s">
        <v>1223</v>
      </c>
      <c r="I56" s="109">
        <v>330</v>
      </c>
      <c r="J56" s="109">
        <f t="shared" si="0"/>
        <v>66</v>
      </c>
      <c r="K56" s="109">
        <f t="shared" si="1"/>
        <v>396</v>
      </c>
      <c r="L56" s="110"/>
      <c r="M56" s="111"/>
      <c r="N56" s="110">
        <f t="shared" si="2"/>
        <v>0</v>
      </c>
      <c r="O56" s="114">
        <v>43558</v>
      </c>
      <c r="P56" s="106" t="s">
        <v>950</v>
      </c>
      <c r="Q56" s="113">
        <v>43588</v>
      </c>
      <c r="R56" s="107" t="s">
        <v>1224</v>
      </c>
    </row>
    <row r="57" spans="1:19" ht="24" hidden="1" customHeight="1" x14ac:dyDescent="0.3">
      <c r="A57" s="104" t="s">
        <v>286</v>
      </c>
      <c r="B57" s="105"/>
      <c r="C57" s="106" t="s">
        <v>1102</v>
      </c>
      <c r="D57" s="107" t="s">
        <v>1106</v>
      </c>
      <c r="E57" s="120"/>
      <c r="F57" s="107" t="s">
        <v>933</v>
      </c>
      <c r="G57" s="106" t="s">
        <v>1226</v>
      </c>
      <c r="H57" s="106" t="s">
        <v>1203</v>
      </c>
      <c r="I57" s="109">
        <v>625</v>
      </c>
      <c r="J57" s="109">
        <f t="shared" si="0"/>
        <v>125</v>
      </c>
      <c r="K57" s="109">
        <f t="shared" si="1"/>
        <v>750</v>
      </c>
      <c r="L57" s="110"/>
      <c r="M57" s="111"/>
      <c r="N57" s="110">
        <f t="shared" si="2"/>
        <v>0</v>
      </c>
      <c r="O57" s="114">
        <v>43559</v>
      </c>
      <c r="P57" s="106" t="s">
        <v>950</v>
      </c>
      <c r="Q57" s="113">
        <v>43589</v>
      </c>
      <c r="R57" s="106" t="s">
        <v>1227</v>
      </c>
    </row>
    <row r="58" spans="1:19" ht="24" hidden="1" customHeight="1" x14ac:dyDescent="0.3">
      <c r="A58" s="104" t="s">
        <v>287</v>
      </c>
      <c r="B58" s="105"/>
      <c r="C58" s="107" t="s">
        <v>979</v>
      </c>
      <c r="D58" s="107" t="s">
        <v>1228</v>
      </c>
      <c r="E58" s="116"/>
      <c r="F58" s="107" t="s">
        <v>933</v>
      </c>
      <c r="G58" s="106" t="s">
        <v>1230</v>
      </c>
      <c r="H58" s="106" t="s">
        <v>1229</v>
      </c>
      <c r="I58" s="109">
        <v>12780</v>
      </c>
      <c r="J58" s="109">
        <f t="shared" si="0"/>
        <v>2556</v>
      </c>
      <c r="K58" s="109">
        <f t="shared" si="1"/>
        <v>15336</v>
      </c>
      <c r="L58" s="110"/>
      <c r="M58" s="111"/>
      <c r="N58" s="110">
        <f t="shared" si="2"/>
        <v>0</v>
      </c>
      <c r="O58" s="114">
        <v>43559</v>
      </c>
      <c r="P58" s="106" t="s">
        <v>950</v>
      </c>
      <c r="Q58" s="113">
        <v>43599</v>
      </c>
      <c r="R58" s="116">
        <v>925093</v>
      </c>
    </row>
    <row r="59" spans="1:19" ht="27.75" hidden="1" customHeight="1" x14ac:dyDescent="0.3">
      <c r="A59" s="104" t="s">
        <v>288</v>
      </c>
      <c r="B59" s="105"/>
      <c r="C59" s="107" t="s">
        <v>1232</v>
      </c>
      <c r="D59" s="107" t="s">
        <v>1236</v>
      </c>
      <c r="E59" s="107" t="s">
        <v>1206</v>
      </c>
      <c r="F59" s="107" t="s">
        <v>1206</v>
      </c>
      <c r="G59" s="107">
        <v>75010</v>
      </c>
      <c r="H59" s="106" t="s">
        <v>969</v>
      </c>
      <c r="I59" s="109">
        <v>450</v>
      </c>
      <c r="J59" s="109">
        <f t="shared" si="0"/>
        <v>90</v>
      </c>
      <c r="K59" s="109">
        <f t="shared" si="1"/>
        <v>540</v>
      </c>
      <c r="L59" s="110"/>
      <c r="M59" s="111"/>
      <c r="N59" s="110">
        <f t="shared" si="2"/>
        <v>0</v>
      </c>
      <c r="O59" s="114">
        <v>43559</v>
      </c>
      <c r="P59" s="106" t="s">
        <v>950</v>
      </c>
      <c r="Q59" s="113">
        <v>43589</v>
      </c>
      <c r="R59" s="107" t="s">
        <v>1237</v>
      </c>
    </row>
    <row r="60" spans="1:19" ht="24" hidden="1" customHeight="1" x14ac:dyDescent="0.3">
      <c r="A60" s="104" t="s">
        <v>289</v>
      </c>
      <c r="B60" s="105"/>
      <c r="C60" s="106" t="s">
        <v>1247</v>
      </c>
      <c r="D60" s="107" t="s">
        <v>1164</v>
      </c>
      <c r="E60" s="106"/>
      <c r="F60" s="106" t="s">
        <v>865</v>
      </c>
      <c r="G60" s="107">
        <v>75001</v>
      </c>
      <c r="H60" s="107" t="s">
        <v>1166</v>
      </c>
      <c r="I60" s="109">
        <v>400</v>
      </c>
      <c r="J60" s="109">
        <f t="shared" si="0"/>
        <v>80</v>
      </c>
      <c r="K60" s="109">
        <f t="shared" si="1"/>
        <v>480</v>
      </c>
      <c r="L60" s="110"/>
      <c r="M60" s="111"/>
      <c r="N60" s="110">
        <f t="shared" si="2"/>
        <v>0</v>
      </c>
      <c r="O60" s="114">
        <v>43559</v>
      </c>
      <c r="P60" s="106" t="s">
        <v>950</v>
      </c>
      <c r="Q60" s="113">
        <v>43589</v>
      </c>
      <c r="R60" s="107" t="s">
        <v>1242</v>
      </c>
    </row>
    <row r="61" spans="1:19" ht="24" hidden="1" customHeight="1" x14ac:dyDescent="0.3">
      <c r="A61" s="104" t="s">
        <v>290</v>
      </c>
      <c r="B61" s="105"/>
      <c r="C61" s="149" t="s">
        <v>1446</v>
      </c>
      <c r="D61" s="106" t="s">
        <v>1244</v>
      </c>
      <c r="E61" s="116"/>
      <c r="F61" s="107" t="s">
        <v>893</v>
      </c>
      <c r="G61" s="107">
        <v>75011</v>
      </c>
      <c r="H61" s="106" t="s">
        <v>1295</v>
      </c>
      <c r="I61" s="109">
        <v>900</v>
      </c>
      <c r="J61" s="109">
        <f t="shared" si="0"/>
        <v>180</v>
      </c>
      <c r="K61" s="109">
        <f t="shared" si="1"/>
        <v>1080</v>
      </c>
      <c r="L61" s="110"/>
      <c r="M61" s="111"/>
      <c r="N61" s="110">
        <f t="shared" si="2"/>
        <v>0</v>
      </c>
      <c r="O61" s="114">
        <v>43560</v>
      </c>
      <c r="P61" s="106" t="s">
        <v>950</v>
      </c>
      <c r="Q61" s="113">
        <v>43590</v>
      </c>
      <c r="R61" s="106" t="s">
        <v>1245</v>
      </c>
    </row>
    <row r="62" spans="1:19" ht="24" hidden="1" customHeight="1" x14ac:dyDescent="0.3">
      <c r="A62" s="104" t="s">
        <v>291</v>
      </c>
      <c r="B62" s="105"/>
      <c r="C62" s="106" t="s">
        <v>1247</v>
      </c>
      <c r="D62" s="106" t="s">
        <v>1248</v>
      </c>
      <c r="E62" s="120"/>
      <c r="F62" s="107" t="s">
        <v>933</v>
      </c>
      <c r="G62" s="106">
        <v>75017</v>
      </c>
      <c r="H62" s="106" t="s">
        <v>908</v>
      </c>
      <c r="I62" s="109">
        <v>1115</v>
      </c>
      <c r="J62" s="109">
        <f t="shared" si="0"/>
        <v>223</v>
      </c>
      <c r="K62" s="109">
        <f t="shared" si="1"/>
        <v>1338</v>
      </c>
      <c r="L62" s="110"/>
      <c r="M62" s="111"/>
      <c r="N62" s="110">
        <f t="shared" si="2"/>
        <v>0</v>
      </c>
      <c r="O62" s="114">
        <v>43563</v>
      </c>
      <c r="P62" s="106" t="s">
        <v>950</v>
      </c>
      <c r="Q62" s="113">
        <v>43593</v>
      </c>
      <c r="R62" s="106" t="s">
        <v>1249</v>
      </c>
    </row>
    <row r="63" spans="1:19" ht="24" hidden="1" customHeight="1" x14ac:dyDescent="0.3">
      <c r="A63" s="104" t="s">
        <v>292</v>
      </c>
      <c r="B63" s="105"/>
      <c r="C63" s="107" t="s">
        <v>1085</v>
      </c>
      <c r="D63" s="107" t="s">
        <v>1086</v>
      </c>
      <c r="E63" s="116"/>
      <c r="F63" s="107" t="s">
        <v>886</v>
      </c>
      <c r="G63" s="106" t="s">
        <v>1087</v>
      </c>
      <c r="H63" s="106" t="s">
        <v>1088</v>
      </c>
      <c r="I63" s="109">
        <v>8062</v>
      </c>
      <c r="J63" s="109">
        <f t="shared" si="0"/>
        <v>1612.4</v>
      </c>
      <c r="K63" s="109">
        <f t="shared" si="1"/>
        <v>9674.4</v>
      </c>
      <c r="L63" s="110"/>
      <c r="M63" s="111"/>
      <c r="N63" s="110">
        <f t="shared" si="2"/>
        <v>0</v>
      </c>
      <c r="O63" s="114">
        <v>43563</v>
      </c>
      <c r="P63" s="106" t="s">
        <v>950</v>
      </c>
      <c r="Q63" s="114">
        <v>43593</v>
      </c>
      <c r="R63" s="106" t="s">
        <v>1251</v>
      </c>
      <c r="S63" s="99"/>
    </row>
    <row r="64" spans="1:19" ht="24" hidden="1" customHeight="1" x14ac:dyDescent="0.3">
      <c r="A64" s="104" t="s">
        <v>293</v>
      </c>
      <c r="B64" s="105"/>
      <c r="C64" s="107" t="s">
        <v>884</v>
      </c>
      <c r="D64" s="107" t="s">
        <v>1252</v>
      </c>
      <c r="E64" s="120"/>
      <c r="F64" s="107" t="s">
        <v>903</v>
      </c>
      <c r="G64" s="106" t="s">
        <v>911</v>
      </c>
      <c r="H64" s="106" t="s">
        <v>1253</v>
      </c>
      <c r="I64" s="109">
        <v>1296</v>
      </c>
      <c r="J64" s="109">
        <f t="shared" si="0"/>
        <v>259.2</v>
      </c>
      <c r="K64" s="109">
        <f t="shared" si="1"/>
        <v>1555.2</v>
      </c>
      <c r="L64" s="110"/>
      <c r="M64" s="111"/>
      <c r="N64" s="110">
        <f t="shared" si="2"/>
        <v>0</v>
      </c>
      <c r="O64" s="114">
        <v>43563</v>
      </c>
      <c r="P64" s="106" t="s">
        <v>950</v>
      </c>
      <c r="Q64" s="114">
        <v>43593</v>
      </c>
      <c r="R64" s="106" t="s">
        <v>1246</v>
      </c>
    </row>
    <row r="65" spans="1:19" ht="24" hidden="1" customHeight="1" x14ac:dyDescent="0.3">
      <c r="A65" s="104" t="s">
        <v>294</v>
      </c>
      <c r="B65" s="105"/>
      <c r="C65" s="107" t="s">
        <v>1016</v>
      </c>
      <c r="D65" s="106" t="s">
        <v>1280</v>
      </c>
      <c r="E65" s="120"/>
      <c r="F65" s="107" t="s">
        <v>903</v>
      </c>
      <c r="G65" s="106" t="s">
        <v>866</v>
      </c>
      <c r="H65" s="106" t="s">
        <v>1020</v>
      </c>
      <c r="I65" s="109">
        <v>580</v>
      </c>
      <c r="J65" s="109">
        <f t="shared" ref="J65:J112" si="8">SUM(I65*0.2)</f>
        <v>116</v>
      </c>
      <c r="K65" s="109">
        <f t="shared" ref="K65:K112" si="9">SUM(I65+J65)</f>
        <v>696</v>
      </c>
      <c r="L65" s="110"/>
      <c r="M65" s="111"/>
      <c r="N65" s="110">
        <f t="shared" ref="N65:N112" si="10">SUM(L65*M65)</f>
        <v>0</v>
      </c>
      <c r="O65" s="114">
        <v>43567</v>
      </c>
      <c r="P65" s="106" t="s">
        <v>950</v>
      </c>
      <c r="Q65" s="114">
        <v>43597</v>
      </c>
      <c r="R65" s="136" t="s">
        <v>87</v>
      </c>
    </row>
    <row r="66" spans="1:19" ht="24" hidden="1" customHeight="1" x14ac:dyDescent="0.3">
      <c r="A66" s="104" t="s">
        <v>295</v>
      </c>
      <c r="B66" s="105"/>
      <c r="C66" s="107" t="s">
        <v>1304</v>
      </c>
      <c r="D66" s="106" t="s">
        <v>1269</v>
      </c>
      <c r="E66" s="120"/>
      <c r="F66" s="107" t="s">
        <v>1305</v>
      </c>
      <c r="G66" s="106" t="s">
        <v>866</v>
      </c>
      <c r="H66" s="106" t="s">
        <v>1306</v>
      </c>
      <c r="I66" s="109">
        <v>510</v>
      </c>
      <c r="J66" s="109">
        <f t="shared" si="8"/>
        <v>102</v>
      </c>
      <c r="K66" s="109">
        <f t="shared" si="9"/>
        <v>612</v>
      </c>
      <c r="L66" s="110"/>
      <c r="M66" s="111"/>
      <c r="N66" s="110">
        <f t="shared" si="10"/>
        <v>0</v>
      </c>
      <c r="O66" s="114">
        <v>43571</v>
      </c>
      <c r="P66" s="106" t="s">
        <v>950</v>
      </c>
      <c r="Q66" s="114">
        <v>43617</v>
      </c>
      <c r="R66" s="131" t="s">
        <v>96</v>
      </c>
    </row>
    <row r="67" spans="1:19" ht="24" hidden="1" customHeight="1" x14ac:dyDescent="0.3">
      <c r="A67" s="104" t="s">
        <v>296</v>
      </c>
      <c r="B67" s="105"/>
      <c r="C67" s="106" t="s">
        <v>1247</v>
      </c>
      <c r="D67" s="106" t="s">
        <v>1318</v>
      </c>
      <c r="E67" s="106"/>
      <c r="F67" s="107" t="s">
        <v>865</v>
      </c>
      <c r="G67" s="106" t="s">
        <v>866</v>
      </c>
      <c r="H67" s="106" t="s">
        <v>908</v>
      </c>
      <c r="I67" s="109">
        <v>400</v>
      </c>
      <c r="J67" s="109">
        <f t="shared" si="8"/>
        <v>80</v>
      </c>
      <c r="K67" s="109">
        <f t="shared" si="9"/>
        <v>480</v>
      </c>
      <c r="L67" s="110"/>
      <c r="M67" s="111"/>
      <c r="N67" s="110">
        <f t="shared" si="10"/>
        <v>0</v>
      </c>
      <c r="O67" s="114">
        <v>43574</v>
      </c>
      <c r="P67" s="106" t="s">
        <v>950</v>
      </c>
      <c r="Q67" s="114">
        <v>43604</v>
      </c>
      <c r="R67" s="106" t="s">
        <v>99</v>
      </c>
    </row>
    <row r="68" spans="1:19" ht="24" hidden="1" customHeight="1" x14ac:dyDescent="0.3">
      <c r="A68" s="104" t="s">
        <v>297</v>
      </c>
      <c r="B68" s="105"/>
      <c r="C68" s="107" t="s">
        <v>1320</v>
      </c>
      <c r="D68" s="106" t="s">
        <v>1321</v>
      </c>
      <c r="E68" s="120"/>
      <c r="F68" s="107" t="s">
        <v>903</v>
      </c>
      <c r="G68" s="106" t="s">
        <v>1322</v>
      </c>
      <c r="H68" s="106" t="s">
        <v>1323</v>
      </c>
      <c r="I68" s="109">
        <v>270</v>
      </c>
      <c r="J68" s="109">
        <f t="shared" si="8"/>
        <v>54</v>
      </c>
      <c r="K68" s="109">
        <f t="shared" si="9"/>
        <v>324</v>
      </c>
      <c r="L68" s="110"/>
      <c r="M68" s="111"/>
      <c r="N68" s="110">
        <f t="shared" si="10"/>
        <v>0</v>
      </c>
      <c r="O68" s="114">
        <v>43574</v>
      </c>
      <c r="P68" s="106" t="s">
        <v>950</v>
      </c>
      <c r="Q68" s="114">
        <v>43617</v>
      </c>
      <c r="R68" s="106">
        <v>938833</v>
      </c>
    </row>
    <row r="69" spans="1:19" ht="24" hidden="1" customHeight="1" x14ac:dyDescent="0.3">
      <c r="A69" s="104" t="s">
        <v>298</v>
      </c>
      <c r="B69" s="105"/>
      <c r="C69" s="107" t="s">
        <v>1320</v>
      </c>
      <c r="D69" s="106" t="s">
        <v>1321</v>
      </c>
      <c r="E69" s="120"/>
      <c r="F69" s="107" t="s">
        <v>903</v>
      </c>
      <c r="G69" s="106" t="s">
        <v>1322</v>
      </c>
      <c r="H69" s="106" t="s">
        <v>1323</v>
      </c>
      <c r="I69" s="109">
        <v>198</v>
      </c>
      <c r="J69" s="109">
        <f t="shared" si="8"/>
        <v>39.6</v>
      </c>
      <c r="K69" s="109">
        <f t="shared" si="9"/>
        <v>237.6</v>
      </c>
      <c r="L69" s="110"/>
      <c r="M69" s="111"/>
      <c r="N69" s="110">
        <f t="shared" si="10"/>
        <v>0</v>
      </c>
      <c r="O69" s="114">
        <v>43574</v>
      </c>
      <c r="P69" s="106" t="s">
        <v>950</v>
      </c>
      <c r="Q69" s="114">
        <v>43617</v>
      </c>
      <c r="R69" s="106">
        <v>939030</v>
      </c>
    </row>
    <row r="70" spans="1:19" ht="24" hidden="1" customHeight="1" x14ac:dyDescent="0.3">
      <c r="A70" s="137" t="s">
        <v>299</v>
      </c>
      <c r="B70" s="138"/>
      <c r="C70" s="139" t="s">
        <v>947</v>
      </c>
      <c r="D70" s="139" t="s">
        <v>1071</v>
      </c>
      <c r="E70" s="139"/>
      <c r="F70" s="139" t="s">
        <v>1206</v>
      </c>
      <c r="G70" s="140">
        <v>75015</v>
      </c>
      <c r="H70" s="139" t="s">
        <v>1207</v>
      </c>
      <c r="I70" s="141">
        <v>7472</v>
      </c>
      <c r="J70" s="142">
        <f t="shared" si="8"/>
        <v>1494.4</v>
      </c>
      <c r="K70" s="142">
        <f t="shared" si="9"/>
        <v>8966.4</v>
      </c>
      <c r="L70" s="143"/>
      <c r="M70" s="144"/>
      <c r="N70" s="143">
        <f t="shared" si="10"/>
        <v>0</v>
      </c>
      <c r="O70" s="145">
        <v>43579</v>
      </c>
      <c r="P70" s="146" t="s">
        <v>1079</v>
      </c>
      <c r="Q70" s="145">
        <v>43609</v>
      </c>
      <c r="R70" s="147" t="s">
        <v>1345</v>
      </c>
    </row>
    <row r="71" spans="1:19" ht="24" hidden="1" customHeight="1" x14ac:dyDescent="0.3">
      <c r="A71" s="104" t="s">
        <v>300</v>
      </c>
      <c r="B71" s="105"/>
      <c r="C71" s="107" t="s">
        <v>979</v>
      </c>
      <c r="D71" s="106" t="s">
        <v>1346</v>
      </c>
      <c r="E71" s="116"/>
      <c r="F71" s="107" t="s">
        <v>886</v>
      </c>
      <c r="G71" s="106" t="s">
        <v>1347</v>
      </c>
      <c r="H71" s="106" t="s">
        <v>1348</v>
      </c>
      <c r="I71" s="109">
        <v>675</v>
      </c>
      <c r="J71" s="109">
        <f t="shared" si="8"/>
        <v>135</v>
      </c>
      <c r="K71" s="109">
        <f t="shared" si="9"/>
        <v>810</v>
      </c>
      <c r="L71" s="110"/>
      <c r="M71" s="111"/>
      <c r="N71" s="110">
        <f t="shared" si="10"/>
        <v>0</v>
      </c>
      <c r="O71" s="114">
        <v>43584</v>
      </c>
      <c r="P71" s="106" t="s">
        <v>950</v>
      </c>
      <c r="Q71" s="114">
        <v>43631</v>
      </c>
      <c r="R71" s="116">
        <v>937580</v>
      </c>
    </row>
    <row r="72" spans="1:19" ht="24" hidden="1" customHeight="1" x14ac:dyDescent="0.3">
      <c r="A72" s="104" t="s">
        <v>301</v>
      </c>
      <c r="B72" s="105"/>
      <c r="C72" s="107" t="s">
        <v>947</v>
      </c>
      <c r="D72" s="107" t="s">
        <v>1071</v>
      </c>
      <c r="E72" s="107"/>
      <c r="F72" s="107" t="s">
        <v>1206</v>
      </c>
      <c r="G72" s="135">
        <v>75015</v>
      </c>
      <c r="H72" s="107" t="s">
        <v>1207</v>
      </c>
      <c r="I72" s="130">
        <v>8392</v>
      </c>
      <c r="J72" s="109">
        <f t="shared" ref="J72" si="11">SUM(I72*0.2)</f>
        <v>1678.4</v>
      </c>
      <c r="K72" s="109">
        <f t="shared" ref="K72" si="12">SUM(I72+J72)</f>
        <v>10070.4</v>
      </c>
      <c r="L72" s="110"/>
      <c r="M72" s="111"/>
      <c r="N72" s="110">
        <f t="shared" si="10"/>
        <v>0</v>
      </c>
      <c r="O72" s="114">
        <v>43587</v>
      </c>
      <c r="P72" s="106" t="s">
        <v>950</v>
      </c>
      <c r="Q72" s="114">
        <v>43618</v>
      </c>
      <c r="R72" s="136" t="s">
        <v>1345</v>
      </c>
      <c r="S72" s="99"/>
    </row>
    <row r="73" spans="1:19" ht="24" hidden="1" customHeight="1" x14ac:dyDescent="0.3">
      <c r="A73" s="104" t="s">
        <v>302</v>
      </c>
      <c r="B73" s="105"/>
      <c r="C73" s="107" t="s">
        <v>884</v>
      </c>
      <c r="D73" s="106" t="s">
        <v>1350</v>
      </c>
      <c r="E73" s="120"/>
      <c r="F73" s="107" t="s">
        <v>1351</v>
      </c>
      <c r="G73" s="106" t="s">
        <v>911</v>
      </c>
      <c r="H73" s="106" t="s">
        <v>1352</v>
      </c>
      <c r="I73" s="109">
        <v>330</v>
      </c>
      <c r="J73" s="109">
        <f t="shared" si="8"/>
        <v>66</v>
      </c>
      <c r="K73" s="109">
        <f t="shared" si="9"/>
        <v>396</v>
      </c>
      <c r="L73" s="110"/>
      <c r="M73" s="111"/>
      <c r="N73" s="110">
        <f t="shared" si="10"/>
        <v>0</v>
      </c>
      <c r="O73" s="114">
        <v>43587</v>
      </c>
      <c r="P73" s="106" t="s">
        <v>950</v>
      </c>
      <c r="Q73" s="114">
        <v>43633</v>
      </c>
      <c r="R73" s="131" t="s">
        <v>1353</v>
      </c>
    </row>
    <row r="74" spans="1:19" ht="24" hidden="1" customHeight="1" x14ac:dyDescent="0.3">
      <c r="A74" s="104" t="s">
        <v>303</v>
      </c>
      <c r="B74" s="105"/>
      <c r="C74" s="107" t="s">
        <v>979</v>
      </c>
      <c r="D74" s="106" t="s">
        <v>1354</v>
      </c>
      <c r="E74" s="120"/>
      <c r="F74" s="107" t="s">
        <v>1357</v>
      </c>
      <c r="G74" s="106" t="s">
        <v>1355</v>
      </c>
      <c r="H74" s="106" t="s">
        <v>1356</v>
      </c>
      <c r="I74" s="109">
        <v>1814.75</v>
      </c>
      <c r="J74" s="109">
        <f t="shared" si="8"/>
        <v>362.95000000000005</v>
      </c>
      <c r="K74" s="109">
        <f t="shared" si="9"/>
        <v>2177.6999999999998</v>
      </c>
      <c r="L74" s="110"/>
      <c r="M74" s="111"/>
      <c r="N74" s="110">
        <f t="shared" si="10"/>
        <v>0</v>
      </c>
      <c r="O74" s="114">
        <v>43594</v>
      </c>
      <c r="P74" s="106" t="s">
        <v>950</v>
      </c>
      <c r="Q74" s="114">
        <v>43669</v>
      </c>
      <c r="R74" s="120"/>
    </row>
    <row r="75" spans="1:19" ht="24" hidden="1" customHeight="1" x14ac:dyDescent="0.3">
      <c r="A75" s="104" t="s">
        <v>304</v>
      </c>
      <c r="B75" s="105"/>
      <c r="C75" s="107" t="s">
        <v>1365</v>
      </c>
      <c r="D75" s="106" t="s">
        <v>1366</v>
      </c>
      <c r="E75" s="120"/>
      <c r="F75" s="107" t="s">
        <v>958</v>
      </c>
      <c r="G75" s="106" t="s">
        <v>1367</v>
      </c>
      <c r="H75" s="106" t="s">
        <v>1368</v>
      </c>
      <c r="I75" s="109">
        <v>3005</v>
      </c>
      <c r="J75" s="109">
        <f t="shared" si="8"/>
        <v>601</v>
      </c>
      <c r="K75" s="109">
        <f t="shared" si="9"/>
        <v>3606</v>
      </c>
      <c r="L75" s="110"/>
      <c r="M75" s="111"/>
      <c r="N75" s="110">
        <f t="shared" si="10"/>
        <v>0</v>
      </c>
      <c r="O75" s="114">
        <v>43600</v>
      </c>
      <c r="P75" s="106" t="s">
        <v>950</v>
      </c>
      <c r="Q75" s="114">
        <v>43631</v>
      </c>
      <c r="R75" s="131" t="s">
        <v>104</v>
      </c>
    </row>
    <row r="76" spans="1:19" ht="24" hidden="1" customHeight="1" x14ac:dyDescent="0.3">
      <c r="A76" s="104" t="s">
        <v>305</v>
      </c>
      <c r="B76" s="105"/>
      <c r="C76" s="107" t="s">
        <v>937</v>
      </c>
      <c r="D76" s="107" t="s">
        <v>1380</v>
      </c>
      <c r="E76" s="166">
        <v>0.5</v>
      </c>
      <c r="F76" s="107" t="s">
        <v>886</v>
      </c>
      <c r="G76" s="107" t="s">
        <v>1379</v>
      </c>
      <c r="H76" s="107" t="s">
        <v>1145</v>
      </c>
      <c r="I76" s="109">
        <v>5067.5</v>
      </c>
      <c r="J76" s="109">
        <f t="shared" si="8"/>
        <v>1013.5</v>
      </c>
      <c r="K76" s="109">
        <f t="shared" si="9"/>
        <v>6081</v>
      </c>
      <c r="L76" s="110"/>
      <c r="M76" s="111"/>
      <c r="N76" s="110">
        <f t="shared" si="10"/>
        <v>0</v>
      </c>
      <c r="O76" s="114">
        <v>43602</v>
      </c>
      <c r="P76" s="106" t="s">
        <v>950</v>
      </c>
      <c r="Q76" s="114">
        <v>43633</v>
      </c>
      <c r="R76" s="131" t="s">
        <v>105</v>
      </c>
      <c r="S76" s="99"/>
    </row>
    <row r="77" spans="1:19" ht="24" hidden="1" customHeight="1" x14ac:dyDescent="0.3">
      <c r="A77" s="104" t="s">
        <v>306</v>
      </c>
      <c r="B77" s="105"/>
      <c r="C77" s="107" t="s">
        <v>1304</v>
      </c>
      <c r="D77" s="106" t="s">
        <v>1269</v>
      </c>
      <c r="E77" s="120"/>
      <c r="F77" s="107" t="s">
        <v>886</v>
      </c>
      <c r="G77" s="106" t="s">
        <v>866</v>
      </c>
      <c r="H77" s="106" t="s">
        <v>1390</v>
      </c>
      <c r="I77" s="109">
        <v>1000</v>
      </c>
      <c r="J77" s="109">
        <f t="shared" si="8"/>
        <v>200</v>
      </c>
      <c r="K77" s="109">
        <f t="shared" si="9"/>
        <v>1200</v>
      </c>
      <c r="L77" s="110"/>
      <c r="M77" s="111"/>
      <c r="N77" s="110">
        <f t="shared" si="10"/>
        <v>0</v>
      </c>
      <c r="O77" s="114">
        <v>43602</v>
      </c>
      <c r="P77" s="106" t="s">
        <v>950</v>
      </c>
      <c r="Q77" s="114">
        <v>43633</v>
      </c>
      <c r="R77" s="131">
        <v>1900740</v>
      </c>
    </row>
    <row r="78" spans="1:19" ht="24" hidden="1" customHeight="1" x14ac:dyDescent="0.3">
      <c r="A78" s="104" t="s">
        <v>307</v>
      </c>
      <c r="B78" s="105"/>
      <c r="C78" s="107" t="s">
        <v>1304</v>
      </c>
      <c r="D78" s="106" t="s">
        <v>1269</v>
      </c>
      <c r="E78" s="120"/>
      <c r="F78" s="107" t="s">
        <v>1389</v>
      </c>
      <c r="G78" s="106" t="s">
        <v>866</v>
      </c>
      <c r="H78" s="106" t="s">
        <v>1390</v>
      </c>
      <c r="I78" s="109">
        <v>230</v>
      </c>
      <c r="J78" s="109">
        <f t="shared" si="8"/>
        <v>46</v>
      </c>
      <c r="K78" s="109">
        <f t="shared" si="9"/>
        <v>276</v>
      </c>
      <c r="L78" s="110"/>
      <c r="M78" s="111"/>
      <c r="N78" s="110">
        <f t="shared" si="10"/>
        <v>0</v>
      </c>
      <c r="O78" s="114">
        <v>43602</v>
      </c>
      <c r="P78" s="106" t="s">
        <v>950</v>
      </c>
      <c r="Q78" s="114">
        <v>43634</v>
      </c>
      <c r="R78" s="131">
        <v>1900737</v>
      </c>
    </row>
    <row r="79" spans="1:19" ht="24" hidden="1" customHeight="1" x14ac:dyDescent="0.3">
      <c r="A79" s="104" t="s">
        <v>308</v>
      </c>
      <c r="B79" s="105"/>
      <c r="C79" s="107" t="s">
        <v>1396</v>
      </c>
      <c r="D79" s="106" t="s">
        <v>1397</v>
      </c>
      <c r="E79" s="120"/>
      <c r="F79" s="107" t="s">
        <v>1398</v>
      </c>
      <c r="G79" s="106" t="s">
        <v>866</v>
      </c>
      <c r="H79" s="106" t="s">
        <v>1396</v>
      </c>
      <c r="I79" s="109">
        <v>270.83</v>
      </c>
      <c r="J79" s="109">
        <f t="shared" si="8"/>
        <v>54.165999999999997</v>
      </c>
      <c r="K79" s="109">
        <f t="shared" si="9"/>
        <v>324.99599999999998</v>
      </c>
      <c r="L79" s="110"/>
      <c r="M79" s="111"/>
      <c r="N79" s="110">
        <f t="shared" si="10"/>
        <v>0</v>
      </c>
      <c r="O79" s="114">
        <v>43607</v>
      </c>
      <c r="P79" s="106" t="s">
        <v>950</v>
      </c>
      <c r="Q79" s="114">
        <v>43607</v>
      </c>
      <c r="R79" s="136" t="s">
        <v>1444</v>
      </c>
    </row>
    <row r="80" spans="1:19" ht="24" hidden="1" customHeight="1" x14ac:dyDescent="0.3">
      <c r="A80" s="104" t="s">
        <v>309</v>
      </c>
      <c r="B80" s="105"/>
      <c r="C80" s="107" t="s">
        <v>1412</v>
      </c>
      <c r="D80" s="106" t="s">
        <v>1413</v>
      </c>
      <c r="E80" s="120"/>
      <c r="F80" s="107" t="s">
        <v>1398</v>
      </c>
      <c r="G80" s="106" t="s">
        <v>866</v>
      </c>
      <c r="H80" s="106" t="s">
        <v>1414</v>
      </c>
      <c r="I80" s="109">
        <v>245.83</v>
      </c>
      <c r="J80" s="109">
        <f t="shared" si="8"/>
        <v>49.166000000000004</v>
      </c>
      <c r="K80" s="109">
        <f t="shared" si="9"/>
        <v>294.99600000000004</v>
      </c>
      <c r="L80" s="110"/>
      <c r="M80" s="111"/>
      <c r="N80" s="110">
        <f t="shared" si="10"/>
        <v>0</v>
      </c>
      <c r="O80" s="114">
        <v>43614</v>
      </c>
      <c r="P80" s="106" t="s">
        <v>950</v>
      </c>
      <c r="Q80" s="114">
        <v>43614</v>
      </c>
      <c r="R80" s="136" t="s">
        <v>1445</v>
      </c>
    </row>
    <row r="81" spans="1:18" ht="24" hidden="1" customHeight="1" x14ac:dyDescent="0.3">
      <c r="A81" s="104" t="s">
        <v>310</v>
      </c>
      <c r="B81" s="105"/>
      <c r="C81" s="107" t="s">
        <v>1415</v>
      </c>
      <c r="D81" s="106" t="s">
        <v>1416</v>
      </c>
      <c r="E81" s="120"/>
      <c r="F81" s="107" t="s">
        <v>886</v>
      </c>
      <c r="G81" s="106" t="s">
        <v>866</v>
      </c>
      <c r="H81" s="106" t="s">
        <v>919</v>
      </c>
      <c r="I81" s="109">
        <v>2045</v>
      </c>
      <c r="J81" s="109">
        <f t="shared" si="8"/>
        <v>409</v>
      </c>
      <c r="K81" s="109">
        <f t="shared" si="9"/>
        <v>2454</v>
      </c>
      <c r="L81" s="110"/>
      <c r="M81" s="111"/>
      <c r="N81" s="110">
        <f t="shared" si="10"/>
        <v>0</v>
      </c>
      <c r="O81" s="114">
        <v>43617</v>
      </c>
      <c r="P81" s="106" t="s">
        <v>950</v>
      </c>
      <c r="Q81" s="114">
        <v>43647</v>
      </c>
      <c r="R81" s="136" t="s">
        <v>1417</v>
      </c>
    </row>
    <row r="82" spans="1:18" ht="24" hidden="1" customHeight="1" x14ac:dyDescent="0.3">
      <c r="A82" s="104" t="s">
        <v>311</v>
      </c>
      <c r="B82" s="121"/>
      <c r="C82" s="107" t="s">
        <v>956</v>
      </c>
      <c r="D82" s="148" t="s">
        <v>1002</v>
      </c>
      <c r="E82" s="158"/>
      <c r="F82" s="107" t="s">
        <v>886</v>
      </c>
      <c r="G82" s="149" t="s">
        <v>866</v>
      </c>
      <c r="H82" s="106" t="s">
        <v>1421</v>
      </c>
      <c r="I82" s="159">
        <v>716</v>
      </c>
      <c r="J82" s="109">
        <f t="shared" si="8"/>
        <v>143.20000000000002</v>
      </c>
      <c r="K82" s="109">
        <f t="shared" si="9"/>
        <v>859.2</v>
      </c>
      <c r="L82" s="110"/>
      <c r="M82" s="111"/>
      <c r="N82" s="110">
        <f t="shared" si="10"/>
        <v>0</v>
      </c>
      <c r="O82" s="114">
        <v>43620</v>
      </c>
      <c r="P82" s="106" t="s">
        <v>950</v>
      </c>
      <c r="Q82" s="114">
        <v>43650</v>
      </c>
      <c r="R82" s="149" t="s">
        <v>101</v>
      </c>
    </row>
    <row r="83" spans="1:18" ht="24" hidden="1" customHeight="1" x14ac:dyDescent="0.3">
      <c r="A83" s="104" t="s">
        <v>312</v>
      </c>
      <c r="B83" s="105"/>
      <c r="C83" s="107" t="s">
        <v>1422</v>
      </c>
      <c r="D83" s="107" t="s">
        <v>1423</v>
      </c>
      <c r="E83" s="120"/>
      <c r="F83" s="107" t="s">
        <v>1424</v>
      </c>
      <c r="G83" s="107" t="s">
        <v>1425</v>
      </c>
      <c r="H83" s="106" t="s">
        <v>1426</v>
      </c>
      <c r="I83" s="109">
        <v>195</v>
      </c>
      <c r="J83" s="109">
        <f t="shared" si="8"/>
        <v>39</v>
      </c>
      <c r="K83" s="109">
        <f t="shared" si="9"/>
        <v>234</v>
      </c>
      <c r="L83" s="110"/>
      <c r="M83" s="111"/>
      <c r="N83" s="110">
        <f t="shared" si="10"/>
        <v>0</v>
      </c>
      <c r="O83" s="114">
        <v>43620</v>
      </c>
      <c r="P83" s="106" t="s">
        <v>950</v>
      </c>
      <c r="Q83" s="114">
        <v>43650</v>
      </c>
      <c r="R83" s="136" t="s">
        <v>1427</v>
      </c>
    </row>
    <row r="84" spans="1:18" ht="24" hidden="1" customHeight="1" x14ac:dyDescent="0.3">
      <c r="A84" s="104" t="s">
        <v>313</v>
      </c>
      <c r="B84" s="105"/>
      <c r="C84" s="107" t="s">
        <v>1422</v>
      </c>
      <c r="D84" s="106" t="s">
        <v>1428</v>
      </c>
      <c r="E84" s="116"/>
      <c r="F84" s="107" t="s">
        <v>1424</v>
      </c>
      <c r="G84" s="106" t="s">
        <v>1255</v>
      </c>
      <c r="H84" s="106" t="s">
        <v>1426</v>
      </c>
      <c r="I84" s="109">
        <v>8220</v>
      </c>
      <c r="J84" s="109">
        <f t="shared" si="8"/>
        <v>1644</v>
      </c>
      <c r="K84" s="109">
        <f t="shared" si="9"/>
        <v>9864</v>
      </c>
      <c r="L84" s="110"/>
      <c r="M84" s="111"/>
      <c r="N84" s="110">
        <f t="shared" si="10"/>
        <v>0</v>
      </c>
      <c r="O84" s="114">
        <v>43620</v>
      </c>
      <c r="P84" s="106" t="s">
        <v>950</v>
      </c>
      <c r="Q84" s="114">
        <v>43650</v>
      </c>
      <c r="R84" s="136" t="s">
        <v>1429</v>
      </c>
    </row>
    <row r="85" spans="1:18" ht="24" hidden="1" customHeight="1" x14ac:dyDescent="0.3">
      <c r="A85" s="104" t="s">
        <v>314</v>
      </c>
      <c r="B85" s="105"/>
      <c r="C85" s="107" t="s">
        <v>979</v>
      </c>
      <c r="D85" s="106" t="s">
        <v>1430</v>
      </c>
      <c r="E85" s="120"/>
      <c r="F85" s="107" t="s">
        <v>903</v>
      </c>
      <c r="G85" s="106" t="s">
        <v>1431</v>
      </c>
      <c r="H85" s="106" t="s">
        <v>1432</v>
      </c>
      <c r="I85" s="109">
        <v>265.33999999999997</v>
      </c>
      <c r="J85" s="109">
        <f t="shared" si="8"/>
        <v>53.067999999999998</v>
      </c>
      <c r="K85" s="109">
        <f t="shared" si="9"/>
        <v>318.40799999999996</v>
      </c>
      <c r="L85" s="110"/>
      <c r="M85" s="111"/>
      <c r="N85" s="110">
        <f t="shared" si="10"/>
        <v>0</v>
      </c>
      <c r="O85" s="114">
        <v>43620</v>
      </c>
      <c r="P85" s="106" t="s">
        <v>950</v>
      </c>
      <c r="Q85" s="114">
        <v>43666</v>
      </c>
      <c r="R85" s="116">
        <v>944591</v>
      </c>
    </row>
    <row r="86" spans="1:18" ht="24" hidden="1" customHeight="1" x14ac:dyDescent="0.3">
      <c r="A86" s="104" t="s">
        <v>315</v>
      </c>
      <c r="B86" s="105"/>
      <c r="C86" s="107" t="s">
        <v>979</v>
      </c>
      <c r="D86" s="106" t="s">
        <v>1433</v>
      </c>
      <c r="E86" s="120"/>
      <c r="F86" s="107" t="s">
        <v>903</v>
      </c>
      <c r="G86" s="106" t="s">
        <v>1434</v>
      </c>
      <c r="H86" s="106" t="s">
        <v>1432</v>
      </c>
      <c r="I86" s="109">
        <v>1732.05</v>
      </c>
      <c r="J86" s="109">
        <f t="shared" si="8"/>
        <v>346.41</v>
      </c>
      <c r="K86" s="109">
        <f t="shared" si="9"/>
        <v>2078.46</v>
      </c>
      <c r="L86" s="110"/>
      <c r="M86" s="111"/>
      <c r="N86" s="110">
        <f t="shared" si="10"/>
        <v>0</v>
      </c>
      <c r="O86" s="114">
        <v>43620</v>
      </c>
      <c r="P86" s="106" t="s">
        <v>950</v>
      </c>
      <c r="Q86" s="114">
        <v>43666</v>
      </c>
      <c r="R86" s="116">
        <v>944607</v>
      </c>
    </row>
    <row r="87" spans="1:18" s="59" customFormat="1" ht="24" hidden="1" customHeight="1" x14ac:dyDescent="0.3">
      <c r="A87" s="104" t="s">
        <v>316</v>
      </c>
      <c r="B87" s="105"/>
      <c r="C87" s="107" t="s">
        <v>1247</v>
      </c>
      <c r="D87" s="106" t="s">
        <v>1436</v>
      </c>
      <c r="E87" s="120"/>
      <c r="F87" s="107" t="s">
        <v>933</v>
      </c>
      <c r="G87" s="106" t="s">
        <v>866</v>
      </c>
      <c r="H87" s="106" t="s">
        <v>908</v>
      </c>
      <c r="I87" s="109">
        <v>1245</v>
      </c>
      <c r="J87" s="109">
        <f t="shared" si="8"/>
        <v>249</v>
      </c>
      <c r="K87" s="109">
        <f t="shared" si="9"/>
        <v>1494</v>
      </c>
      <c r="L87" s="110"/>
      <c r="M87" s="111"/>
      <c r="N87" s="110">
        <f t="shared" si="10"/>
        <v>0</v>
      </c>
      <c r="O87" s="114">
        <v>43620</v>
      </c>
      <c r="P87" s="106" t="s">
        <v>950</v>
      </c>
      <c r="Q87" s="114">
        <v>43650</v>
      </c>
      <c r="R87" s="131" t="s">
        <v>100</v>
      </c>
    </row>
    <row r="88" spans="1:18" s="59" customFormat="1" ht="24" hidden="1" customHeight="1" x14ac:dyDescent="0.3">
      <c r="A88" s="104" t="s">
        <v>317</v>
      </c>
      <c r="B88" s="105"/>
      <c r="C88" s="107" t="s">
        <v>1028</v>
      </c>
      <c r="D88" s="106" t="s">
        <v>1437</v>
      </c>
      <c r="E88" s="120"/>
      <c r="F88" s="107" t="s">
        <v>1024</v>
      </c>
      <c r="G88" s="106" t="s">
        <v>1031</v>
      </c>
      <c r="H88" s="106" t="s">
        <v>1041</v>
      </c>
      <c r="I88" s="109">
        <v>5035</v>
      </c>
      <c r="J88" s="109">
        <f t="shared" si="8"/>
        <v>1007</v>
      </c>
      <c r="K88" s="109">
        <f t="shared" si="9"/>
        <v>6042</v>
      </c>
      <c r="L88" s="110"/>
      <c r="M88" s="111"/>
      <c r="N88" s="110">
        <f t="shared" si="10"/>
        <v>0</v>
      </c>
      <c r="O88" s="114">
        <v>43621</v>
      </c>
      <c r="P88" s="106" t="s">
        <v>950</v>
      </c>
      <c r="Q88" s="114">
        <v>43651</v>
      </c>
      <c r="R88" s="131" t="s">
        <v>1438</v>
      </c>
    </row>
    <row r="89" spans="1:18" s="59" customFormat="1" ht="24" hidden="1" customHeight="1" x14ac:dyDescent="0.3">
      <c r="A89" s="104" t="s">
        <v>318</v>
      </c>
      <c r="B89" s="105"/>
      <c r="C89" s="106" t="s">
        <v>947</v>
      </c>
      <c r="D89" s="107" t="s">
        <v>1071</v>
      </c>
      <c r="E89" s="107"/>
      <c r="F89" s="107" t="s">
        <v>1440</v>
      </c>
      <c r="G89" s="107">
        <v>75015</v>
      </c>
      <c r="H89" s="163" t="s">
        <v>1207</v>
      </c>
      <c r="I89" s="109">
        <v>5970</v>
      </c>
      <c r="J89" s="109">
        <f t="shared" si="8"/>
        <v>1194</v>
      </c>
      <c r="K89" s="109">
        <f t="shared" si="9"/>
        <v>7164</v>
      </c>
      <c r="L89" s="110"/>
      <c r="M89" s="111"/>
      <c r="N89" s="110">
        <f t="shared" si="10"/>
        <v>0</v>
      </c>
      <c r="O89" s="114">
        <v>43622</v>
      </c>
      <c r="P89" s="106" t="s">
        <v>950</v>
      </c>
      <c r="Q89" s="114">
        <v>43652</v>
      </c>
      <c r="R89" s="131" t="s">
        <v>129</v>
      </c>
    </row>
    <row r="90" spans="1:18" s="59" customFormat="1" ht="24" hidden="1" customHeight="1" x14ac:dyDescent="0.3">
      <c r="A90" s="104" t="s">
        <v>319</v>
      </c>
      <c r="B90" s="105"/>
      <c r="C90" s="106" t="s">
        <v>947</v>
      </c>
      <c r="D90" s="107" t="s">
        <v>1086</v>
      </c>
      <c r="E90" s="107"/>
      <c r="F90" s="107" t="s">
        <v>1480</v>
      </c>
      <c r="G90" s="107">
        <v>75015</v>
      </c>
      <c r="H90" s="163" t="s">
        <v>1207</v>
      </c>
      <c r="I90" s="109">
        <v>1408</v>
      </c>
      <c r="J90" s="109">
        <f t="shared" si="8"/>
        <v>281.60000000000002</v>
      </c>
      <c r="K90" s="109">
        <f t="shared" si="9"/>
        <v>1689.6</v>
      </c>
      <c r="L90" s="110"/>
      <c r="M90" s="111"/>
      <c r="N90" s="110">
        <f t="shared" si="10"/>
        <v>0</v>
      </c>
      <c r="O90" s="114">
        <v>43633</v>
      </c>
      <c r="P90" s="106" t="s">
        <v>950</v>
      </c>
      <c r="Q90" s="114">
        <v>43652</v>
      </c>
      <c r="R90" s="131" t="s">
        <v>130</v>
      </c>
    </row>
    <row r="91" spans="1:18" s="59" customFormat="1" ht="24" hidden="1" customHeight="1" x14ac:dyDescent="0.3">
      <c r="A91" s="104" t="s">
        <v>320</v>
      </c>
      <c r="B91" s="105"/>
      <c r="C91" s="107" t="s">
        <v>1016</v>
      </c>
      <c r="D91" s="106" t="s">
        <v>1017</v>
      </c>
      <c r="E91" s="120"/>
      <c r="F91" s="107" t="s">
        <v>1450</v>
      </c>
      <c r="G91" s="106" t="s">
        <v>1019</v>
      </c>
      <c r="H91" s="106" t="s">
        <v>1451</v>
      </c>
      <c r="I91" s="109">
        <v>1045</v>
      </c>
      <c r="J91" s="109">
        <f t="shared" si="8"/>
        <v>209</v>
      </c>
      <c r="K91" s="109">
        <f t="shared" si="9"/>
        <v>1254</v>
      </c>
      <c r="L91" s="110"/>
      <c r="M91" s="111"/>
      <c r="N91" s="110">
        <f t="shared" si="10"/>
        <v>0</v>
      </c>
      <c r="O91" s="114">
        <v>43628</v>
      </c>
      <c r="P91" s="106" t="s">
        <v>950</v>
      </c>
      <c r="Q91" s="114">
        <v>43658</v>
      </c>
      <c r="R91" s="131" t="s">
        <v>126</v>
      </c>
    </row>
    <row r="92" spans="1:18" s="59" customFormat="1" ht="24" hidden="1" customHeight="1" x14ac:dyDescent="0.3">
      <c r="A92" s="104" t="s">
        <v>321</v>
      </c>
      <c r="B92" s="105"/>
      <c r="C92" s="107" t="s">
        <v>1304</v>
      </c>
      <c r="D92" s="106" t="s">
        <v>1456</v>
      </c>
      <c r="E92" s="120"/>
      <c r="F92" s="107" t="s">
        <v>903</v>
      </c>
      <c r="G92" s="106" t="s">
        <v>866</v>
      </c>
      <c r="H92" s="106" t="s">
        <v>1457</v>
      </c>
      <c r="I92" s="109">
        <v>760</v>
      </c>
      <c r="J92" s="109">
        <f t="shared" si="8"/>
        <v>152</v>
      </c>
      <c r="K92" s="109">
        <f t="shared" si="9"/>
        <v>912</v>
      </c>
      <c r="L92" s="110"/>
      <c r="M92" s="111"/>
      <c r="N92" s="110">
        <f t="shared" si="10"/>
        <v>0</v>
      </c>
      <c r="O92" s="114">
        <v>43636</v>
      </c>
      <c r="P92" s="106" t="s">
        <v>950</v>
      </c>
      <c r="Q92" s="114">
        <v>43666</v>
      </c>
      <c r="R92" s="131" t="s">
        <v>128</v>
      </c>
    </row>
    <row r="93" spans="1:18" s="59" customFormat="1" ht="24" hidden="1" customHeight="1" x14ac:dyDescent="0.3">
      <c r="A93" s="104" t="s">
        <v>322</v>
      </c>
      <c r="B93" s="105"/>
      <c r="C93" s="107" t="s">
        <v>1463</v>
      </c>
      <c r="D93" s="106" t="s">
        <v>1464</v>
      </c>
      <c r="E93" s="120"/>
      <c r="F93" s="107" t="s">
        <v>903</v>
      </c>
      <c r="G93" s="106" t="s">
        <v>1465</v>
      </c>
      <c r="H93" s="106" t="s">
        <v>1432</v>
      </c>
      <c r="I93" s="109">
        <v>2588.8000000000002</v>
      </c>
      <c r="J93" s="109">
        <f t="shared" si="8"/>
        <v>517.7600000000001</v>
      </c>
      <c r="K93" s="109">
        <f t="shared" si="9"/>
        <v>3106.5600000000004</v>
      </c>
      <c r="L93" s="110"/>
      <c r="M93" s="111"/>
      <c r="N93" s="110">
        <f t="shared" si="10"/>
        <v>0</v>
      </c>
      <c r="O93" s="114">
        <v>43633</v>
      </c>
      <c r="P93" s="106" t="s">
        <v>950</v>
      </c>
      <c r="Q93" s="114">
        <v>43679</v>
      </c>
      <c r="R93" s="120">
        <v>947895</v>
      </c>
    </row>
    <row r="94" spans="1:18" s="59" customFormat="1" ht="24" hidden="1" customHeight="1" x14ac:dyDescent="0.3">
      <c r="A94" s="104" t="s">
        <v>323</v>
      </c>
      <c r="B94" s="105"/>
      <c r="C94" s="107" t="s">
        <v>1463</v>
      </c>
      <c r="D94" s="106" t="s">
        <v>1406</v>
      </c>
      <c r="E94" s="131"/>
      <c r="F94" s="131" t="s">
        <v>1407</v>
      </c>
      <c r="G94" s="106" t="s">
        <v>1167</v>
      </c>
      <c r="H94" s="117" t="s">
        <v>1478</v>
      </c>
      <c r="I94" s="117">
        <v>928.7</v>
      </c>
      <c r="J94" s="109">
        <f t="shared" si="8"/>
        <v>185.74</v>
      </c>
      <c r="K94" s="109">
        <f t="shared" si="9"/>
        <v>1114.44</v>
      </c>
      <c r="L94" s="110"/>
      <c r="M94" s="111"/>
      <c r="N94" s="110">
        <f t="shared" si="10"/>
        <v>0</v>
      </c>
      <c r="O94" s="114">
        <v>43637</v>
      </c>
      <c r="P94" s="106" t="s">
        <v>950</v>
      </c>
      <c r="Q94" s="114">
        <v>43679</v>
      </c>
      <c r="R94" s="131" t="s">
        <v>1479</v>
      </c>
    </row>
    <row r="95" spans="1:18" s="59" customFormat="1" ht="24" hidden="1" customHeight="1" x14ac:dyDescent="0.3">
      <c r="A95" s="104" t="s">
        <v>324</v>
      </c>
      <c r="B95" s="105"/>
      <c r="C95" s="106" t="s">
        <v>947</v>
      </c>
      <c r="D95" s="107" t="s">
        <v>1481</v>
      </c>
      <c r="E95" s="107"/>
      <c r="F95" s="107" t="s">
        <v>1480</v>
      </c>
      <c r="G95" s="107">
        <v>75015</v>
      </c>
      <c r="H95" s="163" t="s">
        <v>1207</v>
      </c>
      <c r="I95" s="109">
        <v>2985</v>
      </c>
      <c r="J95" s="109">
        <f t="shared" si="8"/>
        <v>597</v>
      </c>
      <c r="K95" s="109">
        <f t="shared" si="9"/>
        <v>3582</v>
      </c>
      <c r="L95" s="110"/>
      <c r="M95" s="111"/>
      <c r="N95" s="110">
        <f t="shared" si="10"/>
        <v>0</v>
      </c>
      <c r="O95" s="114">
        <v>43638</v>
      </c>
      <c r="P95" s="106" t="s">
        <v>950</v>
      </c>
      <c r="Q95" s="114">
        <v>43668</v>
      </c>
      <c r="R95" s="131" t="s">
        <v>1485</v>
      </c>
    </row>
    <row r="96" spans="1:18" s="59" customFormat="1" ht="24" hidden="1" customHeight="1" x14ac:dyDescent="0.3">
      <c r="A96" s="104" t="s">
        <v>325</v>
      </c>
      <c r="B96" s="105"/>
      <c r="C96" s="107" t="s">
        <v>1493</v>
      </c>
      <c r="D96" s="106" t="s">
        <v>1330</v>
      </c>
      <c r="E96" s="120"/>
      <c r="F96" s="107" t="s">
        <v>1494</v>
      </c>
      <c r="G96" s="106">
        <v>75018</v>
      </c>
      <c r="H96" s="106" t="s">
        <v>1295</v>
      </c>
      <c r="I96" s="109">
        <v>1155</v>
      </c>
      <c r="J96" s="109">
        <f t="shared" si="8"/>
        <v>231</v>
      </c>
      <c r="K96" s="109">
        <f t="shared" si="9"/>
        <v>1386</v>
      </c>
      <c r="L96" s="110"/>
      <c r="M96" s="111"/>
      <c r="N96" s="110">
        <f t="shared" si="10"/>
        <v>0</v>
      </c>
      <c r="O96" s="114">
        <v>43641</v>
      </c>
      <c r="P96" s="106" t="s">
        <v>950</v>
      </c>
      <c r="Q96" s="113">
        <v>43671</v>
      </c>
      <c r="R96" s="131" t="s">
        <v>1495</v>
      </c>
    </row>
    <row r="97" spans="1:18" s="59" customFormat="1" ht="24" hidden="1" customHeight="1" x14ac:dyDescent="0.3">
      <c r="A97" s="104" t="s">
        <v>326</v>
      </c>
      <c r="B97" s="105"/>
      <c r="C97" s="107" t="s">
        <v>956</v>
      </c>
      <c r="D97" s="106" t="s">
        <v>1034</v>
      </c>
      <c r="E97" s="120"/>
      <c r="F97" s="107" t="s">
        <v>958</v>
      </c>
      <c r="G97" s="106" t="s">
        <v>866</v>
      </c>
      <c r="H97" s="106" t="s">
        <v>1011</v>
      </c>
      <c r="I97" s="109">
        <v>2600</v>
      </c>
      <c r="J97" s="109">
        <f t="shared" si="8"/>
        <v>520</v>
      </c>
      <c r="K97" s="109">
        <f t="shared" si="9"/>
        <v>3120</v>
      </c>
      <c r="L97" s="110"/>
      <c r="M97" s="111"/>
      <c r="N97" s="110">
        <f t="shared" si="10"/>
        <v>0</v>
      </c>
      <c r="O97" s="114">
        <v>43642</v>
      </c>
      <c r="P97" s="106" t="s">
        <v>950</v>
      </c>
      <c r="Q97" s="114">
        <v>43672</v>
      </c>
      <c r="R97" s="106" t="s">
        <v>39</v>
      </c>
    </row>
    <row r="98" spans="1:18" s="59" customFormat="1" ht="24" hidden="1" customHeight="1" x14ac:dyDescent="0.3">
      <c r="A98" s="104" t="s">
        <v>327</v>
      </c>
      <c r="B98" s="105"/>
      <c r="C98" s="107" t="s">
        <v>1463</v>
      </c>
      <c r="D98" s="106" t="s">
        <v>1501</v>
      </c>
      <c r="E98" s="120"/>
      <c r="F98" s="107" t="s">
        <v>886</v>
      </c>
      <c r="G98" s="106" t="s">
        <v>928</v>
      </c>
      <c r="H98" s="106" t="s">
        <v>1502</v>
      </c>
      <c r="I98" s="109">
        <v>4725</v>
      </c>
      <c r="J98" s="109">
        <f t="shared" si="8"/>
        <v>945</v>
      </c>
      <c r="K98" s="109">
        <f t="shared" si="9"/>
        <v>5670</v>
      </c>
      <c r="L98" s="110"/>
      <c r="M98" s="111"/>
      <c r="N98" s="110">
        <f t="shared" si="10"/>
        <v>0</v>
      </c>
      <c r="O98" s="114">
        <v>43642</v>
      </c>
      <c r="P98" s="106" t="s">
        <v>950</v>
      </c>
      <c r="Q98" s="114">
        <v>43687</v>
      </c>
      <c r="R98" s="106">
        <v>942658</v>
      </c>
    </row>
    <row r="99" spans="1:18" s="59" customFormat="1" ht="24" hidden="1" customHeight="1" x14ac:dyDescent="0.3">
      <c r="A99" s="104" t="s">
        <v>328</v>
      </c>
      <c r="B99" s="105"/>
      <c r="C99" s="107" t="s">
        <v>1509</v>
      </c>
      <c r="D99" s="106" t="s">
        <v>1510</v>
      </c>
      <c r="E99" s="120"/>
      <c r="F99" s="107" t="s">
        <v>1511</v>
      </c>
      <c r="G99" s="106" t="s">
        <v>1512</v>
      </c>
      <c r="H99" s="106" t="s">
        <v>1513</v>
      </c>
      <c r="I99" s="109">
        <v>390</v>
      </c>
      <c r="J99" s="109">
        <f t="shared" si="8"/>
        <v>78</v>
      </c>
      <c r="K99" s="109">
        <f t="shared" si="9"/>
        <v>468</v>
      </c>
      <c r="L99" s="110"/>
      <c r="M99" s="111"/>
      <c r="N99" s="110">
        <f t="shared" si="10"/>
        <v>0</v>
      </c>
      <c r="O99" s="114">
        <v>43644</v>
      </c>
      <c r="P99" s="106" t="s">
        <v>950</v>
      </c>
      <c r="Q99" s="114">
        <v>43674</v>
      </c>
      <c r="R99" s="106"/>
    </row>
    <row r="100" spans="1:18" ht="24" hidden="1" customHeight="1" x14ac:dyDescent="0.3">
      <c r="A100" s="104" t="s">
        <v>329</v>
      </c>
      <c r="B100" s="105"/>
      <c r="C100" s="107" t="s">
        <v>1486</v>
      </c>
      <c r="D100" s="106" t="s">
        <v>1520</v>
      </c>
      <c r="E100" s="116"/>
      <c r="F100" s="107" t="s">
        <v>886</v>
      </c>
      <c r="G100" s="107" t="s">
        <v>1371</v>
      </c>
      <c r="H100" s="106" t="s">
        <v>1082</v>
      </c>
      <c r="I100" s="109">
        <v>1215</v>
      </c>
      <c r="J100" s="109">
        <f t="shared" si="8"/>
        <v>243</v>
      </c>
      <c r="K100" s="109">
        <f t="shared" si="9"/>
        <v>1458</v>
      </c>
      <c r="L100" s="110"/>
      <c r="M100" s="111"/>
      <c r="N100" s="110">
        <f t="shared" si="10"/>
        <v>0</v>
      </c>
      <c r="O100" s="114">
        <v>43648</v>
      </c>
      <c r="P100" s="106" t="s">
        <v>950</v>
      </c>
      <c r="Q100" s="114">
        <v>43692</v>
      </c>
      <c r="R100" s="116">
        <v>950595</v>
      </c>
    </row>
    <row r="101" spans="1:18" ht="24" hidden="1" customHeight="1" x14ac:dyDescent="0.3">
      <c r="A101" s="104" t="s">
        <v>330</v>
      </c>
      <c r="B101" s="105"/>
      <c r="C101" s="107" t="s">
        <v>1486</v>
      </c>
      <c r="D101" s="107" t="s">
        <v>1521</v>
      </c>
      <c r="E101" s="116"/>
      <c r="F101" s="107" t="s">
        <v>886</v>
      </c>
      <c r="G101" s="106" t="s">
        <v>1369</v>
      </c>
      <c r="H101" s="106" t="s">
        <v>1082</v>
      </c>
      <c r="I101" s="109">
        <v>2434.5</v>
      </c>
      <c r="J101" s="109">
        <f t="shared" si="8"/>
        <v>486.90000000000003</v>
      </c>
      <c r="K101" s="109">
        <f t="shared" si="9"/>
        <v>2921.4</v>
      </c>
      <c r="L101" s="110"/>
      <c r="M101" s="111"/>
      <c r="N101" s="110">
        <f t="shared" si="10"/>
        <v>0</v>
      </c>
      <c r="O101" s="114">
        <v>43648</v>
      </c>
      <c r="P101" s="106" t="s">
        <v>950</v>
      </c>
      <c r="Q101" s="114">
        <v>43692</v>
      </c>
      <c r="R101" s="116">
        <v>950590</v>
      </c>
    </row>
    <row r="102" spans="1:18" ht="24" hidden="1" customHeight="1" x14ac:dyDescent="0.3">
      <c r="A102" s="104" t="s">
        <v>331</v>
      </c>
      <c r="B102" s="105"/>
      <c r="C102" s="107" t="s">
        <v>1486</v>
      </c>
      <c r="D102" s="106" t="s">
        <v>1524</v>
      </c>
      <c r="E102" s="116"/>
      <c r="F102" s="107" t="s">
        <v>886</v>
      </c>
      <c r="G102" s="106" t="s">
        <v>1522</v>
      </c>
      <c r="H102" s="106" t="s">
        <v>1082</v>
      </c>
      <c r="I102" s="109">
        <v>3933</v>
      </c>
      <c r="J102" s="109">
        <f t="shared" si="8"/>
        <v>786.6</v>
      </c>
      <c r="K102" s="109">
        <f t="shared" si="9"/>
        <v>4719.6000000000004</v>
      </c>
      <c r="L102" s="110"/>
      <c r="M102" s="111"/>
      <c r="N102" s="110">
        <f t="shared" si="10"/>
        <v>0</v>
      </c>
      <c r="O102" s="114">
        <v>43648</v>
      </c>
      <c r="P102" s="106" t="s">
        <v>950</v>
      </c>
      <c r="Q102" s="114">
        <v>43692</v>
      </c>
      <c r="R102" s="116">
        <v>949245</v>
      </c>
    </row>
    <row r="103" spans="1:18" ht="24" hidden="1" customHeight="1" x14ac:dyDescent="0.3">
      <c r="A103" s="104" t="s">
        <v>332</v>
      </c>
      <c r="B103" s="105"/>
      <c r="C103" s="107" t="s">
        <v>1486</v>
      </c>
      <c r="D103" s="106" t="s">
        <v>1523</v>
      </c>
      <c r="E103" s="116"/>
      <c r="F103" s="107" t="s">
        <v>886</v>
      </c>
      <c r="G103" s="106" t="s">
        <v>1522</v>
      </c>
      <c r="H103" s="106" t="s">
        <v>1082</v>
      </c>
      <c r="I103" s="109">
        <v>1701</v>
      </c>
      <c r="J103" s="109">
        <f t="shared" si="8"/>
        <v>340.20000000000005</v>
      </c>
      <c r="K103" s="109">
        <f t="shared" si="9"/>
        <v>2041.2</v>
      </c>
      <c r="L103" s="110"/>
      <c r="M103" s="111"/>
      <c r="N103" s="110">
        <f t="shared" si="10"/>
        <v>0</v>
      </c>
      <c r="O103" s="114">
        <v>43648</v>
      </c>
      <c r="P103" s="106" t="s">
        <v>950</v>
      </c>
      <c r="Q103" s="114">
        <v>43692</v>
      </c>
      <c r="R103" s="116">
        <v>950600</v>
      </c>
    </row>
    <row r="104" spans="1:18" ht="24" hidden="1" customHeight="1" x14ac:dyDescent="0.3">
      <c r="A104" s="104" t="s">
        <v>333</v>
      </c>
      <c r="B104" s="105"/>
      <c r="C104" s="107" t="s">
        <v>1525</v>
      </c>
      <c r="D104" s="107" t="s">
        <v>1311</v>
      </c>
      <c r="E104" s="116"/>
      <c r="F104" s="107" t="s">
        <v>933</v>
      </c>
      <c r="G104" s="106" t="s">
        <v>866</v>
      </c>
      <c r="H104" s="106" t="s">
        <v>1295</v>
      </c>
      <c r="I104" s="109">
        <v>965</v>
      </c>
      <c r="J104" s="109">
        <f t="shared" si="8"/>
        <v>193</v>
      </c>
      <c r="K104" s="109">
        <f t="shared" si="9"/>
        <v>1158</v>
      </c>
      <c r="L104" s="110"/>
      <c r="M104" s="111"/>
      <c r="N104" s="110">
        <f t="shared" si="10"/>
        <v>0</v>
      </c>
      <c r="O104" s="114">
        <v>43648</v>
      </c>
      <c r="P104" s="106" t="s">
        <v>950</v>
      </c>
      <c r="Q104" s="114">
        <v>43679</v>
      </c>
      <c r="R104" s="136" t="s">
        <v>1526</v>
      </c>
    </row>
    <row r="105" spans="1:18" ht="24" hidden="1" customHeight="1" x14ac:dyDescent="0.3">
      <c r="A105" s="104" t="s">
        <v>334</v>
      </c>
      <c r="B105" s="105"/>
      <c r="C105" s="106" t="s">
        <v>1137</v>
      </c>
      <c r="D105" s="106" t="s">
        <v>1209</v>
      </c>
      <c r="E105" s="120"/>
      <c r="F105" s="107" t="s">
        <v>1527</v>
      </c>
      <c r="G105" s="106">
        <v>75016</v>
      </c>
      <c r="H105" s="106" t="s">
        <v>1210</v>
      </c>
      <c r="I105" s="109">
        <v>1055</v>
      </c>
      <c r="J105" s="109">
        <f t="shared" si="8"/>
        <v>211</v>
      </c>
      <c r="K105" s="109">
        <f t="shared" si="9"/>
        <v>1266</v>
      </c>
      <c r="L105" s="110"/>
      <c r="M105" s="111"/>
      <c r="N105" s="110">
        <f t="shared" si="10"/>
        <v>0</v>
      </c>
      <c r="O105" s="114">
        <v>43649</v>
      </c>
      <c r="P105" s="106" t="s">
        <v>950</v>
      </c>
      <c r="Q105" s="114">
        <v>43680</v>
      </c>
      <c r="R105" s="131" t="s">
        <v>1528</v>
      </c>
    </row>
    <row r="106" spans="1:18" ht="24" hidden="1" customHeight="1" x14ac:dyDescent="0.3">
      <c r="A106" s="104" t="s">
        <v>335</v>
      </c>
      <c r="B106" s="105"/>
      <c r="C106" s="107" t="s">
        <v>1247</v>
      </c>
      <c r="D106" s="107" t="s">
        <v>1529</v>
      </c>
      <c r="E106" s="116"/>
      <c r="F106" s="107" t="s">
        <v>865</v>
      </c>
      <c r="G106" s="106">
        <v>75015</v>
      </c>
      <c r="H106" s="106" t="s">
        <v>934</v>
      </c>
      <c r="I106" s="109">
        <v>400</v>
      </c>
      <c r="J106" s="109">
        <f t="shared" si="8"/>
        <v>80</v>
      </c>
      <c r="K106" s="109">
        <f t="shared" si="9"/>
        <v>480</v>
      </c>
      <c r="L106" s="110"/>
      <c r="M106" s="111"/>
      <c r="N106" s="110">
        <f t="shared" si="10"/>
        <v>0</v>
      </c>
      <c r="O106" s="114">
        <v>43649</v>
      </c>
      <c r="P106" s="106" t="s">
        <v>950</v>
      </c>
      <c r="Q106" s="114">
        <v>43680</v>
      </c>
      <c r="R106" s="136" t="s">
        <v>144</v>
      </c>
    </row>
    <row r="107" spans="1:18" ht="24" hidden="1" customHeight="1" x14ac:dyDescent="0.3">
      <c r="A107" s="104" t="s">
        <v>336</v>
      </c>
      <c r="B107" s="105"/>
      <c r="C107" s="107" t="s">
        <v>1261</v>
      </c>
      <c r="D107" s="107" t="s">
        <v>1264</v>
      </c>
      <c r="E107" s="107"/>
      <c r="F107" s="107" t="s">
        <v>1473</v>
      </c>
      <c r="G107" s="107" t="s">
        <v>1530</v>
      </c>
      <c r="H107" s="130">
        <v>1520</v>
      </c>
      <c r="I107" s="109">
        <v>1520</v>
      </c>
      <c r="J107" s="109">
        <f t="shared" si="8"/>
        <v>304</v>
      </c>
      <c r="K107" s="109">
        <f t="shared" si="9"/>
        <v>1824</v>
      </c>
      <c r="L107" s="110"/>
      <c r="M107" s="111"/>
      <c r="N107" s="110">
        <f t="shared" si="10"/>
        <v>0</v>
      </c>
      <c r="O107" s="114">
        <v>43649</v>
      </c>
      <c r="P107" s="106" t="s">
        <v>950</v>
      </c>
      <c r="Q107" s="114">
        <v>43680</v>
      </c>
      <c r="R107" s="136" t="s">
        <v>138</v>
      </c>
    </row>
    <row r="108" spans="1:18" ht="24" hidden="1" customHeight="1" x14ac:dyDescent="0.3">
      <c r="A108" s="104" t="s">
        <v>337</v>
      </c>
      <c r="B108" s="105"/>
      <c r="C108" s="107" t="s">
        <v>956</v>
      </c>
      <c r="D108" s="107" t="s">
        <v>1476</v>
      </c>
      <c r="E108" s="107" t="s">
        <v>933</v>
      </c>
      <c r="F108" s="107" t="s">
        <v>933</v>
      </c>
      <c r="G108" s="107" t="s">
        <v>933</v>
      </c>
      <c r="H108" s="165" t="s">
        <v>1011</v>
      </c>
      <c r="I108" s="130">
        <v>680</v>
      </c>
      <c r="J108" s="109">
        <f t="shared" si="8"/>
        <v>136</v>
      </c>
      <c r="K108" s="109">
        <f t="shared" si="9"/>
        <v>816</v>
      </c>
      <c r="L108" s="110"/>
      <c r="M108" s="111"/>
      <c r="N108" s="110">
        <f t="shared" si="10"/>
        <v>0</v>
      </c>
      <c r="O108" s="114">
        <v>43650</v>
      </c>
      <c r="P108" s="106" t="s">
        <v>950</v>
      </c>
      <c r="Q108" s="114">
        <v>43681</v>
      </c>
      <c r="R108" s="136" t="s">
        <v>139</v>
      </c>
    </row>
    <row r="109" spans="1:18" ht="24" hidden="1" customHeight="1" x14ac:dyDescent="0.3">
      <c r="A109" s="104" t="s">
        <v>338</v>
      </c>
      <c r="B109" s="105"/>
      <c r="C109" s="107" t="s">
        <v>884</v>
      </c>
      <c r="D109" s="106" t="s">
        <v>1676</v>
      </c>
      <c r="E109" s="116"/>
      <c r="F109" s="107" t="s">
        <v>886</v>
      </c>
      <c r="G109" s="106" t="s">
        <v>911</v>
      </c>
      <c r="H109" s="106" t="s">
        <v>1448</v>
      </c>
      <c r="I109" s="109">
        <v>582</v>
      </c>
      <c r="J109" s="109">
        <f t="shared" si="8"/>
        <v>116.4</v>
      </c>
      <c r="K109" s="109">
        <f t="shared" si="9"/>
        <v>698.4</v>
      </c>
      <c r="L109" s="110"/>
      <c r="M109" s="111"/>
      <c r="N109" s="110">
        <f t="shared" si="10"/>
        <v>0</v>
      </c>
      <c r="O109" s="114">
        <v>43651</v>
      </c>
      <c r="P109" s="106" t="s">
        <v>950</v>
      </c>
      <c r="Q109" s="114">
        <v>43682</v>
      </c>
      <c r="R109" s="136" t="s">
        <v>1532</v>
      </c>
    </row>
    <row r="110" spans="1:18" ht="24" hidden="1" customHeight="1" x14ac:dyDescent="0.3">
      <c r="A110" s="104"/>
      <c r="B110" s="105"/>
      <c r="C110" s="107" t="s">
        <v>1247</v>
      </c>
      <c r="D110" s="107" t="s">
        <v>1542</v>
      </c>
      <c r="E110" s="116"/>
      <c r="F110" s="107" t="s">
        <v>865</v>
      </c>
      <c r="G110" s="106" t="s">
        <v>1541</v>
      </c>
      <c r="H110" s="106" t="s">
        <v>934</v>
      </c>
      <c r="I110" s="109">
        <v>1100</v>
      </c>
      <c r="J110" s="109">
        <f t="shared" si="8"/>
        <v>220</v>
      </c>
      <c r="K110" s="109">
        <f t="shared" si="9"/>
        <v>1320</v>
      </c>
      <c r="L110" s="110"/>
      <c r="M110" s="111"/>
      <c r="N110" s="110">
        <f t="shared" si="10"/>
        <v>0</v>
      </c>
      <c r="O110" s="114">
        <v>43656</v>
      </c>
      <c r="P110" s="106" t="s">
        <v>950</v>
      </c>
      <c r="Q110" s="114">
        <v>43687</v>
      </c>
      <c r="R110" s="116"/>
    </row>
    <row r="111" spans="1:18" ht="24" hidden="1" customHeight="1" x14ac:dyDescent="0.3">
      <c r="A111" s="104" t="s">
        <v>339</v>
      </c>
      <c r="B111" s="105"/>
      <c r="C111" s="107" t="s">
        <v>1028</v>
      </c>
      <c r="D111" s="106" t="s">
        <v>1543</v>
      </c>
      <c r="E111" s="120"/>
      <c r="F111" s="107" t="s">
        <v>1544</v>
      </c>
      <c r="G111" s="106" t="s">
        <v>1031</v>
      </c>
      <c r="H111" s="106" t="s">
        <v>1041</v>
      </c>
      <c r="I111" s="109">
        <v>170</v>
      </c>
      <c r="J111" s="109">
        <f t="shared" si="8"/>
        <v>34</v>
      </c>
      <c r="K111" s="109">
        <f t="shared" si="9"/>
        <v>204</v>
      </c>
      <c r="L111" s="110"/>
      <c r="M111" s="111"/>
      <c r="N111" s="110">
        <f t="shared" si="10"/>
        <v>0</v>
      </c>
      <c r="O111" s="114">
        <v>43657</v>
      </c>
      <c r="P111" s="106" t="s">
        <v>950</v>
      </c>
      <c r="Q111" s="114">
        <v>43688</v>
      </c>
      <c r="R111" s="136" t="s">
        <v>1545</v>
      </c>
    </row>
    <row r="112" spans="1:18" ht="24" hidden="1" customHeight="1" x14ac:dyDescent="0.3">
      <c r="A112" s="104" t="s">
        <v>340</v>
      </c>
      <c r="B112" s="105"/>
      <c r="C112" s="106" t="s">
        <v>1016</v>
      </c>
      <c r="D112" s="106" t="s">
        <v>1017</v>
      </c>
      <c r="E112" s="120"/>
      <c r="F112" s="107" t="s">
        <v>903</v>
      </c>
      <c r="G112" s="106" t="s">
        <v>1019</v>
      </c>
      <c r="H112" s="106" t="s">
        <v>1020</v>
      </c>
      <c r="I112" s="109">
        <v>2590</v>
      </c>
      <c r="J112" s="109">
        <f t="shared" si="8"/>
        <v>518</v>
      </c>
      <c r="K112" s="109">
        <f t="shared" si="9"/>
        <v>3108</v>
      </c>
      <c r="L112" s="110"/>
      <c r="M112" s="111"/>
      <c r="N112" s="110">
        <f t="shared" si="10"/>
        <v>0</v>
      </c>
      <c r="O112" s="114">
        <v>43682</v>
      </c>
      <c r="P112" s="106" t="s">
        <v>950</v>
      </c>
      <c r="Q112" s="114">
        <v>43713</v>
      </c>
      <c r="R112" s="106" t="s">
        <v>1585</v>
      </c>
    </row>
    <row r="113" spans="1:18" ht="24" hidden="1" customHeight="1" x14ac:dyDescent="0.3">
      <c r="A113" s="104" t="s">
        <v>1921</v>
      </c>
      <c r="B113" s="105"/>
      <c r="C113" s="106" t="s">
        <v>1304</v>
      </c>
      <c r="D113" s="106" t="s">
        <v>1584</v>
      </c>
      <c r="E113" s="120"/>
      <c r="F113" s="107" t="s">
        <v>903</v>
      </c>
      <c r="G113" s="106" t="s">
        <v>866</v>
      </c>
      <c r="H113" s="106" t="s">
        <v>1306</v>
      </c>
      <c r="I113" s="109">
        <v>1260</v>
      </c>
      <c r="J113" s="109">
        <f t="shared" ref="J113:J125" si="13">SUM(I113*0.2)</f>
        <v>252</v>
      </c>
      <c r="K113" s="109">
        <f t="shared" ref="K113:K125" si="14">SUM(I113+J113)</f>
        <v>1512</v>
      </c>
      <c r="L113" s="110"/>
      <c r="M113" s="111"/>
      <c r="N113" s="110">
        <f t="shared" ref="N113:N161" si="15">SUM(L113*M113)</f>
        <v>0</v>
      </c>
      <c r="O113" s="114">
        <v>43682</v>
      </c>
      <c r="P113" s="106" t="s">
        <v>950</v>
      </c>
      <c r="Q113" s="114">
        <v>43713</v>
      </c>
      <c r="R113" s="106">
        <v>1901260</v>
      </c>
    </row>
    <row r="114" spans="1:18" ht="24" hidden="1" customHeight="1" x14ac:dyDescent="0.3">
      <c r="A114" s="178" t="s">
        <v>341</v>
      </c>
      <c r="B114" s="179"/>
      <c r="C114" s="180" t="s">
        <v>1586</v>
      </c>
      <c r="D114" s="180" t="s">
        <v>1587</v>
      </c>
      <c r="E114" s="181"/>
      <c r="F114" s="182" t="s">
        <v>1398</v>
      </c>
      <c r="G114" s="180" t="s">
        <v>1588</v>
      </c>
      <c r="H114" s="180" t="s">
        <v>1589</v>
      </c>
      <c r="I114" s="183">
        <v>291.67</v>
      </c>
      <c r="J114" s="183">
        <f t="shared" ref="J114" si="16">SUM(I114*0.2)</f>
        <v>58.334000000000003</v>
      </c>
      <c r="K114" s="183">
        <f t="shared" ref="K114" si="17">SUM(I114+J114)</f>
        <v>350.00400000000002</v>
      </c>
      <c r="L114" s="184"/>
      <c r="M114" s="185"/>
      <c r="N114" s="184">
        <v>0</v>
      </c>
      <c r="O114" s="186">
        <v>43682</v>
      </c>
      <c r="P114" s="180"/>
      <c r="Q114" s="186">
        <v>43713</v>
      </c>
      <c r="R114" s="180" t="s">
        <v>1917</v>
      </c>
    </row>
    <row r="115" spans="1:18" ht="24" hidden="1" customHeight="1" x14ac:dyDescent="0.3">
      <c r="A115" s="104" t="s">
        <v>342</v>
      </c>
      <c r="B115" s="105"/>
      <c r="C115" s="106" t="s">
        <v>1590</v>
      </c>
      <c r="D115" s="106" t="s">
        <v>1591</v>
      </c>
      <c r="E115" s="120"/>
      <c r="F115" s="107" t="s">
        <v>1024</v>
      </c>
      <c r="G115" s="106" t="s">
        <v>866</v>
      </c>
      <c r="H115" s="106" t="s">
        <v>1592</v>
      </c>
      <c r="I115" s="109">
        <v>4775</v>
      </c>
      <c r="J115" s="109">
        <f t="shared" si="13"/>
        <v>955</v>
      </c>
      <c r="K115" s="109">
        <f t="shared" si="14"/>
        <v>5730</v>
      </c>
      <c r="L115" s="110"/>
      <c r="M115" s="111"/>
      <c r="N115" s="110">
        <f t="shared" si="15"/>
        <v>0</v>
      </c>
      <c r="O115" s="114">
        <v>43682</v>
      </c>
      <c r="P115" s="106" t="s">
        <v>950</v>
      </c>
      <c r="Q115" s="114">
        <v>43713</v>
      </c>
      <c r="R115" s="106" t="s">
        <v>1593</v>
      </c>
    </row>
    <row r="116" spans="1:18" ht="24" hidden="1" customHeight="1" x14ac:dyDescent="0.3">
      <c r="A116" s="104" t="s">
        <v>343</v>
      </c>
      <c r="B116" s="105"/>
      <c r="C116" s="106" t="s">
        <v>1266</v>
      </c>
      <c r="D116" s="106" t="s">
        <v>1594</v>
      </c>
      <c r="E116" s="120"/>
      <c r="F116" s="107" t="s">
        <v>886</v>
      </c>
      <c r="G116" s="106" t="s">
        <v>911</v>
      </c>
      <c r="H116" s="106" t="s">
        <v>912</v>
      </c>
      <c r="I116" s="109">
        <v>1500</v>
      </c>
      <c r="J116" s="109">
        <f t="shared" si="13"/>
        <v>300</v>
      </c>
      <c r="K116" s="109">
        <f t="shared" si="14"/>
        <v>1800</v>
      </c>
      <c r="L116" s="110"/>
      <c r="M116" s="111"/>
      <c r="N116" s="110">
        <f t="shared" si="15"/>
        <v>0</v>
      </c>
      <c r="O116" s="114">
        <v>43683</v>
      </c>
      <c r="P116" s="106" t="s">
        <v>950</v>
      </c>
      <c r="Q116" s="114">
        <v>43714</v>
      </c>
      <c r="R116" s="106" t="s">
        <v>1595</v>
      </c>
    </row>
    <row r="117" spans="1:18" ht="32.25" hidden="1" customHeight="1" x14ac:dyDescent="0.3">
      <c r="A117" s="104" t="s">
        <v>344</v>
      </c>
      <c r="B117" s="105"/>
      <c r="C117" s="107" t="s">
        <v>1563</v>
      </c>
      <c r="D117" s="107" t="s">
        <v>1580</v>
      </c>
      <c r="E117" s="116"/>
      <c r="F117" s="107" t="s">
        <v>1581</v>
      </c>
      <c r="G117" s="107" t="s">
        <v>866</v>
      </c>
      <c r="H117" s="106" t="s">
        <v>1582</v>
      </c>
      <c r="I117" s="109">
        <v>3670</v>
      </c>
      <c r="J117" s="109">
        <f t="shared" si="13"/>
        <v>734</v>
      </c>
      <c r="K117" s="109">
        <f t="shared" si="14"/>
        <v>4404</v>
      </c>
      <c r="L117" s="110"/>
      <c r="M117" s="111"/>
      <c r="N117" s="110">
        <f t="shared" si="15"/>
        <v>0</v>
      </c>
      <c r="O117" s="114">
        <v>43679</v>
      </c>
      <c r="P117" s="106" t="s">
        <v>950</v>
      </c>
      <c r="Q117" s="114">
        <v>43710</v>
      </c>
      <c r="R117" s="136" t="s">
        <v>1583</v>
      </c>
    </row>
    <row r="118" spans="1:18" ht="41.25" hidden="1" customHeight="1" x14ac:dyDescent="0.3">
      <c r="A118" s="104" t="s">
        <v>345</v>
      </c>
      <c r="B118" s="105"/>
      <c r="C118" s="106" t="s">
        <v>1600</v>
      </c>
      <c r="D118" s="106" t="s">
        <v>1601</v>
      </c>
      <c r="E118" s="120"/>
      <c r="F118" s="107" t="s">
        <v>1602</v>
      </c>
      <c r="G118" s="106" t="s">
        <v>1006</v>
      </c>
      <c r="H118" s="106" t="s">
        <v>1356</v>
      </c>
      <c r="I118" s="109">
        <v>1017</v>
      </c>
      <c r="J118" s="109">
        <f t="shared" si="13"/>
        <v>203.4</v>
      </c>
      <c r="K118" s="109">
        <f t="shared" si="14"/>
        <v>1220.4000000000001</v>
      </c>
      <c r="L118" s="110"/>
      <c r="M118" s="111"/>
      <c r="N118" s="110">
        <f t="shared" si="15"/>
        <v>0</v>
      </c>
      <c r="O118" s="114">
        <v>43683</v>
      </c>
      <c r="P118" s="106" t="s">
        <v>950</v>
      </c>
      <c r="Q118" s="114">
        <v>43729</v>
      </c>
      <c r="R118" s="106" t="s">
        <v>1603</v>
      </c>
    </row>
    <row r="119" spans="1:18" ht="24" hidden="1" customHeight="1" x14ac:dyDescent="0.3">
      <c r="A119" s="104" t="s">
        <v>346</v>
      </c>
      <c r="B119" s="105"/>
      <c r="C119" s="106" t="s">
        <v>1607</v>
      </c>
      <c r="D119" s="106" t="s">
        <v>1017</v>
      </c>
      <c r="E119" s="120"/>
      <c r="F119" s="107" t="s">
        <v>1602</v>
      </c>
      <c r="G119" s="106" t="s">
        <v>1019</v>
      </c>
      <c r="H119" s="106" t="s">
        <v>919</v>
      </c>
      <c r="I119" s="109">
        <v>430</v>
      </c>
      <c r="J119" s="109">
        <f t="shared" si="13"/>
        <v>86</v>
      </c>
      <c r="K119" s="109">
        <f t="shared" si="14"/>
        <v>516</v>
      </c>
      <c r="L119" s="110"/>
      <c r="M119" s="111"/>
      <c r="N119" s="110">
        <f t="shared" si="15"/>
        <v>0</v>
      </c>
      <c r="O119" s="114">
        <v>43691</v>
      </c>
      <c r="P119" s="106" t="s">
        <v>950</v>
      </c>
      <c r="Q119" s="114">
        <v>43722</v>
      </c>
      <c r="R119" s="107" t="s">
        <v>1608</v>
      </c>
    </row>
    <row r="120" spans="1:18" ht="24" hidden="1" customHeight="1" x14ac:dyDescent="0.3">
      <c r="A120" s="104" t="s">
        <v>347</v>
      </c>
      <c r="B120" s="105"/>
      <c r="C120" s="106" t="s">
        <v>1615</v>
      </c>
      <c r="D120" s="106" t="s">
        <v>1618</v>
      </c>
      <c r="E120" s="120"/>
      <c r="F120" s="107" t="s">
        <v>893</v>
      </c>
      <c r="G120" s="107" t="s">
        <v>990</v>
      </c>
      <c r="H120" s="106" t="s">
        <v>1616</v>
      </c>
      <c r="I120" s="109">
        <v>1575</v>
      </c>
      <c r="J120" s="109">
        <f t="shared" si="13"/>
        <v>315</v>
      </c>
      <c r="K120" s="109">
        <f t="shared" si="14"/>
        <v>1890</v>
      </c>
      <c r="L120" s="110"/>
      <c r="M120" s="111"/>
      <c r="N120" s="110">
        <f t="shared" si="15"/>
        <v>0</v>
      </c>
      <c r="O120" s="114">
        <v>43696</v>
      </c>
      <c r="P120" s="106" t="s">
        <v>950</v>
      </c>
      <c r="Q120" s="114">
        <v>43727</v>
      </c>
      <c r="R120" s="107" t="s">
        <v>1617</v>
      </c>
    </row>
    <row r="121" spans="1:18" ht="24" hidden="1" customHeight="1" x14ac:dyDescent="0.3">
      <c r="A121" s="104" t="s">
        <v>348</v>
      </c>
      <c r="B121" s="105"/>
      <c r="C121" s="106" t="s">
        <v>956</v>
      </c>
      <c r="D121" s="107" t="s">
        <v>1002</v>
      </c>
      <c r="E121" s="120"/>
      <c r="F121" s="107" t="s">
        <v>886</v>
      </c>
      <c r="G121" s="107" t="s">
        <v>990</v>
      </c>
      <c r="H121" s="106" t="s">
        <v>1619</v>
      </c>
      <c r="I121" s="109">
        <v>2305</v>
      </c>
      <c r="J121" s="109">
        <f t="shared" si="13"/>
        <v>461</v>
      </c>
      <c r="K121" s="109">
        <f t="shared" si="14"/>
        <v>2766</v>
      </c>
      <c r="L121" s="110">
        <v>55</v>
      </c>
      <c r="M121" s="111">
        <v>27</v>
      </c>
      <c r="N121" s="110">
        <f t="shared" si="15"/>
        <v>1485</v>
      </c>
      <c r="O121" s="114">
        <v>43698</v>
      </c>
      <c r="P121" s="106" t="s">
        <v>950</v>
      </c>
      <c r="Q121" s="114">
        <v>43729</v>
      </c>
      <c r="R121" s="107" t="s">
        <v>1620</v>
      </c>
    </row>
    <row r="122" spans="1:18" ht="24" hidden="1" customHeight="1" x14ac:dyDescent="0.3">
      <c r="A122" s="104" t="s">
        <v>349</v>
      </c>
      <c r="B122" s="105"/>
      <c r="C122" s="106" t="s">
        <v>1600</v>
      </c>
      <c r="D122" s="107" t="s">
        <v>1621</v>
      </c>
      <c r="E122" s="120"/>
      <c r="F122" s="107" t="s">
        <v>1609</v>
      </c>
      <c r="G122" s="106" t="s">
        <v>1622</v>
      </c>
      <c r="H122" s="106" t="s">
        <v>1623</v>
      </c>
      <c r="I122" s="109">
        <v>360.66</v>
      </c>
      <c r="J122" s="109">
        <f t="shared" si="13"/>
        <v>72.132000000000005</v>
      </c>
      <c r="K122" s="109">
        <f t="shared" si="14"/>
        <v>432.79200000000003</v>
      </c>
      <c r="L122" s="110"/>
      <c r="M122" s="111"/>
      <c r="N122" s="110">
        <f t="shared" si="15"/>
        <v>0</v>
      </c>
      <c r="O122" s="114">
        <v>43704</v>
      </c>
      <c r="P122" s="106" t="s">
        <v>950</v>
      </c>
      <c r="Q122" s="114">
        <v>43723</v>
      </c>
      <c r="R122" s="106" t="s">
        <v>1624</v>
      </c>
    </row>
    <row r="123" spans="1:18" ht="24" hidden="1" customHeight="1" x14ac:dyDescent="0.3">
      <c r="A123" s="104" t="s">
        <v>350</v>
      </c>
      <c r="B123" s="105"/>
      <c r="C123" s="106" t="s">
        <v>1611</v>
      </c>
      <c r="D123" s="107" t="s">
        <v>1627</v>
      </c>
      <c r="E123" s="120"/>
      <c r="F123" s="107" t="s">
        <v>1527</v>
      </c>
      <c r="G123" s="106">
        <v>95</v>
      </c>
      <c r="H123" s="106" t="s">
        <v>1625</v>
      </c>
      <c r="I123" s="109">
        <v>400</v>
      </c>
      <c r="J123" s="109">
        <f t="shared" si="13"/>
        <v>80</v>
      </c>
      <c r="K123" s="109">
        <f t="shared" si="14"/>
        <v>480</v>
      </c>
      <c r="L123" s="110"/>
      <c r="M123" s="111"/>
      <c r="N123" s="110">
        <f t="shared" si="15"/>
        <v>0</v>
      </c>
      <c r="O123" s="114">
        <v>43709</v>
      </c>
      <c r="P123" s="106" t="s">
        <v>950</v>
      </c>
      <c r="Q123" s="114">
        <v>43739</v>
      </c>
      <c r="R123" s="106" t="s">
        <v>1626</v>
      </c>
    </row>
    <row r="124" spans="1:18" ht="24" hidden="1" customHeight="1" x14ac:dyDescent="0.3">
      <c r="A124" s="104" t="s">
        <v>351</v>
      </c>
      <c r="B124" s="105"/>
      <c r="C124" s="106" t="s">
        <v>1628</v>
      </c>
      <c r="D124" s="107" t="s">
        <v>1629</v>
      </c>
      <c r="E124" s="120"/>
      <c r="F124" s="107" t="s">
        <v>933</v>
      </c>
      <c r="G124" s="106" t="s">
        <v>866</v>
      </c>
      <c r="H124" s="106" t="s">
        <v>1295</v>
      </c>
      <c r="I124" s="109">
        <v>1260</v>
      </c>
      <c r="J124" s="109">
        <f t="shared" si="13"/>
        <v>252</v>
      </c>
      <c r="K124" s="109">
        <f t="shared" si="14"/>
        <v>1512</v>
      </c>
      <c r="L124" s="110"/>
      <c r="M124" s="111"/>
      <c r="N124" s="110">
        <f t="shared" si="15"/>
        <v>0</v>
      </c>
      <c r="O124" s="114">
        <v>43709</v>
      </c>
      <c r="P124" s="106" t="s">
        <v>950</v>
      </c>
      <c r="Q124" s="114">
        <v>43739</v>
      </c>
      <c r="R124" s="106">
        <v>18804</v>
      </c>
    </row>
    <row r="125" spans="1:18" ht="24" hidden="1" customHeight="1" x14ac:dyDescent="0.3">
      <c r="A125" s="104" t="s">
        <v>352</v>
      </c>
      <c r="B125" s="105"/>
      <c r="C125" s="106" t="s">
        <v>979</v>
      </c>
      <c r="D125" s="106" t="s">
        <v>1630</v>
      </c>
      <c r="E125" s="120"/>
      <c r="F125" s="107" t="s">
        <v>1631</v>
      </c>
      <c r="G125" s="107" t="s">
        <v>1632</v>
      </c>
      <c r="H125" s="106" t="s">
        <v>1633</v>
      </c>
      <c r="I125" s="109">
        <v>1422</v>
      </c>
      <c r="J125" s="109">
        <f t="shared" si="13"/>
        <v>284.40000000000003</v>
      </c>
      <c r="K125" s="109">
        <f t="shared" si="14"/>
        <v>1706.4</v>
      </c>
      <c r="L125" s="110"/>
      <c r="M125" s="111"/>
      <c r="N125" s="110">
        <f t="shared" si="15"/>
        <v>0</v>
      </c>
      <c r="O125" s="114">
        <v>43710</v>
      </c>
      <c r="P125" s="106" t="s">
        <v>950</v>
      </c>
      <c r="Q125" s="114">
        <v>43753</v>
      </c>
      <c r="R125" s="116">
        <v>951608</v>
      </c>
    </row>
    <row r="126" spans="1:18" ht="27.75" hidden="1" customHeight="1" x14ac:dyDescent="0.3">
      <c r="A126" s="104" t="s">
        <v>353</v>
      </c>
      <c r="B126" s="105"/>
      <c r="C126" s="106" t="s">
        <v>979</v>
      </c>
      <c r="D126" s="106" t="s">
        <v>1634</v>
      </c>
      <c r="E126" s="120"/>
      <c r="F126" s="107" t="s">
        <v>903</v>
      </c>
      <c r="G126" s="106" t="s">
        <v>1635</v>
      </c>
      <c r="H126" s="106" t="s">
        <v>1082</v>
      </c>
      <c r="I126" s="109">
        <v>1416.72</v>
      </c>
      <c r="J126" s="109">
        <f t="shared" ref="J126" si="18">SUM(I126*0.2)</f>
        <v>283.34399999999999</v>
      </c>
      <c r="K126" s="109">
        <f t="shared" ref="K126" si="19">SUM(I126+J126)</f>
        <v>1700.0640000000001</v>
      </c>
      <c r="L126" s="110"/>
      <c r="M126" s="111"/>
      <c r="N126" s="110">
        <f t="shared" si="15"/>
        <v>0</v>
      </c>
      <c r="O126" s="114">
        <v>43710</v>
      </c>
      <c r="P126" s="106" t="s">
        <v>950</v>
      </c>
      <c r="Q126" s="114">
        <v>43753</v>
      </c>
      <c r="R126" s="106">
        <v>958083</v>
      </c>
    </row>
    <row r="127" spans="1:18" ht="24" hidden="1" customHeight="1" x14ac:dyDescent="0.3">
      <c r="A127" s="104" t="s">
        <v>354</v>
      </c>
      <c r="B127" s="105"/>
      <c r="C127" s="107" t="s">
        <v>947</v>
      </c>
      <c r="D127" s="107" t="s">
        <v>1071</v>
      </c>
      <c r="E127" s="107"/>
      <c r="F127" s="107" t="s">
        <v>886</v>
      </c>
      <c r="G127" s="107" t="s">
        <v>1087</v>
      </c>
      <c r="H127" s="107" t="s">
        <v>1642</v>
      </c>
      <c r="I127" s="109">
        <v>9925</v>
      </c>
      <c r="J127" s="109">
        <f t="shared" ref="J127:J138" si="20">SUM(I127*0.2)</f>
        <v>1985</v>
      </c>
      <c r="K127" s="109">
        <f t="shared" ref="K127:K138" si="21">SUM(I127+J127)</f>
        <v>11910</v>
      </c>
      <c r="L127" s="110"/>
      <c r="M127" s="111"/>
      <c r="N127" s="110">
        <f t="shared" si="15"/>
        <v>0</v>
      </c>
      <c r="O127" s="114">
        <v>43710</v>
      </c>
      <c r="P127" s="106" t="s">
        <v>950</v>
      </c>
      <c r="Q127" s="114">
        <v>43740</v>
      </c>
      <c r="R127" s="107" t="s">
        <v>1643</v>
      </c>
    </row>
    <row r="128" spans="1:18" ht="24" hidden="1" customHeight="1" x14ac:dyDescent="0.3">
      <c r="A128" s="104" t="s">
        <v>355</v>
      </c>
      <c r="B128" s="105"/>
      <c r="C128" s="106" t="s">
        <v>1646</v>
      </c>
      <c r="D128" s="107" t="s">
        <v>1647</v>
      </c>
      <c r="E128" s="120"/>
      <c r="F128" s="107" t="s">
        <v>886</v>
      </c>
      <c r="G128" s="106" t="s">
        <v>866</v>
      </c>
      <c r="H128" s="106" t="s">
        <v>1571</v>
      </c>
      <c r="I128" s="109">
        <v>2195</v>
      </c>
      <c r="J128" s="109">
        <f t="shared" si="20"/>
        <v>439</v>
      </c>
      <c r="K128" s="109">
        <f t="shared" si="21"/>
        <v>2634</v>
      </c>
      <c r="L128" s="110"/>
      <c r="M128" s="111"/>
      <c r="N128" s="110">
        <f t="shared" si="15"/>
        <v>0</v>
      </c>
      <c r="O128" s="114">
        <v>43717</v>
      </c>
      <c r="P128" s="106" t="s">
        <v>950</v>
      </c>
      <c r="Q128" s="114">
        <v>43747</v>
      </c>
      <c r="R128" s="106" t="s">
        <v>1648</v>
      </c>
    </row>
    <row r="129" spans="1:18" ht="24" hidden="1" customHeight="1" x14ac:dyDescent="0.3">
      <c r="A129" s="104" t="s">
        <v>356</v>
      </c>
      <c r="B129" s="105"/>
      <c r="C129" s="106" t="s">
        <v>884</v>
      </c>
      <c r="D129" s="106" t="s">
        <v>1649</v>
      </c>
      <c r="E129" s="120"/>
      <c r="F129" s="107" t="s">
        <v>1650</v>
      </c>
      <c r="G129" s="106" t="s">
        <v>866</v>
      </c>
      <c r="H129" s="106" t="s">
        <v>1651</v>
      </c>
      <c r="I129" s="109">
        <v>691</v>
      </c>
      <c r="J129" s="109">
        <f t="shared" si="20"/>
        <v>138.20000000000002</v>
      </c>
      <c r="K129" s="109">
        <f t="shared" si="21"/>
        <v>829.2</v>
      </c>
      <c r="L129" s="110"/>
      <c r="M129" s="111"/>
      <c r="N129" s="110">
        <f t="shared" si="15"/>
        <v>0</v>
      </c>
      <c r="O129" s="114">
        <v>43717</v>
      </c>
      <c r="P129" s="131" t="s">
        <v>950</v>
      </c>
      <c r="Q129" s="114">
        <v>43747</v>
      </c>
      <c r="R129" s="107" t="s">
        <v>1652</v>
      </c>
    </row>
    <row r="130" spans="1:18" ht="24" hidden="1" customHeight="1" x14ac:dyDescent="0.3">
      <c r="A130" s="104" t="s">
        <v>357</v>
      </c>
      <c r="B130" s="105"/>
      <c r="C130" s="106" t="s">
        <v>926</v>
      </c>
      <c r="D130" s="106" t="s">
        <v>1653</v>
      </c>
      <c r="E130" s="120"/>
      <c r="F130" s="107" t="s">
        <v>903</v>
      </c>
      <c r="G130" s="106" t="s">
        <v>928</v>
      </c>
      <c r="H130" s="106" t="s">
        <v>1654</v>
      </c>
      <c r="I130" s="109">
        <v>1095</v>
      </c>
      <c r="J130" s="109">
        <f t="shared" si="20"/>
        <v>219</v>
      </c>
      <c r="K130" s="109">
        <f t="shared" si="21"/>
        <v>1314</v>
      </c>
      <c r="L130" s="110"/>
      <c r="M130" s="111"/>
      <c r="N130" s="110">
        <f t="shared" si="15"/>
        <v>0</v>
      </c>
      <c r="O130" s="114">
        <v>43718</v>
      </c>
      <c r="P130" s="131" t="s">
        <v>950</v>
      </c>
      <c r="Q130" s="114">
        <v>43748</v>
      </c>
      <c r="R130" s="107" t="s">
        <v>162</v>
      </c>
    </row>
    <row r="131" spans="1:18" ht="24" hidden="1" customHeight="1" x14ac:dyDescent="0.3">
      <c r="A131" s="104" t="s">
        <v>358</v>
      </c>
      <c r="B131" s="105"/>
      <c r="C131" s="106" t="s">
        <v>1463</v>
      </c>
      <c r="D131" s="106" t="s">
        <v>1655</v>
      </c>
      <c r="E131" s="120"/>
      <c r="F131" s="106" t="s">
        <v>903</v>
      </c>
      <c r="G131" s="106" t="s">
        <v>1656</v>
      </c>
      <c r="H131" s="106" t="s">
        <v>1082</v>
      </c>
      <c r="I131" s="109">
        <v>884.99</v>
      </c>
      <c r="J131" s="109">
        <f t="shared" si="20"/>
        <v>176.99800000000002</v>
      </c>
      <c r="K131" s="109">
        <f t="shared" si="21"/>
        <v>1061.9880000000001</v>
      </c>
      <c r="L131" s="110"/>
      <c r="M131" s="111"/>
      <c r="N131" s="110">
        <f t="shared" si="15"/>
        <v>0</v>
      </c>
      <c r="O131" s="114">
        <v>43718</v>
      </c>
      <c r="P131" s="106" t="s">
        <v>950</v>
      </c>
      <c r="Q131" s="114">
        <v>43763</v>
      </c>
      <c r="R131" s="107">
        <v>958090</v>
      </c>
    </row>
    <row r="132" spans="1:18" ht="24" hidden="1" customHeight="1" x14ac:dyDescent="0.3">
      <c r="A132" s="104" t="s">
        <v>359</v>
      </c>
      <c r="B132" s="105"/>
      <c r="C132" s="106" t="s">
        <v>956</v>
      </c>
      <c r="D132" s="106" t="s">
        <v>1660</v>
      </c>
      <c r="E132" s="120"/>
      <c r="F132" s="107" t="s">
        <v>1661</v>
      </c>
      <c r="G132" s="106" t="s">
        <v>866</v>
      </c>
      <c r="H132" s="106" t="s">
        <v>1011</v>
      </c>
      <c r="I132" s="109">
        <v>75</v>
      </c>
      <c r="J132" s="109">
        <f t="shared" si="20"/>
        <v>15</v>
      </c>
      <c r="K132" s="109">
        <f t="shared" si="21"/>
        <v>90</v>
      </c>
      <c r="L132" s="110"/>
      <c r="M132" s="111"/>
      <c r="N132" s="110">
        <f t="shared" si="15"/>
        <v>0</v>
      </c>
      <c r="O132" s="114">
        <v>43719</v>
      </c>
      <c r="P132" s="106" t="s">
        <v>950</v>
      </c>
      <c r="Q132" s="114">
        <v>43749</v>
      </c>
      <c r="R132" s="106" t="s">
        <v>173</v>
      </c>
    </row>
    <row r="133" spans="1:18" ht="24" hidden="1" customHeight="1" x14ac:dyDescent="0.3">
      <c r="A133" s="104" t="s">
        <v>360</v>
      </c>
      <c r="B133" s="105"/>
      <c r="C133" s="106" t="s">
        <v>1085</v>
      </c>
      <c r="D133" s="106" t="s">
        <v>1086</v>
      </c>
      <c r="E133" s="120"/>
      <c r="F133" s="106" t="s">
        <v>886</v>
      </c>
      <c r="G133" s="106" t="s">
        <v>866</v>
      </c>
      <c r="H133" s="106" t="s">
        <v>1072</v>
      </c>
      <c r="I133" s="109">
        <v>1400</v>
      </c>
      <c r="J133" s="109">
        <f t="shared" si="20"/>
        <v>280</v>
      </c>
      <c r="K133" s="109">
        <f t="shared" si="21"/>
        <v>1680</v>
      </c>
      <c r="L133" s="110"/>
      <c r="M133" s="111"/>
      <c r="N133" s="110">
        <f t="shared" si="15"/>
        <v>0</v>
      </c>
      <c r="O133" s="114">
        <v>43727</v>
      </c>
      <c r="P133" s="106" t="s">
        <v>950</v>
      </c>
      <c r="Q133" s="114">
        <v>43757</v>
      </c>
      <c r="R133" s="106" t="s">
        <v>177</v>
      </c>
    </row>
    <row r="134" spans="1:18" ht="24" hidden="1" customHeight="1" x14ac:dyDescent="0.3">
      <c r="A134" s="104" t="s">
        <v>361</v>
      </c>
      <c r="B134" s="105"/>
      <c r="C134" s="107" t="s">
        <v>1028</v>
      </c>
      <c r="D134" s="106" t="s">
        <v>1657</v>
      </c>
      <c r="E134" s="116"/>
      <c r="F134" s="107" t="s">
        <v>1030</v>
      </c>
      <c r="G134" s="107" t="s">
        <v>1031</v>
      </c>
      <c r="H134" s="106" t="s">
        <v>1032</v>
      </c>
      <c r="I134" s="109">
        <v>3190</v>
      </c>
      <c r="J134" s="109">
        <f t="shared" si="20"/>
        <v>638</v>
      </c>
      <c r="K134" s="109">
        <f t="shared" si="21"/>
        <v>3828</v>
      </c>
      <c r="L134" s="110"/>
      <c r="M134" s="111"/>
      <c r="N134" s="110">
        <f t="shared" si="15"/>
        <v>0</v>
      </c>
      <c r="O134" s="114">
        <v>43727</v>
      </c>
      <c r="P134" s="106" t="s">
        <v>950</v>
      </c>
      <c r="Q134" s="114">
        <v>43757</v>
      </c>
      <c r="R134" s="107" t="s">
        <v>172</v>
      </c>
    </row>
    <row r="135" spans="1:18" ht="24" hidden="1" customHeight="1" x14ac:dyDescent="0.3">
      <c r="A135" s="104" t="s">
        <v>362</v>
      </c>
      <c r="B135" s="105"/>
      <c r="C135" s="107" t="s">
        <v>1016</v>
      </c>
      <c r="D135" s="106" t="s">
        <v>1142</v>
      </c>
      <c r="E135" s="116"/>
      <c r="F135" s="107" t="s">
        <v>1650</v>
      </c>
      <c r="G135" s="107" t="s">
        <v>923</v>
      </c>
      <c r="H135" s="106" t="s">
        <v>1145</v>
      </c>
      <c r="I135" s="109">
        <v>1058</v>
      </c>
      <c r="J135" s="109">
        <f t="shared" si="20"/>
        <v>211.60000000000002</v>
      </c>
      <c r="K135" s="109">
        <f t="shared" si="21"/>
        <v>1269.5999999999999</v>
      </c>
      <c r="L135" s="110"/>
      <c r="M135" s="111"/>
      <c r="N135" s="110">
        <f t="shared" si="15"/>
        <v>0</v>
      </c>
      <c r="O135" s="114">
        <v>43728</v>
      </c>
      <c r="P135" s="106" t="s">
        <v>950</v>
      </c>
      <c r="Q135" s="114">
        <v>43758</v>
      </c>
      <c r="R135" s="107" t="s">
        <v>176</v>
      </c>
    </row>
    <row r="136" spans="1:18" ht="24" hidden="1" customHeight="1" x14ac:dyDescent="0.3">
      <c r="A136" s="104" t="s">
        <v>363</v>
      </c>
      <c r="B136" s="105"/>
      <c r="C136" s="107" t="s">
        <v>1549</v>
      </c>
      <c r="D136" s="106" t="s">
        <v>1682</v>
      </c>
      <c r="E136" s="120"/>
      <c r="F136" s="107" t="s">
        <v>1683</v>
      </c>
      <c r="G136" s="106" t="s">
        <v>1551</v>
      </c>
      <c r="H136" s="106" t="s">
        <v>1684</v>
      </c>
      <c r="I136" s="109">
        <v>3990</v>
      </c>
      <c r="J136" s="109">
        <f t="shared" si="20"/>
        <v>798</v>
      </c>
      <c r="K136" s="109">
        <f t="shared" si="21"/>
        <v>4788</v>
      </c>
      <c r="L136" s="110"/>
      <c r="M136" s="111"/>
      <c r="N136" s="110">
        <f t="shared" si="15"/>
        <v>0</v>
      </c>
      <c r="O136" s="114">
        <v>43731</v>
      </c>
      <c r="P136" s="106" t="s">
        <v>950</v>
      </c>
      <c r="Q136" s="114">
        <v>43761</v>
      </c>
      <c r="R136" s="107" t="s">
        <v>1685</v>
      </c>
    </row>
    <row r="137" spans="1:18" ht="24" hidden="1" customHeight="1" x14ac:dyDescent="0.3">
      <c r="A137" s="104" t="s">
        <v>364</v>
      </c>
      <c r="B137" s="105"/>
      <c r="C137" s="107" t="s">
        <v>1672</v>
      </c>
      <c r="D137" s="107" t="s">
        <v>1690</v>
      </c>
      <c r="E137" s="120"/>
      <c r="F137" s="106" t="s">
        <v>1650</v>
      </c>
      <c r="G137" s="106" t="s">
        <v>1691</v>
      </c>
      <c r="H137" s="106" t="s">
        <v>1692</v>
      </c>
      <c r="I137" s="109">
        <v>654</v>
      </c>
      <c r="J137" s="109">
        <f t="shared" si="20"/>
        <v>130.80000000000001</v>
      </c>
      <c r="K137" s="109">
        <f t="shared" si="21"/>
        <v>784.8</v>
      </c>
      <c r="L137" s="110"/>
      <c r="M137" s="111"/>
      <c r="N137" s="110">
        <f t="shared" si="15"/>
        <v>0</v>
      </c>
      <c r="O137" s="114">
        <v>43735</v>
      </c>
      <c r="P137" s="106" t="s">
        <v>950</v>
      </c>
      <c r="Q137" s="114">
        <v>43765</v>
      </c>
      <c r="R137" s="107" t="s">
        <v>1693</v>
      </c>
    </row>
    <row r="138" spans="1:18" ht="24" hidden="1" customHeight="1" x14ac:dyDescent="0.3">
      <c r="A138" s="104" t="s">
        <v>365</v>
      </c>
      <c r="B138" s="105"/>
      <c r="C138" s="136" t="s">
        <v>1463</v>
      </c>
      <c r="D138" s="106" t="s">
        <v>1697</v>
      </c>
      <c r="E138" s="120"/>
      <c r="F138" s="107" t="s">
        <v>1698</v>
      </c>
      <c r="G138" s="107" t="s">
        <v>1367</v>
      </c>
      <c r="H138" s="106" t="s">
        <v>1432</v>
      </c>
      <c r="I138" s="109">
        <v>5086.29</v>
      </c>
      <c r="J138" s="109">
        <f t="shared" si="20"/>
        <v>1017.258</v>
      </c>
      <c r="K138" s="109">
        <f t="shared" si="21"/>
        <v>6103.5479999999998</v>
      </c>
      <c r="L138" s="110"/>
      <c r="M138" s="111"/>
      <c r="N138" s="110">
        <f t="shared" si="15"/>
        <v>0</v>
      </c>
      <c r="O138" s="114">
        <v>43739</v>
      </c>
      <c r="P138" s="106" t="s">
        <v>950</v>
      </c>
      <c r="Q138" s="113">
        <v>43784</v>
      </c>
      <c r="R138" s="107">
        <v>963763</v>
      </c>
    </row>
    <row r="139" spans="1:18" ht="24" hidden="1" customHeight="1" x14ac:dyDescent="0.3">
      <c r="A139" s="104" t="s">
        <v>366</v>
      </c>
      <c r="B139" s="105"/>
      <c r="C139" s="107" t="s">
        <v>1016</v>
      </c>
      <c r="D139" s="106" t="s">
        <v>1142</v>
      </c>
      <c r="E139" s="116"/>
      <c r="F139" s="107" t="s">
        <v>1650</v>
      </c>
      <c r="G139" s="107" t="s">
        <v>923</v>
      </c>
      <c r="H139" s="106" t="s">
        <v>1145</v>
      </c>
      <c r="I139" s="109">
        <v>485</v>
      </c>
      <c r="J139" s="109">
        <f t="shared" ref="J139" si="22">SUM(I139*0.2)</f>
        <v>97</v>
      </c>
      <c r="K139" s="109">
        <f t="shared" ref="K139:K161" si="23">SUM(I139+J139)</f>
        <v>582</v>
      </c>
      <c r="L139" s="110"/>
      <c r="M139" s="111"/>
      <c r="N139" s="110">
        <f t="shared" si="15"/>
        <v>0</v>
      </c>
      <c r="O139" s="114">
        <v>43739</v>
      </c>
      <c r="P139" s="106" t="s">
        <v>950</v>
      </c>
      <c r="Q139" s="114">
        <v>43800</v>
      </c>
      <c r="R139" s="107" t="s">
        <v>1699</v>
      </c>
    </row>
    <row r="140" spans="1:18" ht="31.5" hidden="1" customHeight="1" x14ac:dyDescent="0.3">
      <c r="A140" s="104" t="s">
        <v>367</v>
      </c>
      <c r="B140" s="105"/>
      <c r="C140" s="136" t="s">
        <v>956</v>
      </c>
      <c r="D140" s="136" t="s">
        <v>1720</v>
      </c>
      <c r="E140" s="120"/>
      <c r="F140" s="131" t="s">
        <v>933</v>
      </c>
      <c r="G140" s="131" t="s">
        <v>866</v>
      </c>
      <c r="H140" s="131" t="s">
        <v>1011</v>
      </c>
      <c r="I140" s="109">
        <v>699</v>
      </c>
      <c r="J140" s="109">
        <f t="shared" ref="J140" si="24">SUM(I140*0.2)</f>
        <v>139.80000000000001</v>
      </c>
      <c r="K140" s="109">
        <f t="shared" ref="K140" si="25">SUM(I140+J140)</f>
        <v>838.8</v>
      </c>
      <c r="L140" s="110"/>
      <c r="M140" s="111"/>
      <c r="N140" s="110">
        <v>0</v>
      </c>
      <c r="O140" s="114">
        <v>43748</v>
      </c>
      <c r="P140" s="106" t="s">
        <v>950</v>
      </c>
      <c r="Q140" s="114">
        <v>43779</v>
      </c>
      <c r="R140" s="136" t="s">
        <v>1721</v>
      </c>
    </row>
    <row r="141" spans="1:18" ht="24" hidden="1" customHeight="1" x14ac:dyDescent="0.3">
      <c r="A141" s="104" t="s">
        <v>368</v>
      </c>
      <c r="B141" s="105"/>
      <c r="C141" s="107" t="s">
        <v>1688</v>
      </c>
      <c r="D141" s="107" t="s">
        <v>1686</v>
      </c>
      <c r="E141" s="120"/>
      <c r="F141" s="106" t="s">
        <v>1730</v>
      </c>
      <c r="G141" s="106" t="s">
        <v>1731</v>
      </c>
      <c r="H141" s="106" t="s">
        <v>1732</v>
      </c>
      <c r="I141" s="109">
        <v>550</v>
      </c>
      <c r="J141" s="109">
        <f t="shared" ref="J141:J161" si="26">SUM(I141*0.2)</f>
        <v>110</v>
      </c>
      <c r="K141" s="109">
        <f t="shared" si="23"/>
        <v>660</v>
      </c>
      <c r="L141" s="110"/>
      <c r="M141" s="111"/>
      <c r="N141" s="110">
        <f t="shared" si="15"/>
        <v>0</v>
      </c>
      <c r="O141" s="114">
        <v>43755</v>
      </c>
      <c r="P141" s="106" t="s">
        <v>950</v>
      </c>
      <c r="Q141" s="114">
        <v>43786</v>
      </c>
      <c r="R141" s="136" t="s">
        <v>1733</v>
      </c>
    </row>
    <row r="142" spans="1:18" ht="24" hidden="1" customHeight="1" x14ac:dyDescent="0.3">
      <c r="A142" s="104" t="s">
        <v>369</v>
      </c>
      <c r="B142" s="105"/>
      <c r="C142" s="107" t="s">
        <v>1734</v>
      </c>
      <c r="D142" s="107" t="s">
        <v>1735</v>
      </c>
      <c r="E142" s="107"/>
      <c r="F142" s="107" t="s">
        <v>893</v>
      </c>
      <c r="G142" s="107" t="s">
        <v>1708</v>
      </c>
      <c r="H142" s="106" t="s">
        <v>1736</v>
      </c>
      <c r="I142" s="109">
        <v>1705</v>
      </c>
      <c r="J142" s="109">
        <f t="shared" si="26"/>
        <v>341</v>
      </c>
      <c r="K142" s="109">
        <f t="shared" si="23"/>
        <v>2046</v>
      </c>
      <c r="L142" s="110"/>
      <c r="M142" s="111"/>
      <c r="N142" s="110">
        <f t="shared" si="15"/>
        <v>0</v>
      </c>
      <c r="O142" s="114">
        <v>43755</v>
      </c>
      <c r="P142" s="106" t="s">
        <v>950</v>
      </c>
      <c r="Q142" s="114">
        <v>43786</v>
      </c>
      <c r="R142" s="136" t="s">
        <v>1737</v>
      </c>
    </row>
    <row r="143" spans="1:18" ht="24" hidden="1" customHeight="1" x14ac:dyDescent="0.3">
      <c r="A143" s="104" t="s">
        <v>370</v>
      </c>
      <c r="B143" s="105"/>
      <c r="C143" s="107" t="s">
        <v>1747</v>
      </c>
      <c r="D143" s="107" t="s">
        <v>1750</v>
      </c>
      <c r="E143" s="167"/>
      <c r="F143" s="107" t="s">
        <v>886</v>
      </c>
      <c r="G143" s="107" t="s">
        <v>866</v>
      </c>
      <c r="H143" s="165" t="s">
        <v>1748</v>
      </c>
      <c r="I143" s="109">
        <v>449</v>
      </c>
      <c r="J143" s="109">
        <f t="shared" si="26"/>
        <v>89.800000000000011</v>
      </c>
      <c r="K143" s="109">
        <f t="shared" si="23"/>
        <v>538.79999999999995</v>
      </c>
      <c r="L143" s="110"/>
      <c r="M143" s="111"/>
      <c r="N143" s="110">
        <f t="shared" si="15"/>
        <v>0</v>
      </c>
      <c r="O143" s="114">
        <v>43757</v>
      </c>
      <c r="P143" s="106" t="s">
        <v>950</v>
      </c>
      <c r="Q143" s="114">
        <v>43788</v>
      </c>
      <c r="R143" s="107" t="s">
        <v>1749</v>
      </c>
    </row>
    <row r="144" spans="1:18" ht="24" hidden="1" customHeight="1" x14ac:dyDescent="0.3">
      <c r="A144" s="104" t="s">
        <v>371</v>
      </c>
      <c r="B144" s="105"/>
      <c r="C144" s="107" t="s">
        <v>1463</v>
      </c>
      <c r="D144" s="107" t="s">
        <v>1766</v>
      </c>
      <c r="E144" s="120"/>
      <c r="F144" s="106" t="s">
        <v>886</v>
      </c>
      <c r="G144" s="106" t="s">
        <v>928</v>
      </c>
      <c r="H144" s="106" t="s">
        <v>1767</v>
      </c>
      <c r="I144" s="109">
        <v>2681.8</v>
      </c>
      <c r="J144" s="109">
        <f t="shared" ref="J144" si="27">SUM(I144*0.2)</f>
        <v>536.36</v>
      </c>
      <c r="K144" s="109">
        <f t="shared" ref="K144" si="28">SUM(I144+J144)</f>
        <v>3218.1600000000003</v>
      </c>
      <c r="L144" s="110"/>
      <c r="M144" s="111"/>
      <c r="N144" s="110">
        <f t="shared" ref="N144" si="29">SUM(L144*M144)</f>
        <v>0</v>
      </c>
      <c r="O144" s="114">
        <v>43761</v>
      </c>
      <c r="P144" s="106" t="s">
        <v>950</v>
      </c>
      <c r="Q144" s="114">
        <v>43806</v>
      </c>
      <c r="R144" s="107">
        <v>969127</v>
      </c>
    </row>
    <row r="145" spans="1:18" ht="24" hidden="1" customHeight="1" x14ac:dyDescent="0.3">
      <c r="A145" s="104" t="s">
        <v>372</v>
      </c>
      <c r="B145" s="105"/>
      <c r="C145" s="107" t="s">
        <v>1777</v>
      </c>
      <c r="D145" s="107" t="s">
        <v>1781</v>
      </c>
      <c r="E145" s="120"/>
      <c r="F145" s="106" t="s">
        <v>1778</v>
      </c>
      <c r="G145" s="106" t="s">
        <v>1512</v>
      </c>
      <c r="H145" s="106" t="s">
        <v>1779</v>
      </c>
      <c r="I145" s="109">
        <v>195</v>
      </c>
      <c r="J145" s="109">
        <f t="shared" si="26"/>
        <v>39</v>
      </c>
      <c r="K145" s="109">
        <f t="shared" si="23"/>
        <v>234</v>
      </c>
      <c r="L145" s="110"/>
      <c r="M145" s="111"/>
      <c r="N145" s="110">
        <f t="shared" si="15"/>
        <v>0</v>
      </c>
      <c r="O145" s="114">
        <v>43766</v>
      </c>
      <c r="P145" s="106" t="s">
        <v>950</v>
      </c>
      <c r="Q145" s="114">
        <v>43797</v>
      </c>
      <c r="R145" s="107" t="s">
        <v>1780</v>
      </c>
    </row>
    <row r="146" spans="1:18" ht="48.75" hidden="1" customHeight="1" x14ac:dyDescent="0.3">
      <c r="A146" s="104" t="s">
        <v>373</v>
      </c>
      <c r="B146" s="105"/>
      <c r="C146" s="106" t="s">
        <v>956</v>
      </c>
      <c r="D146" s="106" t="s">
        <v>1782</v>
      </c>
      <c r="E146" s="120"/>
      <c r="F146" s="106" t="s">
        <v>886</v>
      </c>
      <c r="G146" s="107" t="s">
        <v>1783</v>
      </c>
      <c r="H146" s="106" t="s">
        <v>1784</v>
      </c>
      <c r="I146" s="109">
        <v>659</v>
      </c>
      <c r="J146" s="109">
        <f t="shared" si="26"/>
        <v>131.80000000000001</v>
      </c>
      <c r="K146" s="109">
        <f t="shared" si="23"/>
        <v>790.8</v>
      </c>
      <c r="L146" s="110"/>
      <c r="M146" s="111"/>
      <c r="N146" s="110">
        <f t="shared" si="15"/>
        <v>0</v>
      </c>
      <c r="O146" s="114">
        <v>43766</v>
      </c>
      <c r="P146" s="106" t="s">
        <v>950</v>
      </c>
      <c r="Q146" s="114">
        <v>43797</v>
      </c>
      <c r="R146" s="107" t="s">
        <v>1785</v>
      </c>
    </row>
    <row r="147" spans="1:18" ht="237" hidden="1" customHeight="1" x14ac:dyDescent="0.3">
      <c r="A147" s="104" t="s">
        <v>374</v>
      </c>
      <c r="B147" s="105"/>
      <c r="C147" s="106" t="s">
        <v>1247</v>
      </c>
      <c r="D147" s="136" t="s">
        <v>1770</v>
      </c>
      <c r="E147" s="136"/>
      <c r="F147" s="136" t="s">
        <v>893</v>
      </c>
      <c r="G147" s="136" t="s">
        <v>894</v>
      </c>
      <c r="H147" s="106" t="s">
        <v>1771</v>
      </c>
      <c r="I147" s="109">
        <v>1115</v>
      </c>
      <c r="J147" s="109">
        <f t="shared" si="26"/>
        <v>223</v>
      </c>
      <c r="K147" s="109">
        <f t="shared" si="23"/>
        <v>1338</v>
      </c>
      <c r="L147" s="110"/>
      <c r="M147" s="111"/>
      <c r="N147" s="110">
        <f t="shared" si="15"/>
        <v>0</v>
      </c>
      <c r="O147" s="114">
        <v>43771</v>
      </c>
      <c r="P147" s="106" t="s">
        <v>950</v>
      </c>
      <c r="Q147" s="114">
        <v>43801</v>
      </c>
      <c r="R147" s="107" t="s">
        <v>1793</v>
      </c>
    </row>
    <row r="148" spans="1:18" ht="30" hidden="1" customHeight="1" x14ac:dyDescent="0.3">
      <c r="A148" s="104" t="s">
        <v>1920</v>
      </c>
      <c r="B148" s="105"/>
      <c r="C148" s="107" t="s">
        <v>1796</v>
      </c>
      <c r="D148" s="107" t="s">
        <v>1466</v>
      </c>
      <c r="E148" s="120"/>
      <c r="F148" s="106" t="s">
        <v>893</v>
      </c>
      <c r="G148" s="106" t="s">
        <v>1637</v>
      </c>
      <c r="H148" s="106" t="s">
        <v>1797</v>
      </c>
      <c r="I148" s="109">
        <v>6060</v>
      </c>
      <c r="J148" s="109">
        <f t="shared" si="26"/>
        <v>1212</v>
      </c>
      <c r="K148" s="109">
        <f t="shared" si="23"/>
        <v>7272</v>
      </c>
      <c r="L148" s="110"/>
      <c r="M148" s="111"/>
      <c r="N148" s="110">
        <f t="shared" si="15"/>
        <v>0</v>
      </c>
      <c r="O148" s="114">
        <v>43773</v>
      </c>
      <c r="P148" s="106" t="s">
        <v>950</v>
      </c>
      <c r="Q148" s="114">
        <v>44169</v>
      </c>
      <c r="R148" s="107" t="s">
        <v>1798</v>
      </c>
    </row>
    <row r="149" spans="1:18" ht="24" hidden="1" customHeight="1" x14ac:dyDescent="0.3">
      <c r="A149" s="104" t="s">
        <v>375</v>
      </c>
      <c r="B149" s="105"/>
      <c r="C149" s="106" t="s">
        <v>1799</v>
      </c>
      <c r="D149" s="106" t="s">
        <v>1800</v>
      </c>
      <c r="E149" s="106"/>
      <c r="F149" s="106" t="s">
        <v>886</v>
      </c>
      <c r="G149" s="106" t="s">
        <v>1596</v>
      </c>
      <c r="H149" s="106" t="s">
        <v>1801</v>
      </c>
      <c r="I149" s="109">
        <v>659</v>
      </c>
      <c r="J149" s="109">
        <f t="shared" si="26"/>
        <v>131.80000000000001</v>
      </c>
      <c r="K149" s="109">
        <f t="shared" si="23"/>
        <v>790.8</v>
      </c>
      <c r="L149" s="110"/>
      <c r="M149" s="111"/>
      <c r="N149" s="110">
        <f t="shared" si="15"/>
        <v>0</v>
      </c>
      <c r="O149" s="114">
        <v>43774</v>
      </c>
      <c r="P149" s="106" t="s">
        <v>950</v>
      </c>
      <c r="Q149" s="114">
        <v>43835</v>
      </c>
      <c r="R149" s="107" t="s">
        <v>1802</v>
      </c>
    </row>
    <row r="150" spans="1:18" ht="24" hidden="1" customHeight="1" x14ac:dyDescent="0.3">
      <c r="A150" s="104" t="s">
        <v>376</v>
      </c>
      <c r="B150" s="105"/>
      <c r="C150" s="106" t="s">
        <v>1028</v>
      </c>
      <c r="D150" s="106" t="s">
        <v>1677</v>
      </c>
      <c r="E150" s="120"/>
      <c r="F150" s="106" t="s">
        <v>1030</v>
      </c>
      <c r="G150" s="106" t="s">
        <v>1031</v>
      </c>
      <c r="H150" s="177" t="s">
        <v>1032</v>
      </c>
      <c r="I150" s="109">
        <v>5020</v>
      </c>
      <c r="J150" s="109">
        <f t="shared" si="26"/>
        <v>1004</v>
      </c>
      <c r="K150" s="109">
        <f t="shared" si="23"/>
        <v>6024</v>
      </c>
      <c r="L150" s="110"/>
      <c r="M150" s="111"/>
      <c r="N150" s="110">
        <f t="shared" si="15"/>
        <v>0</v>
      </c>
      <c r="O150" s="114">
        <v>43773</v>
      </c>
      <c r="P150" s="106" t="s">
        <v>950</v>
      </c>
      <c r="Q150" s="114">
        <v>43803</v>
      </c>
      <c r="R150" s="107" t="s">
        <v>1803</v>
      </c>
    </row>
    <row r="151" spans="1:18" ht="27" hidden="1" customHeight="1" x14ac:dyDescent="0.3">
      <c r="A151" s="104" t="s">
        <v>377</v>
      </c>
      <c r="B151" s="105"/>
      <c r="C151" s="107" t="s">
        <v>1796</v>
      </c>
      <c r="D151" s="107" t="s">
        <v>1809</v>
      </c>
      <c r="E151" s="120"/>
      <c r="F151" s="106" t="s">
        <v>893</v>
      </c>
      <c r="G151" s="106" t="s">
        <v>1637</v>
      </c>
      <c r="H151" s="106" t="s">
        <v>1810</v>
      </c>
      <c r="I151" s="109">
        <v>1845</v>
      </c>
      <c r="J151" s="109">
        <f t="shared" si="26"/>
        <v>369</v>
      </c>
      <c r="K151" s="109">
        <f t="shared" si="23"/>
        <v>2214</v>
      </c>
      <c r="L151" s="110"/>
      <c r="M151" s="111"/>
      <c r="N151" s="110">
        <f t="shared" si="15"/>
        <v>0</v>
      </c>
      <c r="O151" s="114">
        <v>43774</v>
      </c>
      <c r="P151" s="106" t="s">
        <v>950</v>
      </c>
      <c r="Q151" s="114">
        <v>43804</v>
      </c>
      <c r="R151" s="107" t="s">
        <v>160</v>
      </c>
    </row>
    <row r="152" spans="1:18" ht="24" hidden="1" customHeight="1" x14ac:dyDescent="0.3">
      <c r="A152" s="104" t="s">
        <v>378</v>
      </c>
      <c r="B152" s="105"/>
      <c r="C152" s="106" t="s">
        <v>1463</v>
      </c>
      <c r="D152" s="107" t="s">
        <v>1819</v>
      </c>
      <c r="E152" s="120"/>
      <c r="F152" s="106" t="s">
        <v>886</v>
      </c>
      <c r="G152" s="106" t="s">
        <v>1367</v>
      </c>
      <c r="H152" s="106" t="s">
        <v>1820</v>
      </c>
      <c r="I152" s="109">
        <v>390.25</v>
      </c>
      <c r="J152" s="109">
        <f t="shared" si="26"/>
        <v>78.050000000000011</v>
      </c>
      <c r="K152" s="109">
        <f t="shared" si="23"/>
        <v>468.3</v>
      </c>
      <c r="L152" s="110"/>
      <c r="M152" s="111"/>
      <c r="N152" s="110">
        <f t="shared" si="15"/>
        <v>0</v>
      </c>
      <c r="O152" s="114">
        <v>43777</v>
      </c>
      <c r="P152" s="106" t="s">
        <v>950</v>
      </c>
      <c r="Q152" s="114">
        <v>43819</v>
      </c>
      <c r="R152" s="107">
        <v>970274</v>
      </c>
    </row>
    <row r="153" spans="1:18" ht="33" hidden="1" customHeight="1" x14ac:dyDescent="0.3">
      <c r="A153" s="104" t="s">
        <v>379</v>
      </c>
      <c r="B153" s="105"/>
      <c r="C153" s="107" t="s">
        <v>1796</v>
      </c>
      <c r="D153" s="106" t="s">
        <v>1821</v>
      </c>
      <c r="E153" s="120"/>
      <c r="F153" s="106" t="s">
        <v>893</v>
      </c>
      <c r="G153" s="106" t="s">
        <v>1637</v>
      </c>
      <c r="H153" s="106" t="s">
        <v>1797</v>
      </c>
      <c r="I153" s="109">
        <v>3760</v>
      </c>
      <c r="J153" s="109">
        <f t="shared" si="26"/>
        <v>752</v>
      </c>
      <c r="K153" s="109">
        <f t="shared" si="23"/>
        <v>4512</v>
      </c>
      <c r="L153" s="110"/>
      <c r="M153" s="111"/>
      <c r="N153" s="110">
        <f t="shared" si="15"/>
        <v>0</v>
      </c>
      <c r="O153" s="114">
        <v>43787</v>
      </c>
      <c r="P153" s="106" t="s">
        <v>950</v>
      </c>
      <c r="Q153" s="114">
        <v>43817</v>
      </c>
      <c r="R153" s="107" t="s">
        <v>1822</v>
      </c>
    </row>
    <row r="154" spans="1:18" ht="24" hidden="1" customHeight="1" x14ac:dyDescent="0.3">
      <c r="A154" s="104" t="s">
        <v>380</v>
      </c>
      <c r="B154" s="105"/>
      <c r="C154" s="106" t="s">
        <v>1824</v>
      </c>
      <c r="D154" s="106" t="s">
        <v>1825</v>
      </c>
      <c r="E154" s="120"/>
      <c r="F154" s="106" t="s">
        <v>903</v>
      </c>
      <c r="G154" s="106" t="s">
        <v>1283</v>
      </c>
      <c r="H154" s="106" t="s">
        <v>1826</v>
      </c>
      <c r="I154" s="109">
        <v>1960</v>
      </c>
      <c r="J154" s="109">
        <f t="shared" si="26"/>
        <v>392</v>
      </c>
      <c r="K154" s="109">
        <f t="shared" si="23"/>
        <v>2352</v>
      </c>
      <c r="L154" s="110"/>
      <c r="M154" s="111"/>
      <c r="N154" s="110">
        <f t="shared" si="15"/>
        <v>0</v>
      </c>
      <c r="O154" s="114">
        <v>43787</v>
      </c>
      <c r="P154" s="106" t="s">
        <v>950</v>
      </c>
      <c r="Q154" s="114">
        <v>43817</v>
      </c>
      <c r="R154" s="107" t="s">
        <v>1827</v>
      </c>
    </row>
    <row r="155" spans="1:18" ht="24" hidden="1" customHeight="1" x14ac:dyDescent="0.3">
      <c r="A155" s="104" t="s">
        <v>381</v>
      </c>
      <c r="B155" s="105"/>
      <c r="C155" s="107" t="s">
        <v>908</v>
      </c>
      <c r="D155" s="107" t="s">
        <v>1828</v>
      </c>
      <c r="E155" s="107"/>
      <c r="F155" s="107" t="s">
        <v>1018</v>
      </c>
      <c r="G155" s="107" t="s">
        <v>866</v>
      </c>
      <c r="H155" s="163" t="s">
        <v>1829</v>
      </c>
      <c r="I155" s="109">
        <v>665</v>
      </c>
      <c r="J155" s="109">
        <f t="shared" si="26"/>
        <v>133</v>
      </c>
      <c r="K155" s="109">
        <f t="shared" si="23"/>
        <v>798</v>
      </c>
      <c r="L155" s="110"/>
      <c r="M155" s="111"/>
      <c r="N155" s="110">
        <f t="shared" si="15"/>
        <v>0</v>
      </c>
      <c r="O155" s="114">
        <v>43787</v>
      </c>
      <c r="P155" s="106" t="s">
        <v>950</v>
      </c>
      <c r="Q155" s="114">
        <v>43817</v>
      </c>
      <c r="R155" s="107"/>
    </row>
    <row r="156" spans="1:18" ht="24" hidden="1" customHeight="1" x14ac:dyDescent="0.3">
      <c r="A156" s="104" t="s">
        <v>382</v>
      </c>
      <c r="B156" s="105"/>
      <c r="C156" s="106" t="s">
        <v>891</v>
      </c>
      <c r="D156" s="106" t="s">
        <v>1834</v>
      </c>
      <c r="E156" s="120"/>
      <c r="F156" s="106" t="s">
        <v>1065</v>
      </c>
      <c r="G156" s="106" t="s">
        <v>923</v>
      </c>
      <c r="H156" s="106" t="s">
        <v>1020</v>
      </c>
      <c r="I156" s="109">
        <v>2625</v>
      </c>
      <c r="J156" s="109">
        <f t="shared" si="26"/>
        <v>525</v>
      </c>
      <c r="K156" s="109">
        <f t="shared" si="23"/>
        <v>3150</v>
      </c>
      <c r="L156" s="110"/>
      <c r="M156" s="111"/>
      <c r="N156" s="110">
        <f t="shared" si="15"/>
        <v>0</v>
      </c>
      <c r="O156" s="114">
        <v>43788</v>
      </c>
      <c r="P156" s="106" t="s">
        <v>950</v>
      </c>
      <c r="Q156" s="114">
        <v>43818</v>
      </c>
      <c r="R156" s="107" t="s">
        <v>1835</v>
      </c>
    </row>
    <row r="157" spans="1:18" ht="24" hidden="1" customHeight="1" x14ac:dyDescent="0.3">
      <c r="A157" s="104" t="s">
        <v>1919</v>
      </c>
      <c r="B157" s="105"/>
      <c r="C157" s="106" t="s">
        <v>1853</v>
      </c>
      <c r="D157" s="106" t="s">
        <v>1854</v>
      </c>
      <c r="E157" s="120"/>
      <c r="F157" s="106" t="s">
        <v>893</v>
      </c>
      <c r="G157" s="106" t="s">
        <v>1855</v>
      </c>
      <c r="H157" s="106" t="s">
        <v>1856</v>
      </c>
      <c r="I157" s="109">
        <v>6700</v>
      </c>
      <c r="J157" s="109">
        <f t="shared" si="26"/>
        <v>1340</v>
      </c>
      <c r="K157" s="109">
        <f t="shared" si="23"/>
        <v>8040</v>
      </c>
      <c r="L157" s="110"/>
      <c r="M157" s="111"/>
      <c r="N157" s="110">
        <f t="shared" si="15"/>
        <v>0</v>
      </c>
      <c r="O157" s="114">
        <v>43791</v>
      </c>
      <c r="P157" s="106" t="s">
        <v>950</v>
      </c>
      <c r="Q157" s="114">
        <v>43820</v>
      </c>
      <c r="R157" s="107" t="s">
        <v>1857</v>
      </c>
    </row>
    <row r="158" spans="1:18" ht="24" hidden="1" customHeight="1" x14ac:dyDescent="0.3">
      <c r="A158" s="104" t="s">
        <v>383</v>
      </c>
      <c r="B158" s="105"/>
      <c r="C158" s="106" t="s">
        <v>1628</v>
      </c>
      <c r="D158" s="106" t="s">
        <v>1859</v>
      </c>
      <c r="E158" s="120"/>
      <c r="F158" s="106" t="s">
        <v>933</v>
      </c>
      <c r="G158" s="106" t="s">
        <v>866</v>
      </c>
      <c r="H158" s="106" t="s">
        <v>1860</v>
      </c>
      <c r="I158" s="109">
        <v>1195</v>
      </c>
      <c r="J158" s="109">
        <f t="shared" si="26"/>
        <v>239</v>
      </c>
      <c r="K158" s="109">
        <f t="shared" si="23"/>
        <v>1434</v>
      </c>
      <c r="L158" s="110"/>
      <c r="M158" s="111"/>
      <c r="N158" s="110">
        <f t="shared" si="15"/>
        <v>0</v>
      </c>
      <c r="O158" s="114">
        <v>43795</v>
      </c>
      <c r="P158" s="106" t="s">
        <v>950</v>
      </c>
      <c r="Q158" s="114">
        <v>43825</v>
      </c>
      <c r="R158" s="107">
        <v>2823</v>
      </c>
    </row>
    <row r="159" spans="1:18" ht="24" hidden="1" customHeight="1" x14ac:dyDescent="0.3">
      <c r="A159" s="104" t="s">
        <v>384</v>
      </c>
      <c r="B159" s="105"/>
      <c r="C159" s="106" t="s">
        <v>884</v>
      </c>
      <c r="D159" s="106" t="s">
        <v>1861</v>
      </c>
      <c r="E159" s="120"/>
      <c r="F159" s="106" t="s">
        <v>933</v>
      </c>
      <c r="G159" s="106" t="s">
        <v>911</v>
      </c>
      <c r="H159" s="106" t="s">
        <v>1862</v>
      </c>
      <c r="I159" s="109">
        <v>3385</v>
      </c>
      <c r="J159" s="109">
        <f t="shared" si="26"/>
        <v>677</v>
      </c>
      <c r="K159" s="109">
        <f t="shared" si="23"/>
        <v>4062</v>
      </c>
      <c r="L159" s="110"/>
      <c r="M159" s="111"/>
      <c r="N159" s="110">
        <f t="shared" si="15"/>
        <v>0</v>
      </c>
      <c r="O159" s="114">
        <v>43795</v>
      </c>
      <c r="P159" s="131" t="s">
        <v>950</v>
      </c>
      <c r="Q159" s="114">
        <v>43825</v>
      </c>
      <c r="R159" s="136" t="s">
        <v>1863</v>
      </c>
    </row>
    <row r="160" spans="1:18" ht="24" hidden="1" customHeight="1" x14ac:dyDescent="0.3">
      <c r="A160" s="104" t="s">
        <v>385</v>
      </c>
      <c r="B160" s="105"/>
      <c r="C160" s="107" t="s">
        <v>1563</v>
      </c>
      <c r="D160" s="107" t="s">
        <v>1580</v>
      </c>
      <c r="E160" s="116"/>
      <c r="F160" s="107" t="s">
        <v>1389</v>
      </c>
      <c r="G160" s="107" t="s">
        <v>866</v>
      </c>
      <c r="H160" s="106" t="s">
        <v>1582</v>
      </c>
      <c r="I160" s="109">
        <v>3580</v>
      </c>
      <c r="J160" s="109">
        <f t="shared" si="26"/>
        <v>716</v>
      </c>
      <c r="K160" s="109">
        <f t="shared" si="23"/>
        <v>4296</v>
      </c>
      <c r="L160" s="110"/>
      <c r="M160" s="111"/>
      <c r="N160" s="110">
        <f t="shared" si="15"/>
        <v>0</v>
      </c>
      <c r="O160" s="114">
        <v>43805</v>
      </c>
      <c r="P160" s="131" t="s">
        <v>950</v>
      </c>
      <c r="Q160" s="114">
        <v>43836</v>
      </c>
      <c r="R160" s="136" t="s">
        <v>1882</v>
      </c>
    </row>
    <row r="161" spans="1:18" ht="24" hidden="1" customHeight="1" x14ac:dyDescent="0.3">
      <c r="A161" s="104" t="s">
        <v>386</v>
      </c>
      <c r="B161" s="105"/>
      <c r="C161" s="106" t="s">
        <v>1549</v>
      </c>
      <c r="D161" s="106" t="s">
        <v>1891</v>
      </c>
      <c r="E161" s="120"/>
      <c r="F161" s="106" t="s">
        <v>1892</v>
      </c>
      <c r="G161" s="106" t="s">
        <v>866</v>
      </c>
      <c r="H161" s="106" t="s">
        <v>1893</v>
      </c>
      <c r="I161" s="109">
        <v>1710</v>
      </c>
      <c r="J161" s="109">
        <f t="shared" si="26"/>
        <v>342</v>
      </c>
      <c r="K161" s="109">
        <f t="shared" si="23"/>
        <v>2052</v>
      </c>
      <c r="L161" s="110"/>
      <c r="M161" s="111"/>
      <c r="N161" s="110">
        <f t="shared" si="15"/>
        <v>0</v>
      </c>
      <c r="O161" s="114">
        <v>43809</v>
      </c>
      <c r="P161" s="106" t="s">
        <v>950</v>
      </c>
      <c r="Q161" s="114">
        <v>43840</v>
      </c>
      <c r="R161" s="116">
        <v>1000276992</v>
      </c>
    </row>
    <row r="162" spans="1:18" ht="24" hidden="1" customHeight="1" x14ac:dyDescent="0.3">
      <c r="A162" s="104" t="s">
        <v>1918</v>
      </c>
      <c r="B162" s="105"/>
      <c r="C162" s="106" t="s">
        <v>1247</v>
      </c>
      <c r="D162" s="106" t="s">
        <v>1894</v>
      </c>
      <c r="E162" s="120"/>
      <c r="F162" s="106" t="s">
        <v>933</v>
      </c>
      <c r="G162" s="106" t="s">
        <v>1637</v>
      </c>
      <c r="H162" s="106" t="s">
        <v>1895</v>
      </c>
      <c r="I162" s="109">
        <v>1380</v>
      </c>
      <c r="J162" s="109">
        <f t="shared" ref="J162:J192" si="30">SUM(I162*0.2)</f>
        <v>276</v>
      </c>
      <c r="K162" s="109">
        <f t="shared" ref="K162:K192" si="31">SUM(I162+J162)</f>
        <v>1656</v>
      </c>
      <c r="L162" s="110"/>
      <c r="M162" s="111"/>
      <c r="N162" s="110">
        <f t="shared" ref="N162:N224" si="32">SUM(L162*M162)</f>
        <v>0</v>
      </c>
      <c r="O162" s="114">
        <v>43810</v>
      </c>
      <c r="P162" s="106" t="s">
        <v>950</v>
      </c>
      <c r="Q162" s="113">
        <v>43841</v>
      </c>
      <c r="R162" s="107" t="s">
        <v>1896</v>
      </c>
    </row>
    <row r="163" spans="1:18" ht="24" hidden="1" customHeight="1" x14ac:dyDescent="0.3">
      <c r="A163" s="104" t="s">
        <v>387</v>
      </c>
      <c r="B163" s="105"/>
      <c r="C163" s="106" t="s">
        <v>1016</v>
      </c>
      <c r="D163" s="107" t="s">
        <v>1899</v>
      </c>
      <c r="E163" s="120"/>
      <c r="F163" s="106" t="s">
        <v>1305</v>
      </c>
      <c r="G163" s="106" t="s">
        <v>923</v>
      </c>
      <c r="H163" s="106" t="s">
        <v>1020</v>
      </c>
      <c r="I163" s="109">
        <v>1890</v>
      </c>
      <c r="J163" s="109">
        <f t="shared" si="30"/>
        <v>378</v>
      </c>
      <c r="K163" s="109">
        <f t="shared" si="31"/>
        <v>2268</v>
      </c>
      <c r="L163" s="110"/>
      <c r="M163" s="111"/>
      <c r="N163" s="110">
        <f t="shared" si="32"/>
        <v>0</v>
      </c>
      <c r="O163" s="114">
        <v>43810</v>
      </c>
      <c r="P163" s="106" t="s">
        <v>950</v>
      </c>
      <c r="Q163" s="113">
        <v>43476</v>
      </c>
      <c r="R163" s="136" t="s">
        <v>1900</v>
      </c>
    </row>
    <row r="164" spans="1:18" ht="24" hidden="1" customHeight="1" x14ac:dyDescent="0.3">
      <c r="A164" s="104" t="s">
        <v>388</v>
      </c>
      <c r="B164" s="105"/>
      <c r="C164" s="107" t="s">
        <v>1563</v>
      </c>
      <c r="D164" s="107" t="s">
        <v>1580</v>
      </c>
      <c r="E164" s="116"/>
      <c r="F164" s="107" t="s">
        <v>865</v>
      </c>
      <c r="G164" s="107" t="s">
        <v>866</v>
      </c>
      <c r="H164" s="106" t="s">
        <v>1582</v>
      </c>
      <c r="I164" s="109">
        <v>2110</v>
      </c>
      <c r="J164" s="109">
        <f t="shared" si="30"/>
        <v>422</v>
      </c>
      <c r="K164" s="109">
        <f t="shared" si="31"/>
        <v>2532</v>
      </c>
      <c r="L164" s="110"/>
      <c r="M164" s="111"/>
      <c r="N164" s="110">
        <f t="shared" si="32"/>
        <v>0</v>
      </c>
      <c r="O164" s="114">
        <v>43812</v>
      </c>
      <c r="P164" s="106" t="s">
        <v>950</v>
      </c>
      <c r="Q164" s="114">
        <v>43843</v>
      </c>
      <c r="R164" s="107" t="s">
        <v>1904</v>
      </c>
    </row>
    <row r="165" spans="1:18" ht="24" hidden="1" customHeight="1" x14ac:dyDescent="0.3">
      <c r="A165" s="104" t="s">
        <v>389</v>
      </c>
      <c r="B165" s="105"/>
      <c r="C165" s="106" t="s">
        <v>884</v>
      </c>
      <c r="D165" s="107" t="s">
        <v>1280</v>
      </c>
      <c r="E165" s="120"/>
      <c r="F165" s="106" t="s">
        <v>1663</v>
      </c>
      <c r="G165" s="106" t="s">
        <v>866</v>
      </c>
      <c r="H165" s="106" t="s">
        <v>1664</v>
      </c>
      <c r="I165" s="109">
        <v>5595</v>
      </c>
      <c r="J165" s="109">
        <f t="shared" si="30"/>
        <v>1119</v>
      </c>
      <c r="K165" s="109">
        <f t="shared" si="31"/>
        <v>6714</v>
      </c>
      <c r="L165" s="110"/>
      <c r="M165" s="111"/>
      <c r="N165" s="110">
        <f t="shared" si="32"/>
        <v>0</v>
      </c>
      <c r="O165" s="114">
        <v>43815</v>
      </c>
      <c r="P165" s="106" t="s">
        <v>950</v>
      </c>
      <c r="Q165" s="114">
        <v>43846</v>
      </c>
      <c r="R165" s="107" t="s">
        <v>1906</v>
      </c>
    </row>
    <row r="166" spans="1:18" ht="24" hidden="1" customHeight="1" x14ac:dyDescent="0.3">
      <c r="A166" s="12" t="s">
        <v>390</v>
      </c>
      <c r="B166" s="60"/>
      <c r="C166" s="68"/>
      <c r="D166" s="69"/>
      <c r="E166" s="62"/>
      <c r="F166" s="68"/>
      <c r="G166" s="68"/>
      <c r="H166" s="68"/>
      <c r="I166" s="63"/>
      <c r="J166" s="63">
        <f t="shared" si="30"/>
        <v>0</v>
      </c>
      <c r="K166" s="63">
        <f t="shared" si="31"/>
        <v>0</v>
      </c>
      <c r="L166" s="64"/>
      <c r="M166" s="65"/>
      <c r="N166" s="64">
        <f t="shared" si="32"/>
        <v>0</v>
      </c>
      <c r="O166" s="66"/>
      <c r="P166" s="68"/>
      <c r="Q166" s="66"/>
      <c r="R166" s="69"/>
    </row>
    <row r="167" spans="1:18" ht="24" hidden="1" customHeight="1" x14ac:dyDescent="0.3">
      <c r="A167" s="12" t="s">
        <v>391</v>
      </c>
      <c r="B167" s="60"/>
      <c r="C167" s="68"/>
      <c r="D167" s="69"/>
      <c r="E167" s="62"/>
      <c r="F167" s="68"/>
      <c r="G167" s="68"/>
      <c r="H167" s="68"/>
      <c r="I167" s="63"/>
      <c r="J167" s="63">
        <f t="shared" si="30"/>
        <v>0</v>
      </c>
      <c r="K167" s="63">
        <f t="shared" si="31"/>
        <v>0</v>
      </c>
      <c r="L167" s="64"/>
      <c r="M167" s="65"/>
      <c r="N167" s="64">
        <f t="shared" si="32"/>
        <v>0</v>
      </c>
      <c r="O167" s="66"/>
      <c r="P167" s="68"/>
      <c r="Q167" s="66"/>
      <c r="R167" s="69"/>
    </row>
    <row r="168" spans="1:18" ht="24" hidden="1" customHeight="1" x14ac:dyDescent="0.3">
      <c r="A168" s="12" t="s">
        <v>392</v>
      </c>
      <c r="B168" s="60"/>
      <c r="C168" s="68"/>
      <c r="D168" s="69"/>
      <c r="E168" s="62"/>
      <c r="F168" s="68"/>
      <c r="G168" s="68"/>
      <c r="H168" s="68"/>
      <c r="I168" s="63"/>
      <c r="J168" s="63">
        <f t="shared" si="30"/>
        <v>0</v>
      </c>
      <c r="K168" s="63">
        <f t="shared" si="31"/>
        <v>0</v>
      </c>
      <c r="L168" s="64"/>
      <c r="M168" s="65"/>
      <c r="N168" s="64">
        <f t="shared" si="32"/>
        <v>0</v>
      </c>
      <c r="O168" s="66"/>
      <c r="P168" s="68"/>
      <c r="Q168" s="66"/>
      <c r="R168" s="69"/>
    </row>
    <row r="169" spans="1:18" ht="24" hidden="1" customHeight="1" x14ac:dyDescent="0.3">
      <c r="A169" s="12" t="s">
        <v>393</v>
      </c>
      <c r="B169" s="60"/>
      <c r="C169" s="68"/>
      <c r="D169" s="69"/>
      <c r="E169" s="62"/>
      <c r="F169" s="68"/>
      <c r="G169" s="68"/>
      <c r="H169" s="68"/>
      <c r="I169" s="63"/>
      <c r="J169" s="63">
        <f t="shared" si="30"/>
        <v>0</v>
      </c>
      <c r="K169" s="63">
        <f t="shared" si="31"/>
        <v>0</v>
      </c>
      <c r="L169" s="64"/>
      <c r="M169" s="65"/>
      <c r="N169" s="64">
        <f t="shared" si="32"/>
        <v>0</v>
      </c>
      <c r="O169" s="66"/>
      <c r="P169" s="62"/>
      <c r="Q169" s="66"/>
      <c r="R169" s="61"/>
    </row>
    <row r="170" spans="1:18" ht="24" hidden="1" customHeight="1" x14ac:dyDescent="0.3">
      <c r="A170" s="12" t="s">
        <v>394</v>
      </c>
      <c r="B170" s="60"/>
      <c r="C170" s="68"/>
      <c r="D170" s="69"/>
      <c r="E170" s="62"/>
      <c r="F170" s="68"/>
      <c r="G170" s="68"/>
      <c r="H170" s="68"/>
      <c r="I170" s="63"/>
      <c r="J170" s="63">
        <f t="shared" si="30"/>
        <v>0</v>
      </c>
      <c r="K170" s="63">
        <f t="shared" si="31"/>
        <v>0</v>
      </c>
      <c r="L170" s="64"/>
      <c r="M170" s="65"/>
      <c r="N170" s="64">
        <f t="shared" si="32"/>
        <v>0</v>
      </c>
      <c r="O170" s="66"/>
      <c r="P170" s="68"/>
      <c r="Q170" s="66"/>
      <c r="R170" s="69"/>
    </row>
    <row r="171" spans="1:18" ht="24" hidden="1" customHeight="1" x14ac:dyDescent="0.3">
      <c r="A171" s="12" t="s">
        <v>395</v>
      </c>
      <c r="B171" s="60"/>
      <c r="C171" s="69"/>
      <c r="D171" s="69"/>
      <c r="E171" s="69"/>
      <c r="F171" s="69"/>
      <c r="G171" s="69"/>
      <c r="H171" s="68"/>
      <c r="I171" s="63"/>
      <c r="J171" s="63">
        <f t="shared" si="30"/>
        <v>0</v>
      </c>
      <c r="K171" s="63">
        <f t="shared" si="31"/>
        <v>0</v>
      </c>
      <c r="L171" s="64"/>
      <c r="M171" s="65"/>
      <c r="N171" s="64">
        <f t="shared" si="32"/>
        <v>0</v>
      </c>
      <c r="O171" s="66"/>
      <c r="P171" s="68"/>
      <c r="Q171" s="66"/>
      <c r="R171" s="61"/>
    </row>
    <row r="172" spans="1:18" ht="24" hidden="1" customHeight="1" x14ac:dyDescent="0.3">
      <c r="A172" s="12" t="s">
        <v>396</v>
      </c>
      <c r="B172" s="60"/>
      <c r="C172" s="68"/>
      <c r="D172" s="69"/>
      <c r="E172" s="62"/>
      <c r="F172" s="68"/>
      <c r="G172" s="68"/>
      <c r="H172" s="68"/>
      <c r="I172" s="63"/>
      <c r="J172" s="63">
        <f t="shared" si="30"/>
        <v>0</v>
      </c>
      <c r="K172" s="63">
        <f t="shared" si="31"/>
        <v>0</v>
      </c>
      <c r="L172" s="64"/>
      <c r="M172" s="65"/>
      <c r="N172" s="64">
        <f t="shared" si="32"/>
        <v>0</v>
      </c>
      <c r="O172" s="66"/>
      <c r="P172" s="68"/>
      <c r="Q172" s="66"/>
      <c r="R172" s="61"/>
    </row>
    <row r="173" spans="1:18" ht="24" hidden="1" customHeight="1" x14ac:dyDescent="0.3">
      <c r="A173" s="12" t="s">
        <v>397</v>
      </c>
      <c r="B173" s="60"/>
      <c r="C173" s="96"/>
      <c r="D173" s="48"/>
      <c r="E173" s="97"/>
      <c r="F173" s="68"/>
      <c r="G173" s="48"/>
      <c r="H173" s="48"/>
      <c r="I173" s="63"/>
      <c r="J173" s="63">
        <f t="shared" si="30"/>
        <v>0</v>
      </c>
      <c r="K173" s="63">
        <f t="shared" si="31"/>
        <v>0</v>
      </c>
      <c r="L173" s="64"/>
      <c r="M173" s="65"/>
      <c r="N173" s="64">
        <f t="shared" si="32"/>
        <v>0</v>
      </c>
      <c r="O173" s="80"/>
      <c r="P173" s="68"/>
      <c r="Q173" s="66"/>
      <c r="R173" s="48"/>
    </row>
    <row r="174" spans="1:18" ht="24" hidden="1" customHeight="1" x14ac:dyDescent="0.3">
      <c r="A174" s="12" t="s">
        <v>398</v>
      </c>
      <c r="B174" s="60"/>
      <c r="C174" s="68"/>
      <c r="D174" s="48"/>
      <c r="E174" s="62"/>
      <c r="F174" s="68"/>
      <c r="G174" s="68"/>
      <c r="H174" s="68"/>
      <c r="I174" s="63"/>
      <c r="J174" s="63">
        <f t="shared" si="30"/>
        <v>0</v>
      </c>
      <c r="K174" s="63">
        <f t="shared" si="31"/>
        <v>0</v>
      </c>
      <c r="L174" s="64"/>
      <c r="M174" s="65"/>
      <c r="N174" s="64">
        <f t="shared" si="32"/>
        <v>0</v>
      </c>
      <c r="O174" s="80"/>
      <c r="P174" s="68"/>
      <c r="Q174" s="66"/>
      <c r="R174" s="68"/>
    </row>
    <row r="175" spans="1:18" ht="24" hidden="1" customHeight="1" x14ac:dyDescent="0.3">
      <c r="A175" s="12" t="s">
        <v>399</v>
      </c>
      <c r="B175" s="60"/>
      <c r="C175" s="68"/>
      <c r="D175" s="69"/>
      <c r="E175" s="62"/>
      <c r="F175" s="68"/>
      <c r="G175" s="68"/>
      <c r="H175" s="68"/>
      <c r="I175" s="63"/>
      <c r="J175" s="63">
        <f t="shared" si="30"/>
        <v>0</v>
      </c>
      <c r="K175" s="63">
        <f t="shared" si="31"/>
        <v>0</v>
      </c>
      <c r="L175" s="64"/>
      <c r="M175" s="65"/>
      <c r="N175" s="64">
        <f t="shared" si="32"/>
        <v>0</v>
      </c>
      <c r="O175" s="80"/>
      <c r="P175" s="68"/>
      <c r="Q175" s="80"/>
      <c r="R175" s="69"/>
    </row>
    <row r="176" spans="1:18" ht="24" hidden="1" customHeight="1" x14ac:dyDescent="0.3">
      <c r="A176" s="12" t="s">
        <v>400</v>
      </c>
      <c r="B176" s="60"/>
      <c r="C176" s="68"/>
      <c r="D176" s="69"/>
      <c r="E176" s="62"/>
      <c r="F176" s="68"/>
      <c r="G176" s="68"/>
      <c r="H176" s="68"/>
      <c r="I176" s="63"/>
      <c r="J176" s="63">
        <f t="shared" si="30"/>
        <v>0</v>
      </c>
      <c r="K176" s="63">
        <f t="shared" si="31"/>
        <v>0</v>
      </c>
      <c r="L176" s="64"/>
      <c r="M176" s="65"/>
      <c r="N176" s="64">
        <f t="shared" si="32"/>
        <v>0</v>
      </c>
      <c r="O176" s="80"/>
      <c r="P176" s="68"/>
      <c r="Q176" s="80"/>
      <c r="R176" s="69"/>
    </row>
    <row r="177" spans="1:18" ht="24" hidden="1" customHeight="1" x14ac:dyDescent="0.3">
      <c r="A177" s="12" t="s">
        <v>401</v>
      </c>
      <c r="B177" s="60"/>
      <c r="C177" s="68"/>
      <c r="D177" s="69"/>
      <c r="E177" s="62"/>
      <c r="F177" s="68"/>
      <c r="G177" s="68"/>
      <c r="H177" s="68"/>
      <c r="I177" s="63"/>
      <c r="J177" s="63">
        <f t="shared" si="30"/>
        <v>0</v>
      </c>
      <c r="K177" s="63">
        <f t="shared" si="31"/>
        <v>0</v>
      </c>
      <c r="L177" s="64"/>
      <c r="M177" s="65"/>
      <c r="N177" s="64">
        <f t="shared" si="32"/>
        <v>0</v>
      </c>
      <c r="O177" s="80"/>
      <c r="P177" s="68"/>
      <c r="Q177" s="80"/>
      <c r="R177" s="69"/>
    </row>
    <row r="178" spans="1:18" ht="24" hidden="1" customHeight="1" x14ac:dyDescent="0.3">
      <c r="A178" s="12" t="s">
        <v>402</v>
      </c>
      <c r="B178" s="60"/>
      <c r="C178" s="69"/>
      <c r="D178" s="69"/>
      <c r="E178" s="69"/>
      <c r="F178" s="69"/>
      <c r="G178" s="69"/>
      <c r="H178" s="68"/>
      <c r="I178" s="63"/>
      <c r="J178" s="63">
        <f t="shared" si="30"/>
        <v>0</v>
      </c>
      <c r="K178" s="63">
        <f t="shared" si="31"/>
        <v>0</v>
      </c>
      <c r="L178" s="64"/>
      <c r="M178" s="65"/>
      <c r="N178" s="64">
        <f t="shared" si="32"/>
        <v>0</v>
      </c>
      <c r="O178" s="80"/>
      <c r="P178" s="68"/>
      <c r="Q178" s="80"/>
      <c r="R178" s="61"/>
    </row>
    <row r="179" spans="1:18" ht="24" hidden="1" customHeight="1" x14ac:dyDescent="0.3">
      <c r="A179" s="12" t="s">
        <v>403</v>
      </c>
      <c r="B179" s="60"/>
      <c r="C179" s="68"/>
      <c r="D179" s="69"/>
      <c r="E179" s="62"/>
      <c r="F179" s="68"/>
      <c r="G179" s="68"/>
      <c r="H179" s="68"/>
      <c r="I179" s="63"/>
      <c r="J179" s="63">
        <f t="shared" si="30"/>
        <v>0</v>
      </c>
      <c r="K179" s="63">
        <f t="shared" si="31"/>
        <v>0</v>
      </c>
      <c r="L179" s="64"/>
      <c r="M179" s="65"/>
      <c r="N179" s="64">
        <f t="shared" si="32"/>
        <v>0</v>
      </c>
      <c r="O179" s="80"/>
      <c r="P179" s="68"/>
      <c r="Q179" s="80"/>
      <c r="R179" s="69"/>
    </row>
    <row r="180" spans="1:18" ht="24" hidden="1" customHeight="1" x14ac:dyDescent="0.3">
      <c r="A180" s="12" t="s">
        <v>404</v>
      </c>
      <c r="B180" s="60"/>
      <c r="C180" s="69"/>
      <c r="D180" s="69"/>
      <c r="E180" s="69"/>
      <c r="F180" s="69"/>
      <c r="G180" s="69"/>
      <c r="H180" s="68"/>
      <c r="I180" s="63"/>
      <c r="J180" s="63">
        <f t="shared" si="30"/>
        <v>0</v>
      </c>
      <c r="K180" s="63">
        <f t="shared" si="31"/>
        <v>0</v>
      </c>
      <c r="L180" s="64"/>
      <c r="M180" s="65"/>
      <c r="N180" s="64">
        <f t="shared" si="32"/>
        <v>0</v>
      </c>
      <c r="O180" s="80"/>
      <c r="P180" s="68"/>
      <c r="Q180" s="80"/>
      <c r="R180" s="61"/>
    </row>
    <row r="181" spans="1:18" ht="24" hidden="1" customHeight="1" x14ac:dyDescent="0.3">
      <c r="A181" s="12" t="s">
        <v>405</v>
      </c>
      <c r="B181" s="60"/>
      <c r="C181" s="68"/>
      <c r="D181" s="68"/>
      <c r="E181" s="62"/>
      <c r="F181" s="68"/>
      <c r="G181" s="68"/>
      <c r="H181" s="68"/>
      <c r="I181" s="63"/>
      <c r="J181" s="63">
        <f t="shared" si="30"/>
        <v>0</v>
      </c>
      <c r="K181" s="63">
        <f t="shared" si="31"/>
        <v>0</v>
      </c>
      <c r="L181" s="64"/>
      <c r="M181" s="65"/>
      <c r="N181" s="64">
        <f t="shared" si="32"/>
        <v>0</v>
      </c>
      <c r="O181" s="80"/>
      <c r="P181" s="62"/>
      <c r="Q181" s="80"/>
      <c r="R181" s="61"/>
    </row>
    <row r="182" spans="1:18" ht="24" hidden="1" customHeight="1" x14ac:dyDescent="0.3">
      <c r="A182" s="12" t="s">
        <v>406</v>
      </c>
      <c r="B182" s="60"/>
      <c r="C182" s="68"/>
      <c r="D182" s="69"/>
      <c r="E182" s="62"/>
      <c r="F182" s="68"/>
      <c r="G182" s="68"/>
      <c r="H182" s="68"/>
      <c r="I182" s="63"/>
      <c r="J182" s="63">
        <f t="shared" si="30"/>
        <v>0</v>
      </c>
      <c r="K182" s="63">
        <f t="shared" si="31"/>
        <v>0</v>
      </c>
      <c r="L182" s="64"/>
      <c r="M182" s="65"/>
      <c r="N182" s="64">
        <f t="shared" si="32"/>
        <v>0</v>
      </c>
      <c r="O182" s="66"/>
      <c r="P182" s="68"/>
      <c r="Q182" s="66"/>
      <c r="R182" s="69"/>
    </row>
    <row r="183" spans="1:18" ht="24" hidden="1" customHeight="1" x14ac:dyDescent="0.3">
      <c r="A183" s="12" t="s">
        <v>407</v>
      </c>
      <c r="B183" s="60"/>
      <c r="C183" s="68"/>
      <c r="D183" s="69"/>
      <c r="E183" s="62"/>
      <c r="F183" s="68"/>
      <c r="G183" s="68"/>
      <c r="H183" s="68"/>
      <c r="I183" s="63"/>
      <c r="J183" s="63">
        <f t="shared" si="30"/>
        <v>0</v>
      </c>
      <c r="K183" s="63">
        <f t="shared" si="31"/>
        <v>0</v>
      </c>
      <c r="L183" s="64"/>
      <c r="M183" s="65"/>
      <c r="N183" s="64">
        <f t="shared" si="32"/>
        <v>0</v>
      </c>
      <c r="O183" s="66"/>
      <c r="P183" s="68"/>
      <c r="Q183" s="66"/>
      <c r="R183" s="69"/>
    </row>
    <row r="184" spans="1:18" ht="24" hidden="1" customHeight="1" x14ac:dyDescent="0.3">
      <c r="A184" s="12" t="s">
        <v>408</v>
      </c>
      <c r="B184" s="60"/>
      <c r="C184" s="68"/>
      <c r="D184" s="69"/>
      <c r="E184" s="62"/>
      <c r="F184" s="68"/>
      <c r="G184" s="68"/>
      <c r="H184" s="68"/>
      <c r="I184" s="63"/>
      <c r="J184" s="63">
        <f t="shared" si="30"/>
        <v>0</v>
      </c>
      <c r="K184" s="63">
        <f t="shared" si="31"/>
        <v>0</v>
      </c>
      <c r="L184" s="64"/>
      <c r="M184" s="65"/>
      <c r="N184" s="64">
        <f t="shared" si="32"/>
        <v>0</v>
      </c>
      <c r="O184" s="66"/>
      <c r="P184" s="68"/>
      <c r="Q184" s="66"/>
      <c r="R184" s="69"/>
    </row>
    <row r="185" spans="1:18" ht="24" hidden="1" customHeight="1" x14ac:dyDescent="0.3">
      <c r="A185" s="12" t="s">
        <v>409</v>
      </c>
      <c r="B185" s="60"/>
      <c r="C185" s="68"/>
      <c r="D185" s="69"/>
      <c r="E185" s="62"/>
      <c r="F185" s="68"/>
      <c r="G185" s="68"/>
      <c r="H185" s="68"/>
      <c r="I185" s="63"/>
      <c r="J185" s="63">
        <f t="shared" si="30"/>
        <v>0</v>
      </c>
      <c r="K185" s="63">
        <f t="shared" si="31"/>
        <v>0</v>
      </c>
      <c r="L185" s="64"/>
      <c r="M185" s="65"/>
      <c r="N185" s="64">
        <f t="shared" si="32"/>
        <v>0</v>
      </c>
      <c r="O185" s="66"/>
      <c r="P185" s="68"/>
      <c r="Q185" s="66"/>
      <c r="R185" s="69"/>
    </row>
    <row r="186" spans="1:18" ht="24" hidden="1" customHeight="1" x14ac:dyDescent="0.3">
      <c r="A186" s="12" t="s">
        <v>410</v>
      </c>
      <c r="B186" s="60"/>
      <c r="C186" s="68"/>
      <c r="D186" s="69"/>
      <c r="E186" s="62"/>
      <c r="F186" s="69"/>
      <c r="G186" s="68"/>
      <c r="H186" s="68"/>
      <c r="I186" s="63"/>
      <c r="J186" s="63">
        <f t="shared" si="30"/>
        <v>0</v>
      </c>
      <c r="K186" s="63">
        <f t="shared" si="31"/>
        <v>0</v>
      </c>
      <c r="L186" s="64"/>
      <c r="M186" s="65"/>
      <c r="N186" s="64">
        <f t="shared" si="32"/>
        <v>0</v>
      </c>
      <c r="O186" s="66"/>
      <c r="P186" s="68"/>
      <c r="Q186" s="66"/>
      <c r="R186" s="61"/>
    </row>
    <row r="187" spans="1:18" ht="24" hidden="1" customHeight="1" x14ac:dyDescent="0.3">
      <c r="A187" s="12" t="s">
        <v>411</v>
      </c>
      <c r="B187" s="60"/>
      <c r="C187" s="68"/>
      <c r="D187" s="69"/>
      <c r="E187" s="62"/>
      <c r="F187" s="68"/>
      <c r="G187" s="68"/>
      <c r="H187" s="68"/>
      <c r="I187" s="63"/>
      <c r="J187" s="63">
        <f t="shared" si="30"/>
        <v>0</v>
      </c>
      <c r="K187" s="63">
        <f t="shared" si="31"/>
        <v>0</v>
      </c>
      <c r="L187" s="64"/>
      <c r="M187" s="65"/>
      <c r="N187" s="64">
        <f t="shared" si="32"/>
        <v>0</v>
      </c>
      <c r="O187" s="66"/>
      <c r="P187" s="68"/>
      <c r="Q187" s="66"/>
      <c r="R187" s="61"/>
    </row>
    <row r="188" spans="1:18" ht="24" hidden="1" customHeight="1" x14ac:dyDescent="0.3">
      <c r="A188" s="12" t="s">
        <v>412</v>
      </c>
      <c r="B188" s="60"/>
      <c r="C188" s="69"/>
      <c r="D188" s="69"/>
      <c r="E188" s="69"/>
      <c r="F188" s="69"/>
      <c r="G188" s="69"/>
      <c r="H188" s="69"/>
      <c r="I188" s="39"/>
      <c r="J188" s="63">
        <f t="shared" si="30"/>
        <v>0</v>
      </c>
      <c r="K188" s="63">
        <f t="shared" si="31"/>
        <v>0</v>
      </c>
      <c r="L188" s="64"/>
      <c r="M188" s="65"/>
      <c r="N188" s="64">
        <f t="shared" si="32"/>
        <v>0</v>
      </c>
      <c r="O188" s="66"/>
      <c r="P188" s="68"/>
      <c r="Q188" s="66"/>
      <c r="R188" s="61"/>
    </row>
    <row r="189" spans="1:18" ht="24" hidden="1" customHeight="1" x14ac:dyDescent="0.3">
      <c r="A189" s="12" t="s">
        <v>413</v>
      </c>
      <c r="B189" s="60"/>
      <c r="C189" s="68"/>
      <c r="D189" s="69"/>
      <c r="E189" s="62"/>
      <c r="F189" s="68"/>
      <c r="G189" s="68"/>
      <c r="H189" s="68"/>
      <c r="I189" s="63"/>
      <c r="J189" s="63">
        <f t="shared" si="30"/>
        <v>0</v>
      </c>
      <c r="K189" s="63">
        <f t="shared" si="31"/>
        <v>0</v>
      </c>
      <c r="L189" s="64"/>
      <c r="M189" s="65"/>
      <c r="N189" s="64">
        <f t="shared" si="32"/>
        <v>0</v>
      </c>
      <c r="O189" s="66"/>
      <c r="P189" s="68"/>
      <c r="Q189" s="66"/>
      <c r="R189" s="69"/>
    </row>
    <row r="190" spans="1:18" ht="24" hidden="1" customHeight="1" x14ac:dyDescent="0.3">
      <c r="A190" s="12" t="s">
        <v>414</v>
      </c>
      <c r="B190" s="60"/>
      <c r="C190" s="68"/>
      <c r="D190" s="69"/>
      <c r="E190" s="62"/>
      <c r="F190" s="68"/>
      <c r="G190" s="68"/>
      <c r="H190" s="68"/>
      <c r="I190" s="63"/>
      <c r="J190" s="63">
        <f t="shared" si="30"/>
        <v>0</v>
      </c>
      <c r="K190" s="63">
        <f t="shared" si="31"/>
        <v>0</v>
      </c>
      <c r="L190" s="64"/>
      <c r="M190" s="65"/>
      <c r="N190" s="64">
        <f t="shared" si="32"/>
        <v>0</v>
      </c>
      <c r="O190" s="66"/>
      <c r="P190" s="68"/>
      <c r="Q190" s="66"/>
      <c r="R190" s="69"/>
    </row>
    <row r="191" spans="1:18" ht="24" hidden="1" customHeight="1" x14ac:dyDescent="0.3">
      <c r="A191" s="12" t="s">
        <v>415</v>
      </c>
      <c r="B191" s="60"/>
      <c r="C191" s="68"/>
      <c r="D191" s="69"/>
      <c r="E191" s="62"/>
      <c r="F191" s="68"/>
      <c r="G191" s="68"/>
      <c r="H191" s="68"/>
      <c r="I191" s="63"/>
      <c r="J191" s="63">
        <f t="shared" si="30"/>
        <v>0</v>
      </c>
      <c r="K191" s="63">
        <f t="shared" si="31"/>
        <v>0</v>
      </c>
      <c r="L191" s="64"/>
      <c r="M191" s="65"/>
      <c r="N191" s="64">
        <f t="shared" si="32"/>
        <v>0</v>
      </c>
      <c r="O191" s="66"/>
      <c r="P191" s="68"/>
      <c r="Q191" s="66"/>
      <c r="R191" s="61"/>
    </row>
    <row r="192" spans="1:18" ht="24" hidden="1" customHeight="1" x14ac:dyDescent="0.3">
      <c r="A192" s="12" t="s">
        <v>416</v>
      </c>
      <c r="B192" s="60"/>
      <c r="C192" s="68"/>
      <c r="D192" s="69"/>
      <c r="E192" s="62"/>
      <c r="F192" s="68"/>
      <c r="G192" s="68"/>
      <c r="H192" s="68"/>
      <c r="I192" s="63"/>
      <c r="J192" s="63">
        <f t="shared" si="30"/>
        <v>0</v>
      </c>
      <c r="K192" s="63">
        <f t="shared" si="31"/>
        <v>0</v>
      </c>
      <c r="L192" s="64"/>
      <c r="M192" s="65"/>
      <c r="N192" s="64">
        <f t="shared" si="32"/>
        <v>0</v>
      </c>
      <c r="O192" s="66"/>
      <c r="P192" s="68"/>
      <c r="Q192" s="66"/>
      <c r="R192" s="69"/>
    </row>
    <row r="193" spans="1:142" ht="24" hidden="1" customHeight="1" x14ac:dyDescent="0.3">
      <c r="A193" s="12" t="s">
        <v>417</v>
      </c>
      <c r="B193" s="60"/>
      <c r="C193" s="69"/>
      <c r="D193" s="69"/>
      <c r="E193" s="33"/>
      <c r="F193" s="69"/>
      <c r="G193" s="33"/>
      <c r="H193" s="69"/>
      <c r="I193" s="63"/>
      <c r="J193" s="63">
        <f t="shared" ref="J193:J210" si="33">SUM(I193*0.2)</f>
        <v>0</v>
      </c>
      <c r="K193" s="63">
        <f t="shared" ref="K193:K210" si="34">SUM(I193+J193)</f>
        <v>0</v>
      </c>
      <c r="L193" s="64"/>
      <c r="M193" s="65"/>
      <c r="N193" s="64">
        <f t="shared" si="32"/>
        <v>0</v>
      </c>
      <c r="O193" s="66"/>
      <c r="P193" s="62"/>
      <c r="Q193" s="66"/>
      <c r="R193" s="69"/>
    </row>
    <row r="194" spans="1:142" ht="24" hidden="1" customHeight="1" x14ac:dyDescent="0.3">
      <c r="A194" s="12" t="s">
        <v>418</v>
      </c>
      <c r="B194" s="60"/>
      <c r="C194" s="68"/>
      <c r="D194" s="69"/>
      <c r="E194" s="62"/>
      <c r="F194" s="68"/>
      <c r="G194" s="68"/>
      <c r="H194" s="68"/>
      <c r="I194" s="63"/>
      <c r="J194" s="63">
        <f t="shared" si="33"/>
        <v>0</v>
      </c>
      <c r="K194" s="63">
        <f t="shared" si="34"/>
        <v>0</v>
      </c>
      <c r="L194" s="64"/>
      <c r="M194" s="65"/>
      <c r="N194" s="64">
        <f t="shared" si="32"/>
        <v>0</v>
      </c>
      <c r="O194" s="66"/>
      <c r="P194" s="68"/>
      <c r="Q194" s="66"/>
      <c r="R194" s="69"/>
    </row>
    <row r="195" spans="1:142" s="58" customFormat="1" ht="24" hidden="1" customHeight="1" x14ac:dyDescent="0.3">
      <c r="A195" s="12" t="s">
        <v>419</v>
      </c>
      <c r="B195" s="60"/>
      <c r="C195" s="68"/>
      <c r="D195" s="69"/>
      <c r="E195" s="62"/>
      <c r="F195" s="68"/>
      <c r="G195" s="68"/>
      <c r="H195" s="68"/>
      <c r="I195" s="63"/>
      <c r="J195" s="63">
        <f t="shared" si="33"/>
        <v>0</v>
      </c>
      <c r="K195" s="63">
        <f t="shared" si="34"/>
        <v>0</v>
      </c>
      <c r="L195" s="64"/>
      <c r="M195" s="65"/>
      <c r="N195" s="64">
        <f t="shared" si="32"/>
        <v>0</v>
      </c>
      <c r="O195" s="66"/>
      <c r="P195" s="68"/>
      <c r="Q195" s="66"/>
      <c r="R195" s="6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  <c r="BK195" s="59"/>
      <c r="BL195" s="59"/>
      <c r="BM195" s="59"/>
      <c r="BN195" s="59"/>
      <c r="BO195" s="59"/>
      <c r="BP195" s="59"/>
      <c r="BQ195" s="59"/>
      <c r="BR195" s="59"/>
      <c r="BS195" s="59"/>
      <c r="BT195" s="59"/>
      <c r="BU195" s="59"/>
      <c r="BV195" s="59"/>
      <c r="BW195" s="59"/>
      <c r="BX195" s="59"/>
      <c r="BY195" s="59"/>
      <c r="BZ195" s="59"/>
      <c r="CA195" s="59"/>
      <c r="CB195" s="59"/>
      <c r="CC195" s="59"/>
      <c r="CD195" s="59"/>
      <c r="CE195" s="59"/>
      <c r="CF195" s="59"/>
      <c r="CG195" s="59"/>
      <c r="CH195" s="59"/>
      <c r="CI195" s="59"/>
      <c r="CJ195" s="59"/>
      <c r="CK195" s="59"/>
      <c r="CL195" s="59"/>
      <c r="CM195" s="59"/>
      <c r="CN195" s="59"/>
      <c r="CO195" s="59"/>
      <c r="CP195" s="59"/>
      <c r="CQ195" s="59"/>
      <c r="CR195" s="59"/>
      <c r="CS195" s="59"/>
      <c r="CT195" s="59"/>
      <c r="CU195" s="59"/>
      <c r="CV195" s="59"/>
      <c r="CW195" s="59"/>
      <c r="CX195" s="59"/>
      <c r="CY195" s="59"/>
      <c r="CZ195" s="59"/>
      <c r="DA195" s="59"/>
      <c r="DB195" s="59"/>
      <c r="DC195" s="59"/>
      <c r="DD195" s="59"/>
      <c r="DE195" s="59"/>
      <c r="DF195" s="59"/>
      <c r="DG195" s="59"/>
      <c r="DH195" s="59"/>
      <c r="DI195" s="59"/>
      <c r="DJ195" s="59"/>
      <c r="DK195" s="59"/>
      <c r="DL195" s="59"/>
      <c r="DM195" s="59"/>
      <c r="DN195" s="59"/>
      <c r="DO195" s="59"/>
      <c r="DP195" s="59"/>
      <c r="DQ195" s="59"/>
      <c r="DR195" s="59"/>
      <c r="DS195" s="59"/>
      <c r="DT195" s="59"/>
      <c r="DU195" s="59"/>
      <c r="DV195" s="59"/>
      <c r="DW195" s="59"/>
      <c r="DX195" s="59"/>
      <c r="DY195" s="59"/>
      <c r="DZ195" s="59"/>
      <c r="EA195" s="59"/>
      <c r="EB195" s="59"/>
      <c r="EC195" s="59"/>
      <c r="ED195" s="59"/>
      <c r="EE195" s="59"/>
      <c r="EF195" s="59"/>
      <c r="EG195" s="59"/>
      <c r="EH195" s="59"/>
      <c r="EI195" s="59"/>
      <c r="EJ195" s="59"/>
      <c r="EK195" s="59"/>
      <c r="EL195" s="59"/>
    </row>
    <row r="196" spans="1:142" ht="24" hidden="1" customHeight="1" x14ac:dyDescent="0.3">
      <c r="A196" s="12" t="s">
        <v>420</v>
      </c>
      <c r="B196" s="60"/>
      <c r="C196" s="68"/>
      <c r="D196" s="69"/>
      <c r="E196" s="62"/>
      <c r="F196" s="68"/>
      <c r="G196" s="68"/>
      <c r="H196" s="68"/>
      <c r="I196" s="63"/>
      <c r="J196" s="63">
        <f t="shared" si="33"/>
        <v>0</v>
      </c>
      <c r="K196" s="63">
        <f t="shared" si="34"/>
        <v>0</v>
      </c>
      <c r="L196" s="64"/>
      <c r="M196" s="65"/>
      <c r="N196" s="64">
        <f t="shared" si="32"/>
        <v>0</v>
      </c>
      <c r="O196" s="66"/>
      <c r="P196" s="68"/>
      <c r="Q196" s="66"/>
      <c r="R196" s="69"/>
    </row>
    <row r="197" spans="1:142" ht="24" hidden="1" customHeight="1" x14ac:dyDescent="0.3">
      <c r="A197" s="12" t="s">
        <v>421</v>
      </c>
      <c r="B197" s="60"/>
      <c r="C197" s="68"/>
      <c r="D197" s="69"/>
      <c r="E197" s="62"/>
      <c r="F197" s="68"/>
      <c r="G197" s="68"/>
      <c r="H197" s="68"/>
      <c r="I197" s="63"/>
      <c r="J197" s="63">
        <f t="shared" si="33"/>
        <v>0</v>
      </c>
      <c r="K197" s="63">
        <f t="shared" si="34"/>
        <v>0</v>
      </c>
      <c r="L197" s="64"/>
      <c r="M197" s="65"/>
      <c r="N197" s="64">
        <f t="shared" si="32"/>
        <v>0</v>
      </c>
      <c r="O197" s="66"/>
      <c r="P197" s="68"/>
      <c r="Q197" s="66"/>
      <c r="R197" s="69"/>
    </row>
    <row r="198" spans="1:142" ht="24" hidden="1" customHeight="1" x14ac:dyDescent="0.3">
      <c r="A198" s="12" t="s">
        <v>422</v>
      </c>
      <c r="B198" s="60"/>
      <c r="C198" s="68"/>
      <c r="D198" s="69"/>
      <c r="E198" s="62"/>
      <c r="F198" s="68"/>
      <c r="G198" s="68"/>
      <c r="H198" s="68"/>
      <c r="I198" s="63"/>
      <c r="J198" s="63">
        <f t="shared" si="33"/>
        <v>0</v>
      </c>
      <c r="K198" s="63">
        <f t="shared" si="34"/>
        <v>0</v>
      </c>
      <c r="L198" s="64"/>
      <c r="M198" s="65"/>
      <c r="N198" s="64">
        <f t="shared" si="32"/>
        <v>0</v>
      </c>
      <c r="O198" s="66"/>
      <c r="P198" s="68"/>
      <c r="Q198" s="66"/>
      <c r="R198" s="69"/>
    </row>
    <row r="199" spans="1:142" ht="24" hidden="1" customHeight="1" x14ac:dyDescent="0.3">
      <c r="A199" s="12" t="s">
        <v>423</v>
      </c>
      <c r="B199" s="60"/>
      <c r="C199" s="69"/>
      <c r="D199" s="69"/>
      <c r="E199" s="69"/>
      <c r="F199" s="69"/>
      <c r="G199" s="69"/>
      <c r="H199" s="69"/>
      <c r="I199" s="63"/>
      <c r="J199" s="63">
        <f t="shared" si="33"/>
        <v>0</v>
      </c>
      <c r="K199" s="63">
        <f t="shared" si="34"/>
        <v>0</v>
      </c>
      <c r="L199" s="64"/>
      <c r="M199" s="65"/>
      <c r="N199" s="64">
        <f t="shared" si="32"/>
        <v>0</v>
      </c>
      <c r="O199" s="66"/>
      <c r="P199" s="68"/>
      <c r="Q199" s="66"/>
      <c r="R199" s="69"/>
    </row>
    <row r="200" spans="1:142" ht="24" hidden="1" customHeight="1" x14ac:dyDescent="0.3">
      <c r="A200" s="12" t="s">
        <v>424</v>
      </c>
      <c r="B200" s="60"/>
      <c r="C200" s="68"/>
      <c r="D200" s="69"/>
      <c r="E200" s="62"/>
      <c r="F200" s="68"/>
      <c r="G200" s="68"/>
      <c r="H200" s="68"/>
      <c r="I200" s="63"/>
      <c r="J200" s="63">
        <f t="shared" si="33"/>
        <v>0</v>
      </c>
      <c r="K200" s="63">
        <f t="shared" si="34"/>
        <v>0</v>
      </c>
      <c r="L200" s="64"/>
      <c r="M200" s="65"/>
      <c r="N200" s="64">
        <f t="shared" si="32"/>
        <v>0</v>
      </c>
      <c r="O200" s="66"/>
      <c r="P200" s="68"/>
      <c r="Q200" s="66"/>
      <c r="R200" s="69"/>
    </row>
    <row r="201" spans="1:142" ht="24" hidden="1" customHeight="1" x14ac:dyDescent="0.3">
      <c r="A201" s="12" t="s">
        <v>425</v>
      </c>
      <c r="B201" s="60"/>
      <c r="C201" s="68"/>
      <c r="D201" s="69"/>
      <c r="E201" s="69"/>
      <c r="F201" s="69"/>
      <c r="G201" s="69"/>
      <c r="H201" s="68"/>
      <c r="I201" s="63"/>
      <c r="J201" s="63">
        <f t="shared" si="33"/>
        <v>0</v>
      </c>
      <c r="K201" s="63">
        <f t="shared" si="34"/>
        <v>0</v>
      </c>
      <c r="L201" s="64"/>
      <c r="M201" s="65"/>
      <c r="N201" s="64">
        <f t="shared" si="32"/>
        <v>0</v>
      </c>
      <c r="O201" s="66"/>
      <c r="P201" s="68"/>
      <c r="Q201" s="66"/>
      <c r="R201" s="61"/>
    </row>
    <row r="202" spans="1:142" ht="24" hidden="1" customHeight="1" x14ac:dyDescent="0.3">
      <c r="A202" s="12" t="s">
        <v>426</v>
      </c>
      <c r="B202" s="60"/>
      <c r="C202" s="68"/>
      <c r="D202" s="69"/>
      <c r="E202" s="62"/>
      <c r="F202" s="68"/>
      <c r="G202" s="68"/>
      <c r="H202" s="68"/>
      <c r="I202" s="63"/>
      <c r="J202" s="63">
        <f t="shared" si="33"/>
        <v>0</v>
      </c>
      <c r="K202" s="63">
        <f t="shared" si="34"/>
        <v>0</v>
      </c>
      <c r="L202" s="64"/>
      <c r="M202" s="65"/>
      <c r="N202" s="64">
        <f t="shared" si="32"/>
        <v>0</v>
      </c>
      <c r="O202" s="66"/>
      <c r="P202" s="68"/>
      <c r="Q202" s="66"/>
      <c r="R202" s="69"/>
    </row>
    <row r="203" spans="1:142" ht="24" hidden="1" customHeight="1" x14ac:dyDescent="0.3">
      <c r="A203" s="12" t="s">
        <v>427</v>
      </c>
      <c r="B203" s="60"/>
      <c r="C203" s="68"/>
      <c r="D203" s="69"/>
      <c r="E203" s="62"/>
      <c r="F203" s="68"/>
      <c r="G203" s="68"/>
      <c r="H203" s="68"/>
      <c r="I203" s="63"/>
      <c r="J203" s="63">
        <f t="shared" si="33"/>
        <v>0</v>
      </c>
      <c r="K203" s="63">
        <f t="shared" si="34"/>
        <v>0</v>
      </c>
      <c r="L203" s="64"/>
      <c r="M203" s="65"/>
      <c r="N203" s="64">
        <f t="shared" si="32"/>
        <v>0</v>
      </c>
      <c r="O203" s="66"/>
      <c r="P203" s="68"/>
      <c r="Q203" s="66"/>
      <c r="R203" s="69"/>
    </row>
    <row r="204" spans="1:142" ht="24" hidden="1" customHeight="1" x14ac:dyDescent="0.3">
      <c r="A204" s="12" t="s">
        <v>428</v>
      </c>
      <c r="B204" s="60"/>
      <c r="C204" s="68"/>
      <c r="D204" s="69"/>
      <c r="E204" s="62"/>
      <c r="F204" s="68"/>
      <c r="G204" s="68"/>
      <c r="H204" s="68"/>
      <c r="I204" s="63"/>
      <c r="J204" s="63">
        <f t="shared" si="33"/>
        <v>0</v>
      </c>
      <c r="K204" s="63">
        <f t="shared" si="34"/>
        <v>0</v>
      </c>
      <c r="L204" s="64"/>
      <c r="M204" s="65"/>
      <c r="N204" s="64">
        <f t="shared" si="32"/>
        <v>0</v>
      </c>
      <c r="O204" s="66"/>
      <c r="P204" s="68"/>
      <c r="Q204" s="66"/>
      <c r="R204" s="69"/>
    </row>
    <row r="205" spans="1:142" ht="24" hidden="1" customHeight="1" x14ac:dyDescent="0.3">
      <c r="A205" s="12" t="s">
        <v>429</v>
      </c>
      <c r="B205" s="60"/>
      <c r="C205" s="69"/>
      <c r="D205" s="69"/>
      <c r="E205" s="69"/>
      <c r="F205" s="69"/>
      <c r="G205" s="69"/>
      <c r="H205" s="69"/>
      <c r="I205" s="63"/>
      <c r="J205" s="63">
        <f t="shared" si="33"/>
        <v>0</v>
      </c>
      <c r="K205" s="63">
        <f t="shared" si="34"/>
        <v>0</v>
      </c>
      <c r="L205" s="64"/>
      <c r="M205" s="65"/>
      <c r="N205" s="64">
        <f t="shared" si="32"/>
        <v>0</v>
      </c>
      <c r="O205" s="66"/>
      <c r="P205" s="62"/>
      <c r="Q205" s="66"/>
      <c r="R205" s="69"/>
    </row>
    <row r="206" spans="1:142" ht="24" hidden="1" customHeight="1" x14ac:dyDescent="0.3">
      <c r="A206" s="12" t="s">
        <v>430</v>
      </c>
      <c r="B206" s="60"/>
      <c r="C206" s="68"/>
      <c r="D206" s="69"/>
      <c r="E206" s="62"/>
      <c r="F206" s="68"/>
      <c r="G206" s="68"/>
      <c r="H206" s="68"/>
      <c r="I206" s="63"/>
      <c r="J206" s="63">
        <f t="shared" si="33"/>
        <v>0</v>
      </c>
      <c r="K206" s="63">
        <f t="shared" si="34"/>
        <v>0</v>
      </c>
      <c r="L206" s="64"/>
      <c r="M206" s="65"/>
      <c r="N206" s="64">
        <f t="shared" si="32"/>
        <v>0</v>
      </c>
      <c r="O206" s="66"/>
      <c r="P206" s="62"/>
      <c r="Q206" s="66"/>
      <c r="R206" s="69"/>
    </row>
    <row r="207" spans="1:142" s="59" customFormat="1" ht="24" hidden="1" customHeight="1" x14ac:dyDescent="0.3">
      <c r="A207" s="12" t="s">
        <v>431</v>
      </c>
      <c r="B207" s="60"/>
      <c r="C207" s="96"/>
      <c r="D207" s="48"/>
      <c r="E207" s="97"/>
      <c r="F207" s="68"/>
      <c r="G207" s="48"/>
      <c r="H207" s="48"/>
      <c r="I207" s="63"/>
      <c r="J207" s="63">
        <f t="shared" si="33"/>
        <v>0</v>
      </c>
      <c r="K207" s="63">
        <f t="shared" si="34"/>
        <v>0</v>
      </c>
      <c r="L207" s="64"/>
      <c r="M207" s="65"/>
      <c r="N207" s="64">
        <v>0</v>
      </c>
      <c r="O207" s="66"/>
      <c r="P207" s="68"/>
      <c r="Q207" s="66"/>
      <c r="R207" s="69"/>
    </row>
    <row r="208" spans="1:142" ht="24" hidden="1" customHeight="1" x14ac:dyDescent="0.3">
      <c r="A208" s="12" t="s">
        <v>432</v>
      </c>
      <c r="B208" s="60"/>
      <c r="C208" s="68"/>
      <c r="D208" s="69"/>
      <c r="E208" s="62"/>
      <c r="F208" s="68"/>
      <c r="G208" s="68"/>
      <c r="H208" s="68"/>
      <c r="I208" s="63"/>
      <c r="J208" s="63">
        <f t="shared" si="33"/>
        <v>0</v>
      </c>
      <c r="K208" s="63">
        <f t="shared" si="34"/>
        <v>0</v>
      </c>
      <c r="L208" s="64"/>
      <c r="M208" s="65"/>
      <c r="N208" s="64">
        <f t="shared" si="32"/>
        <v>0</v>
      </c>
      <c r="O208" s="66"/>
      <c r="P208" s="62"/>
      <c r="Q208" s="66"/>
      <c r="R208" s="69"/>
    </row>
    <row r="209" spans="1:18" ht="24" hidden="1" customHeight="1" x14ac:dyDescent="0.3">
      <c r="A209" s="12" t="s">
        <v>433</v>
      </c>
      <c r="B209" s="60"/>
      <c r="C209" s="68"/>
      <c r="D209" s="69"/>
      <c r="E209" s="62"/>
      <c r="F209" s="68"/>
      <c r="G209" s="68"/>
      <c r="H209" s="68"/>
      <c r="I209" s="63"/>
      <c r="J209" s="63">
        <f t="shared" si="33"/>
        <v>0</v>
      </c>
      <c r="K209" s="63">
        <f t="shared" si="34"/>
        <v>0</v>
      </c>
      <c r="L209" s="64"/>
      <c r="M209" s="65"/>
      <c r="N209" s="64">
        <f t="shared" si="32"/>
        <v>0</v>
      </c>
      <c r="O209" s="66"/>
      <c r="P209" s="68"/>
      <c r="Q209" s="66"/>
      <c r="R209" s="69"/>
    </row>
    <row r="210" spans="1:18" ht="24" hidden="1" customHeight="1" x14ac:dyDescent="0.3">
      <c r="A210" s="12" t="s">
        <v>434</v>
      </c>
      <c r="B210" s="60"/>
      <c r="C210" s="68"/>
      <c r="D210" s="69"/>
      <c r="E210" s="62"/>
      <c r="F210" s="68"/>
      <c r="G210" s="68"/>
      <c r="H210" s="68"/>
      <c r="I210" s="63"/>
      <c r="J210" s="63">
        <f t="shared" si="33"/>
        <v>0</v>
      </c>
      <c r="K210" s="63">
        <f t="shared" si="34"/>
        <v>0</v>
      </c>
      <c r="L210" s="64"/>
      <c r="M210" s="65"/>
      <c r="N210" s="64">
        <f t="shared" si="32"/>
        <v>0</v>
      </c>
      <c r="O210" s="66"/>
      <c r="P210" s="68"/>
      <c r="Q210" s="66"/>
      <c r="R210" s="69"/>
    </row>
    <row r="211" spans="1:18" ht="24" hidden="1" customHeight="1" x14ac:dyDescent="0.3">
      <c r="A211" s="12" t="s">
        <v>435</v>
      </c>
      <c r="B211" s="60"/>
      <c r="C211" s="68"/>
      <c r="D211" s="69"/>
      <c r="E211" s="62"/>
      <c r="F211" s="68"/>
      <c r="G211" s="68"/>
      <c r="H211" s="68"/>
      <c r="I211" s="63"/>
      <c r="J211" s="63">
        <f t="shared" ref="J211" si="35">SUM(I211*0.2)</f>
        <v>0</v>
      </c>
      <c r="K211" s="63">
        <f t="shared" ref="K211" si="36">SUM(I211+J211)</f>
        <v>0</v>
      </c>
      <c r="L211" s="64"/>
      <c r="M211" s="65"/>
      <c r="N211" s="64">
        <f t="shared" ref="N211" si="37">SUM(L211*M211)</f>
        <v>0</v>
      </c>
      <c r="O211" s="66"/>
      <c r="P211" s="68"/>
      <c r="Q211" s="66"/>
      <c r="R211" s="69"/>
    </row>
    <row r="212" spans="1:18" ht="24" hidden="1" customHeight="1" x14ac:dyDescent="0.3">
      <c r="A212" s="12" t="s">
        <v>436</v>
      </c>
      <c r="B212" s="60"/>
      <c r="C212" s="68"/>
      <c r="D212" s="69"/>
      <c r="E212" s="62"/>
      <c r="F212" s="68"/>
      <c r="G212" s="68"/>
      <c r="H212" s="68"/>
      <c r="I212" s="63"/>
      <c r="J212" s="63">
        <f>SUM(I212*0.2)</f>
        <v>0</v>
      </c>
      <c r="K212" s="63">
        <f>SUM(I212+J212)</f>
        <v>0</v>
      </c>
      <c r="L212" s="64"/>
      <c r="M212" s="65"/>
      <c r="N212" s="64">
        <f t="shared" si="32"/>
        <v>0</v>
      </c>
      <c r="O212" s="66"/>
      <c r="P212" s="68"/>
      <c r="Q212" s="66"/>
      <c r="R212" s="69"/>
    </row>
    <row r="213" spans="1:18" ht="24" hidden="1" customHeight="1" x14ac:dyDescent="0.3">
      <c r="A213" s="12" t="s">
        <v>437</v>
      </c>
      <c r="B213" s="60"/>
      <c r="C213" s="68"/>
      <c r="D213" s="69"/>
      <c r="E213" s="62"/>
      <c r="F213" s="68"/>
      <c r="G213" s="68"/>
      <c r="H213" s="68"/>
      <c r="I213" s="63"/>
      <c r="J213" s="63">
        <f>SUM(I213*0.2)</f>
        <v>0</v>
      </c>
      <c r="K213" s="63">
        <f>SUM(I213+J213)</f>
        <v>0</v>
      </c>
      <c r="L213" s="64"/>
      <c r="M213" s="65"/>
      <c r="N213" s="64">
        <f t="shared" si="32"/>
        <v>0</v>
      </c>
      <c r="O213" s="66"/>
      <c r="P213" s="68"/>
      <c r="Q213" s="66"/>
      <c r="R213" s="69"/>
    </row>
    <row r="214" spans="1:18" ht="24" hidden="1" customHeight="1" x14ac:dyDescent="0.3">
      <c r="A214" s="12" t="s">
        <v>438</v>
      </c>
      <c r="B214" s="60"/>
      <c r="C214" s="68"/>
      <c r="D214" s="69"/>
      <c r="E214" s="62"/>
      <c r="F214" s="68"/>
      <c r="G214" s="68"/>
      <c r="H214" s="68"/>
      <c r="I214" s="63"/>
      <c r="J214" s="63">
        <f t="shared" ref="J214" si="38">SUM(I214*0.2)</f>
        <v>0</v>
      </c>
      <c r="K214" s="63">
        <f t="shared" ref="K214" si="39">SUM(I214+J214)</f>
        <v>0</v>
      </c>
      <c r="L214" s="64"/>
      <c r="M214" s="65"/>
      <c r="N214" s="64">
        <f t="shared" ref="N214" si="40">SUM(L214*M214)</f>
        <v>0</v>
      </c>
      <c r="O214" s="66"/>
      <c r="P214" s="68"/>
      <c r="Q214" s="66"/>
      <c r="R214" s="69"/>
    </row>
    <row r="215" spans="1:18" ht="24" hidden="1" customHeight="1" x14ac:dyDescent="0.3">
      <c r="A215" s="12" t="s">
        <v>439</v>
      </c>
      <c r="B215" s="60"/>
      <c r="C215" s="68"/>
      <c r="D215" s="69"/>
      <c r="E215" s="62"/>
      <c r="F215" s="68"/>
      <c r="G215" s="68"/>
      <c r="H215" s="68"/>
      <c r="I215" s="63"/>
      <c r="J215" s="63">
        <f>SUM(I215*0.2)</f>
        <v>0</v>
      </c>
      <c r="K215" s="63">
        <f>SUM(I215+J215)</f>
        <v>0</v>
      </c>
      <c r="L215" s="64"/>
      <c r="M215" s="65"/>
      <c r="N215" s="64">
        <f t="shared" si="32"/>
        <v>0</v>
      </c>
      <c r="O215" s="66"/>
      <c r="P215" s="68"/>
      <c r="Q215" s="66"/>
      <c r="R215" s="61"/>
    </row>
    <row r="216" spans="1:18" ht="24" hidden="1" customHeight="1" x14ac:dyDescent="0.3">
      <c r="A216" s="12" t="s">
        <v>440</v>
      </c>
      <c r="B216" s="60"/>
      <c r="C216" s="68"/>
      <c r="D216" s="69"/>
      <c r="E216" s="62"/>
      <c r="F216" s="68"/>
      <c r="G216" s="68"/>
      <c r="H216" s="68"/>
      <c r="I216" s="63"/>
      <c r="J216" s="63">
        <f>SUM(I216*0.2)</f>
        <v>0</v>
      </c>
      <c r="K216" s="63">
        <f>SUM(I216+J216)</f>
        <v>0</v>
      </c>
      <c r="L216" s="64"/>
      <c r="M216" s="65"/>
      <c r="N216" s="64">
        <f t="shared" si="32"/>
        <v>0</v>
      </c>
      <c r="O216" s="66"/>
      <c r="P216" s="68"/>
      <c r="Q216" s="66"/>
      <c r="R216" s="61"/>
    </row>
    <row r="217" spans="1:18" ht="24" hidden="1" customHeight="1" x14ac:dyDescent="0.3">
      <c r="A217" s="12" t="s">
        <v>441</v>
      </c>
      <c r="B217" s="60"/>
      <c r="C217" s="68"/>
      <c r="D217" s="68"/>
      <c r="E217" s="74"/>
      <c r="F217" s="68"/>
      <c r="G217" s="68"/>
      <c r="H217" s="100"/>
      <c r="I217" s="63"/>
      <c r="J217" s="63">
        <f>SUM(I217*0.2)</f>
        <v>0</v>
      </c>
      <c r="K217" s="63">
        <f>SUM(I217+J217)</f>
        <v>0</v>
      </c>
      <c r="L217" s="64"/>
      <c r="M217" s="65"/>
      <c r="N217" s="64">
        <f t="shared" si="32"/>
        <v>0</v>
      </c>
      <c r="O217" s="66"/>
      <c r="P217" s="68"/>
      <c r="Q217" s="66"/>
      <c r="R217" s="69"/>
    </row>
    <row r="218" spans="1:18" ht="24" hidden="1" customHeight="1" x14ac:dyDescent="0.3">
      <c r="A218" s="12" t="s">
        <v>442</v>
      </c>
      <c r="B218" s="60"/>
      <c r="C218" s="68"/>
      <c r="D218" s="69"/>
      <c r="E218" s="62"/>
      <c r="F218" s="68"/>
      <c r="G218" s="68"/>
      <c r="H218" s="68"/>
      <c r="I218" s="63"/>
      <c r="J218" s="63">
        <f>SUM(I218*0.2)</f>
        <v>0</v>
      </c>
      <c r="K218" s="63">
        <f>SUM(I218+J218)</f>
        <v>0</v>
      </c>
      <c r="L218" s="64"/>
      <c r="M218" s="65"/>
      <c r="N218" s="64">
        <f t="shared" si="32"/>
        <v>0</v>
      </c>
      <c r="O218" s="66"/>
      <c r="P218" s="68"/>
      <c r="Q218" s="66"/>
      <c r="R218" s="69"/>
    </row>
    <row r="219" spans="1:18" ht="24" hidden="1" customHeight="1" x14ac:dyDescent="0.3">
      <c r="A219" s="12" t="s">
        <v>443</v>
      </c>
      <c r="B219" s="60"/>
      <c r="C219" s="68"/>
      <c r="D219" s="69"/>
      <c r="E219" s="62"/>
      <c r="F219" s="68"/>
      <c r="G219" s="68"/>
      <c r="H219" s="68"/>
      <c r="I219" s="63"/>
      <c r="J219" s="63">
        <f>SUM(I219*0.2)</f>
        <v>0</v>
      </c>
      <c r="K219" s="63">
        <f>SUM(I219+J219)</f>
        <v>0</v>
      </c>
      <c r="L219" s="64"/>
      <c r="M219" s="65"/>
      <c r="N219" s="64">
        <f t="shared" si="32"/>
        <v>0</v>
      </c>
      <c r="O219" s="66"/>
      <c r="P219" s="68"/>
      <c r="Q219" s="66"/>
      <c r="R219" s="69"/>
    </row>
    <row r="220" spans="1:18" ht="24" hidden="1" customHeight="1" x14ac:dyDescent="0.3">
      <c r="A220" s="12" t="s">
        <v>444</v>
      </c>
      <c r="B220" s="60"/>
      <c r="C220" s="69"/>
      <c r="D220" s="69"/>
      <c r="E220" s="69"/>
      <c r="F220" s="69"/>
      <c r="G220" s="69"/>
      <c r="H220" s="102"/>
      <c r="I220" s="39"/>
      <c r="J220" s="63">
        <f>SUM(Devis!I183*0.2)</f>
        <v>0</v>
      </c>
      <c r="K220" s="63">
        <f>SUM(Devis!I183+J220)</f>
        <v>0</v>
      </c>
      <c r="L220" s="64"/>
      <c r="M220" s="65"/>
      <c r="N220" s="64">
        <f t="shared" si="32"/>
        <v>0</v>
      </c>
      <c r="O220" s="66"/>
      <c r="P220" s="68"/>
      <c r="Q220" s="66"/>
      <c r="R220" s="69"/>
    </row>
    <row r="221" spans="1:18" ht="24" hidden="1" customHeight="1" x14ac:dyDescent="0.3">
      <c r="A221" s="12" t="s">
        <v>445</v>
      </c>
      <c r="B221" s="60"/>
      <c r="C221" s="68"/>
      <c r="D221" s="69"/>
      <c r="E221" s="62"/>
      <c r="F221" s="68"/>
      <c r="G221" s="68"/>
      <c r="H221" s="68"/>
      <c r="I221" s="63"/>
      <c r="J221" s="63">
        <f>SUM(I221*0.2)</f>
        <v>0</v>
      </c>
      <c r="K221" s="63">
        <f>SUM(I221+J221)</f>
        <v>0</v>
      </c>
      <c r="L221" s="64"/>
      <c r="M221" s="65"/>
      <c r="N221" s="64">
        <f t="shared" si="32"/>
        <v>0</v>
      </c>
      <c r="O221" s="66"/>
      <c r="P221" s="68"/>
      <c r="Q221" s="66"/>
      <c r="R221" s="69"/>
    </row>
    <row r="222" spans="1:18" ht="24" hidden="1" customHeight="1" x14ac:dyDescent="0.3">
      <c r="A222" s="12" t="s">
        <v>446</v>
      </c>
      <c r="B222" s="60"/>
      <c r="C222" s="62"/>
      <c r="D222" s="61"/>
      <c r="E222" s="62"/>
      <c r="F222" s="62"/>
      <c r="G222" s="62"/>
      <c r="H222" s="62"/>
      <c r="I222" s="63"/>
      <c r="J222" s="63">
        <f>SUM(I222*0.2)</f>
        <v>0</v>
      </c>
      <c r="K222" s="63">
        <f>SUM(I222+J222)</f>
        <v>0</v>
      </c>
      <c r="L222" s="64"/>
      <c r="M222" s="65"/>
      <c r="N222" s="64">
        <f t="shared" si="32"/>
        <v>0</v>
      </c>
      <c r="O222" s="66"/>
      <c r="P222" s="62"/>
      <c r="Q222" s="66"/>
      <c r="R222" s="61"/>
    </row>
    <row r="223" spans="1:18" ht="24" hidden="1" customHeight="1" x14ac:dyDescent="0.3">
      <c r="A223" s="12" t="s">
        <v>447</v>
      </c>
      <c r="B223" s="60"/>
      <c r="C223" s="62"/>
      <c r="D223" s="61"/>
      <c r="E223" s="62"/>
      <c r="F223" s="62"/>
      <c r="G223" s="62"/>
      <c r="H223" s="62"/>
      <c r="I223" s="63"/>
      <c r="J223" s="63">
        <f>SUM(I223*0.2)</f>
        <v>0</v>
      </c>
      <c r="K223" s="63">
        <f>SUM(I223+J223)</f>
        <v>0</v>
      </c>
      <c r="L223" s="64"/>
      <c r="M223" s="65"/>
      <c r="N223" s="64">
        <f t="shared" si="32"/>
        <v>0</v>
      </c>
      <c r="O223" s="66"/>
      <c r="P223" s="68"/>
      <c r="Q223" s="66"/>
      <c r="R223" s="61"/>
    </row>
    <row r="224" spans="1:18" ht="24" hidden="1" customHeight="1" x14ac:dyDescent="0.3">
      <c r="A224" s="12" t="s">
        <v>448</v>
      </c>
      <c r="B224" s="60"/>
      <c r="C224" s="62"/>
      <c r="D224" s="61"/>
      <c r="E224" s="62"/>
      <c r="F224" s="62"/>
      <c r="G224" s="62"/>
      <c r="H224" s="62"/>
      <c r="I224" s="63"/>
      <c r="J224" s="63">
        <f>SUM(I224*0.2)</f>
        <v>0</v>
      </c>
      <c r="K224" s="63">
        <f>SUM(I224+J224)</f>
        <v>0</v>
      </c>
      <c r="L224" s="64"/>
      <c r="M224" s="65"/>
      <c r="N224" s="64">
        <f t="shared" si="32"/>
        <v>0</v>
      </c>
      <c r="O224" s="66"/>
      <c r="P224" s="68"/>
      <c r="Q224" s="66"/>
      <c r="R224" s="61"/>
    </row>
    <row r="225" spans="1:20" ht="24" hidden="1" customHeight="1" x14ac:dyDescent="0.3">
      <c r="A225" s="12" t="s">
        <v>449</v>
      </c>
      <c r="B225" s="60"/>
      <c r="C225" s="62"/>
      <c r="D225" s="61"/>
      <c r="E225" s="62"/>
      <c r="F225" s="62"/>
      <c r="G225" s="62"/>
      <c r="H225" s="62"/>
      <c r="I225" s="63"/>
      <c r="J225" s="63">
        <f t="shared" ref="J225:J288" si="41">SUM(I225*0.2)</f>
        <v>0</v>
      </c>
      <c r="K225" s="63">
        <f t="shared" ref="K225:K288" si="42">SUM(I225+J225)</f>
        <v>0</v>
      </c>
      <c r="L225" s="64"/>
      <c r="M225" s="65"/>
      <c r="N225" s="64">
        <f t="shared" ref="N225:N288" si="43">SUM(L225*M225)</f>
        <v>0</v>
      </c>
      <c r="O225" s="66"/>
      <c r="P225" s="68"/>
      <c r="Q225" s="66"/>
      <c r="R225" s="61"/>
    </row>
    <row r="226" spans="1:20" ht="24" hidden="1" customHeight="1" x14ac:dyDescent="0.3">
      <c r="A226" s="12" t="s">
        <v>450</v>
      </c>
      <c r="B226" s="60"/>
      <c r="C226" s="62"/>
      <c r="D226" s="61"/>
      <c r="E226" s="62"/>
      <c r="F226" s="62"/>
      <c r="G226" s="62"/>
      <c r="H226" s="62"/>
      <c r="I226" s="63"/>
      <c r="J226" s="63">
        <f t="shared" si="41"/>
        <v>0</v>
      </c>
      <c r="K226" s="63">
        <f t="shared" si="42"/>
        <v>0</v>
      </c>
      <c r="L226" s="64"/>
      <c r="M226" s="65"/>
      <c r="N226" s="64">
        <f t="shared" si="43"/>
        <v>0</v>
      </c>
      <c r="O226" s="66"/>
      <c r="P226" s="68"/>
      <c r="Q226" s="66"/>
      <c r="R226" s="61"/>
    </row>
    <row r="227" spans="1:20" ht="24" hidden="1" customHeight="1" x14ac:dyDescent="0.3">
      <c r="A227" s="12" t="s">
        <v>451</v>
      </c>
      <c r="B227" s="60"/>
      <c r="C227" s="62"/>
      <c r="D227" s="61"/>
      <c r="E227" s="62"/>
      <c r="F227" s="62"/>
      <c r="G227" s="62"/>
      <c r="H227" s="62"/>
      <c r="I227" s="63"/>
      <c r="J227" s="63">
        <f t="shared" si="41"/>
        <v>0</v>
      </c>
      <c r="K227" s="63">
        <f t="shared" si="42"/>
        <v>0</v>
      </c>
      <c r="L227" s="64"/>
      <c r="M227" s="65"/>
      <c r="N227" s="64">
        <f t="shared" si="43"/>
        <v>0</v>
      </c>
      <c r="O227" s="66"/>
      <c r="P227" s="68"/>
      <c r="Q227" s="66"/>
      <c r="R227" s="61"/>
    </row>
    <row r="228" spans="1:20" ht="24" hidden="1" customHeight="1" x14ac:dyDescent="0.3">
      <c r="A228" s="12" t="s">
        <v>452</v>
      </c>
      <c r="B228" s="60"/>
      <c r="C228" s="62"/>
      <c r="D228" s="61"/>
      <c r="E228" s="62"/>
      <c r="F228" s="62"/>
      <c r="G228" s="62"/>
      <c r="H228" s="62"/>
      <c r="I228" s="63"/>
      <c r="J228" s="63">
        <f t="shared" si="41"/>
        <v>0</v>
      </c>
      <c r="K228" s="63">
        <f t="shared" si="42"/>
        <v>0</v>
      </c>
      <c r="L228" s="64"/>
      <c r="M228" s="65"/>
      <c r="N228" s="64">
        <f t="shared" si="43"/>
        <v>0</v>
      </c>
      <c r="O228" s="66"/>
      <c r="P228" s="68"/>
      <c r="Q228" s="66"/>
      <c r="R228" s="61"/>
    </row>
    <row r="229" spans="1:20" ht="24" hidden="1" customHeight="1" x14ac:dyDescent="0.3">
      <c r="A229" s="12" t="s">
        <v>453</v>
      </c>
      <c r="B229" s="60"/>
      <c r="C229" s="62"/>
      <c r="D229" s="61"/>
      <c r="E229" s="62"/>
      <c r="F229" s="62"/>
      <c r="G229" s="62"/>
      <c r="H229" s="62"/>
      <c r="I229" s="63"/>
      <c r="J229" s="63">
        <f t="shared" si="41"/>
        <v>0</v>
      </c>
      <c r="K229" s="63">
        <f t="shared" si="42"/>
        <v>0</v>
      </c>
      <c r="L229" s="64"/>
      <c r="M229" s="65"/>
      <c r="N229" s="64">
        <f t="shared" si="43"/>
        <v>0</v>
      </c>
      <c r="O229" s="66"/>
      <c r="P229" s="68"/>
      <c r="Q229" s="66"/>
      <c r="R229" s="61"/>
    </row>
    <row r="230" spans="1:20" ht="29.25" hidden="1" customHeight="1" x14ac:dyDescent="0.3">
      <c r="A230" s="12" t="s">
        <v>454</v>
      </c>
      <c r="B230" s="60"/>
      <c r="C230" s="62"/>
      <c r="D230" s="61"/>
      <c r="E230" s="62"/>
      <c r="F230" s="62"/>
      <c r="G230" s="62"/>
      <c r="H230" s="62"/>
      <c r="I230" s="63"/>
      <c r="J230" s="63">
        <f t="shared" si="41"/>
        <v>0</v>
      </c>
      <c r="K230" s="63">
        <f t="shared" si="42"/>
        <v>0</v>
      </c>
      <c r="L230" s="64"/>
      <c r="M230" s="65"/>
      <c r="N230" s="64">
        <f t="shared" si="43"/>
        <v>0</v>
      </c>
      <c r="O230" s="66"/>
      <c r="P230" s="62"/>
      <c r="Q230" s="66"/>
      <c r="R230" s="61"/>
    </row>
    <row r="231" spans="1:20" ht="33.75" hidden="1" customHeight="1" x14ac:dyDescent="0.3">
      <c r="A231" s="12" t="s">
        <v>455</v>
      </c>
      <c r="B231" s="60"/>
      <c r="C231" s="62"/>
      <c r="D231" s="61"/>
      <c r="E231" s="62"/>
      <c r="F231" s="62"/>
      <c r="G231" s="62"/>
      <c r="H231" s="62"/>
      <c r="I231" s="63"/>
      <c r="J231" s="63">
        <f t="shared" si="41"/>
        <v>0</v>
      </c>
      <c r="K231" s="63">
        <f t="shared" si="42"/>
        <v>0</v>
      </c>
      <c r="L231" s="64"/>
      <c r="M231" s="65"/>
      <c r="N231" s="64">
        <f t="shared" si="43"/>
        <v>0</v>
      </c>
      <c r="O231" s="66"/>
      <c r="P231" s="68"/>
      <c r="Q231" s="66"/>
      <c r="R231" s="61"/>
    </row>
    <row r="232" spans="1:20" ht="24" hidden="1" customHeight="1" x14ac:dyDescent="0.3">
      <c r="A232" s="12" t="s">
        <v>456</v>
      </c>
      <c r="B232" s="60"/>
      <c r="C232" s="62"/>
      <c r="D232" s="61"/>
      <c r="E232" s="62"/>
      <c r="F232" s="62"/>
      <c r="G232" s="62"/>
      <c r="H232" s="62"/>
      <c r="I232" s="63"/>
      <c r="J232" s="63">
        <f t="shared" si="41"/>
        <v>0</v>
      </c>
      <c r="K232" s="63">
        <f t="shared" si="42"/>
        <v>0</v>
      </c>
      <c r="L232" s="64"/>
      <c r="M232" s="65"/>
      <c r="N232" s="64">
        <f t="shared" si="43"/>
        <v>0</v>
      </c>
      <c r="O232" s="66"/>
      <c r="P232" s="68"/>
      <c r="Q232" s="66"/>
      <c r="R232" s="61"/>
    </row>
    <row r="233" spans="1:20" ht="24" hidden="1" customHeight="1" x14ac:dyDescent="0.3">
      <c r="A233" s="12" t="s">
        <v>457</v>
      </c>
      <c r="B233" s="60"/>
      <c r="C233" s="62"/>
      <c r="D233" s="61"/>
      <c r="E233" s="62"/>
      <c r="F233" s="62"/>
      <c r="G233" s="62"/>
      <c r="H233" s="62"/>
      <c r="I233" s="63"/>
      <c r="J233" s="63">
        <f t="shared" si="41"/>
        <v>0</v>
      </c>
      <c r="K233" s="63">
        <f t="shared" si="42"/>
        <v>0</v>
      </c>
      <c r="L233" s="64"/>
      <c r="M233" s="65"/>
      <c r="N233" s="64">
        <f t="shared" si="43"/>
        <v>0</v>
      </c>
      <c r="O233" s="66"/>
      <c r="P233" s="68"/>
      <c r="Q233" s="66"/>
      <c r="R233" s="61"/>
    </row>
    <row r="234" spans="1:20" ht="24" hidden="1" customHeight="1" x14ac:dyDescent="0.3">
      <c r="A234" s="12" t="s">
        <v>458</v>
      </c>
      <c r="B234" s="60"/>
      <c r="C234" s="62"/>
      <c r="D234" s="62"/>
      <c r="E234" s="74"/>
      <c r="F234" s="62"/>
      <c r="G234" s="62"/>
      <c r="H234" s="75"/>
      <c r="I234" s="63"/>
      <c r="J234" s="63">
        <f t="shared" si="41"/>
        <v>0</v>
      </c>
      <c r="K234" s="63">
        <f t="shared" si="42"/>
        <v>0</v>
      </c>
      <c r="L234" s="64"/>
      <c r="M234" s="65"/>
      <c r="N234" s="64">
        <f t="shared" si="43"/>
        <v>0</v>
      </c>
      <c r="O234" s="66"/>
      <c r="P234" s="68"/>
      <c r="Q234" s="66"/>
      <c r="R234" s="61"/>
    </row>
    <row r="235" spans="1:20" ht="24" hidden="1" customHeight="1" x14ac:dyDescent="0.3">
      <c r="A235" s="12" t="s">
        <v>459</v>
      </c>
      <c r="B235" s="60"/>
      <c r="C235" s="62"/>
      <c r="D235" s="61"/>
      <c r="E235" s="62"/>
      <c r="F235" s="62"/>
      <c r="G235" s="62"/>
      <c r="H235" s="62"/>
      <c r="I235" s="63"/>
      <c r="J235" s="63">
        <f t="shared" si="41"/>
        <v>0</v>
      </c>
      <c r="K235" s="63">
        <f t="shared" si="42"/>
        <v>0</v>
      </c>
      <c r="L235" s="64"/>
      <c r="M235" s="65"/>
      <c r="N235" s="64">
        <f t="shared" si="43"/>
        <v>0</v>
      </c>
      <c r="O235" s="66"/>
      <c r="P235" s="68"/>
      <c r="Q235" s="66"/>
      <c r="R235" s="61"/>
    </row>
    <row r="236" spans="1:20" ht="24" hidden="1" customHeight="1" x14ac:dyDescent="0.3">
      <c r="A236" s="12" t="s">
        <v>460</v>
      </c>
      <c r="B236" s="60"/>
      <c r="C236" s="62"/>
      <c r="D236" s="61"/>
      <c r="E236" s="62"/>
      <c r="F236" s="62"/>
      <c r="G236" s="62"/>
      <c r="H236" s="62"/>
      <c r="I236" s="63"/>
      <c r="J236" s="63">
        <f t="shared" si="41"/>
        <v>0</v>
      </c>
      <c r="K236" s="63">
        <f t="shared" si="42"/>
        <v>0</v>
      </c>
      <c r="L236" s="64"/>
      <c r="M236" s="65"/>
      <c r="N236" s="64">
        <f t="shared" si="43"/>
        <v>0</v>
      </c>
      <c r="O236" s="66"/>
      <c r="P236" s="68"/>
      <c r="Q236" s="66"/>
      <c r="R236" s="61"/>
      <c r="S236" s="67"/>
      <c r="T236" s="190"/>
    </row>
    <row r="237" spans="1:20" ht="24" hidden="1" customHeight="1" x14ac:dyDescent="0.3">
      <c r="A237" s="12" t="s">
        <v>461</v>
      </c>
      <c r="B237" s="60"/>
      <c r="C237" s="62"/>
      <c r="D237" s="61"/>
      <c r="E237" s="62"/>
      <c r="F237" s="62"/>
      <c r="G237" s="62"/>
      <c r="H237" s="62"/>
      <c r="I237" s="63"/>
      <c r="J237" s="63">
        <f t="shared" si="41"/>
        <v>0</v>
      </c>
      <c r="K237" s="63">
        <f t="shared" si="42"/>
        <v>0</v>
      </c>
      <c r="L237" s="64"/>
      <c r="M237" s="65"/>
      <c r="N237" s="64">
        <f t="shared" si="43"/>
        <v>0</v>
      </c>
      <c r="O237" s="66"/>
      <c r="P237" s="68"/>
      <c r="Q237" s="66"/>
      <c r="R237" s="61"/>
      <c r="S237" s="67"/>
      <c r="T237" s="190"/>
    </row>
    <row r="238" spans="1:20" ht="24" hidden="1" customHeight="1" x14ac:dyDescent="0.3">
      <c r="A238" s="12" t="s">
        <v>462</v>
      </c>
      <c r="B238" s="60"/>
      <c r="C238" s="62"/>
      <c r="D238" s="61"/>
      <c r="E238" s="62"/>
      <c r="F238" s="62"/>
      <c r="G238" s="62"/>
      <c r="H238" s="62"/>
      <c r="I238" s="63"/>
      <c r="J238" s="63">
        <f t="shared" si="41"/>
        <v>0</v>
      </c>
      <c r="K238" s="63">
        <f t="shared" si="42"/>
        <v>0</v>
      </c>
      <c r="L238" s="64"/>
      <c r="M238" s="65"/>
      <c r="N238" s="64">
        <f t="shared" si="43"/>
        <v>0</v>
      </c>
      <c r="O238" s="66"/>
      <c r="P238" s="68"/>
      <c r="Q238" s="66"/>
      <c r="R238" s="61"/>
      <c r="S238" s="67"/>
      <c r="T238" s="192"/>
    </row>
    <row r="239" spans="1:20" ht="24" hidden="1" customHeight="1" x14ac:dyDescent="0.3">
      <c r="A239" s="12" t="s">
        <v>463</v>
      </c>
      <c r="B239" s="60"/>
      <c r="C239" s="62"/>
      <c r="D239" s="61"/>
      <c r="E239" s="62"/>
      <c r="F239" s="62"/>
      <c r="G239" s="62"/>
      <c r="H239" s="62"/>
      <c r="I239" s="63"/>
      <c r="J239" s="63">
        <f t="shared" si="41"/>
        <v>0</v>
      </c>
      <c r="K239" s="63">
        <f t="shared" si="42"/>
        <v>0</v>
      </c>
      <c r="L239" s="64"/>
      <c r="M239" s="65"/>
      <c r="N239" s="64">
        <f t="shared" si="43"/>
        <v>0</v>
      </c>
      <c r="O239" s="66"/>
      <c r="P239" s="68"/>
      <c r="Q239" s="66"/>
      <c r="R239" s="61"/>
      <c r="S239" s="67"/>
      <c r="T239" s="192"/>
    </row>
    <row r="240" spans="1:20" ht="24" hidden="1" customHeight="1" x14ac:dyDescent="0.3">
      <c r="A240" s="12" t="s">
        <v>464</v>
      </c>
      <c r="B240" s="60"/>
      <c r="C240" s="62"/>
      <c r="D240" s="61"/>
      <c r="E240" s="62"/>
      <c r="F240" s="62"/>
      <c r="G240" s="62"/>
      <c r="H240" s="62"/>
      <c r="I240" s="63"/>
      <c r="J240" s="63">
        <f t="shared" si="41"/>
        <v>0</v>
      </c>
      <c r="K240" s="63">
        <f t="shared" si="42"/>
        <v>0</v>
      </c>
      <c r="L240" s="64"/>
      <c r="M240" s="65"/>
      <c r="N240" s="64">
        <f t="shared" si="43"/>
        <v>0</v>
      </c>
      <c r="O240" s="66"/>
      <c r="P240" s="68"/>
      <c r="Q240" s="66"/>
      <c r="R240" s="61"/>
      <c r="S240" s="67"/>
      <c r="T240" s="190"/>
    </row>
    <row r="241" spans="1:20" ht="27.75" hidden="1" customHeight="1" x14ac:dyDescent="0.3">
      <c r="A241" s="12" t="s">
        <v>465</v>
      </c>
      <c r="B241" s="60"/>
      <c r="C241" s="62"/>
      <c r="D241" s="61"/>
      <c r="E241" s="62"/>
      <c r="F241" s="62"/>
      <c r="G241" s="62"/>
      <c r="H241" s="62"/>
      <c r="I241" s="63"/>
      <c r="J241" s="63">
        <f t="shared" si="41"/>
        <v>0</v>
      </c>
      <c r="K241" s="63">
        <f t="shared" si="42"/>
        <v>0</v>
      </c>
      <c r="L241" s="64"/>
      <c r="M241" s="65"/>
      <c r="N241" s="64">
        <f t="shared" si="43"/>
        <v>0</v>
      </c>
      <c r="O241" s="66"/>
      <c r="P241" s="62"/>
      <c r="Q241" s="66"/>
      <c r="R241" s="61"/>
      <c r="S241" s="67"/>
      <c r="T241" s="190"/>
    </row>
    <row r="242" spans="1:20" ht="24" hidden="1" customHeight="1" x14ac:dyDescent="0.3">
      <c r="A242" s="12" t="s">
        <v>466</v>
      </c>
      <c r="B242" s="60"/>
      <c r="C242" s="62"/>
      <c r="D242" s="61"/>
      <c r="E242" s="62"/>
      <c r="F242" s="62"/>
      <c r="G242" s="62"/>
      <c r="H242" s="62"/>
      <c r="I242" s="63"/>
      <c r="J242" s="63">
        <f t="shared" si="41"/>
        <v>0</v>
      </c>
      <c r="K242" s="63">
        <f t="shared" si="42"/>
        <v>0</v>
      </c>
      <c r="L242" s="64"/>
      <c r="M242" s="65"/>
      <c r="N242" s="64">
        <f t="shared" si="43"/>
        <v>0</v>
      </c>
      <c r="O242" s="66"/>
      <c r="P242" s="68"/>
      <c r="Q242" s="66"/>
      <c r="R242" s="61"/>
      <c r="S242" s="67"/>
      <c r="T242" s="190"/>
    </row>
    <row r="243" spans="1:20" ht="24" hidden="1" customHeight="1" x14ac:dyDescent="0.3">
      <c r="A243" s="12" t="s">
        <v>467</v>
      </c>
      <c r="B243" s="60"/>
      <c r="C243" s="62"/>
      <c r="D243" s="61"/>
      <c r="E243" s="62"/>
      <c r="F243" s="62"/>
      <c r="G243" s="62"/>
      <c r="H243" s="62"/>
      <c r="I243" s="63"/>
      <c r="J243" s="63">
        <f t="shared" si="41"/>
        <v>0</v>
      </c>
      <c r="K243" s="63">
        <f t="shared" si="42"/>
        <v>0</v>
      </c>
      <c r="L243" s="64"/>
      <c r="M243" s="65"/>
      <c r="N243" s="64">
        <f t="shared" si="43"/>
        <v>0</v>
      </c>
      <c r="O243" s="66"/>
      <c r="P243" s="68"/>
      <c r="Q243" s="66"/>
      <c r="R243" s="61"/>
      <c r="S243" s="67"/>
      <c r="T243" s="190"/>
    </row>
    <row r="244" spans="1:20" ht="24" hidden="1" customHeight="1" x14ac:dyDescent="0.3">
      <c r="A244" s="12" t="s">
        <v>468</v>
      </c>
      <c r="B244" s="60"/>
      <c r="C244" s="62"/>
      <c r="D244" s="61"/>
      <c r="E244" s="62"/>
      <c r="F244" s="62"/>
      <c r="G244" s="62"/>
      <c r="H244" s="62"/>
      <c r="I244" s="63"/>
      <c r="J244" s="63">
        <f t="shared" si="41"/>
        <v>0</v>
      </c>
      <c r="K244" s="63">
        <f t="shared" si="42"/>
        <v>0</v>
      </c>
      <c r="L244" s="64"/>
      <c r="M244" s="65"/>
      <c r="N244" s="64">
        <f t="shared" si="43"/>
        <v>0</v>
      </c>
      <c r="O244" s="66"/>
      <c r="P244" s="68"/>
      <c r="Q244" s="66"/>
      <c r="R244" s="61"/>
      <c r="S244" s="67"/>
      <c r="T244" s="190"/>
    </row>
    <row r="245" spans="1:20" ht="24" hidden="1" customHeight="1" x14ac:dyDescent="0.3">
      <c r="A245" s="12" t="s">
        <v>469</v>
      </c>
      <c r="B245" s="60"/>
      <c r="C245" s="62"/>
      <c r="D245" s="61"/>
      <c r="E245" s="62"/>
      <c r="F245" s="62"/>
      <c r="G245" s="62"/>
      <c r="H245" s="62"/>
      <c r="I245" s="63"/>
      <c r="J245" s="63">
        <f t="shared" si="41"/>
        <v>0</v>
      </c>
      <c r="K245" s="63">
        <f t="shared" si="42"/>
        <v>0</v>
      </c>
      <c r="L245" s="64"/>
      <c r="M245" s="65"/>
      <c r="N245" s="64">
        <f t="shared" si="43"/>
        <v>0</v>
      </c>
      <c r="O245" s="66"/>
      <c r="P245" s="62"/>
      <c r="Q245" s="66"/>
      <c r="R245" s="61"/>
      <c r="S245" s="67"/>
      <c r="T245" s="190"/>
    </row>
    <row r="246" spans="1:20" ht="24" hidden="1" customHeight="1" x14ac:dyDescent="0.3">
      <c r="A246" s="12" t="s">
        <v>470</v>
      </c>
      <c r="B246" s="60"/>
      <c r="C246" s="62"/>
      <c r="D246" s="61"/>
      <c r="E246" s="62"/>
      <c r="F246" s="62"/>
      <c r="G246" s="62"/>
      <c r="H246" s="62"/>
      <c r="I246" s="63"/>
      <c r="J246" s="63">
        <f t="shared" si="41"/>
        <v>0</v>
      </c>
      <c r="K246" s="63">
        <f t="shared" si="42"/>
        <v>0</v>
      </c>
      <c r="L246" s="64"/>
      <c r="M246" s="65"/>
      <c r="N246" s="64">
        <f t="shared" si="43"/>
        <v>0</v>
      </c>
      <c r="O246" s="66"/>
      <c r="P246" s="62"/>
      <c r="Q246" s="66"/>
      <c r="R246" s="61"/>
    </row>
    <row r="247" spans="1:20" ht="30" hidden="1" customHeight="1" x14ac:dyDescent="0.3">
      <c r="A247" s="12" t="s">
        <v>471</v>
      </c>
      <c r="B247" s="60"/>
      <c r="C247" s="62"/>
      <c r="D247" s="61"/>
      <c r="E247" s="61"/>
      <c r="F247" s="61"/>
      <c r="G247" s="62"/>
      <c r="H247" s="62"/>
      <c r="I247" s="63"/>
      <c r="J247" s="63">
        <f t="shared" si="41"/>
        <v>0</v>
      </c>
      <c r="K247" s="63">
        <f t="shared" si="42"/>
        <v>0</v>
      </c>
      <c r="L247" s="64"/>
      <c r="M247" s="65"/>
      <c r="N247" s="64">
        <f t="shared" si="43"/>
        <v>0</v>
      </c>
      <c r="O247" s="66"/>
      <c r="P247" s="68"/>
      <c r="Q247" s="66"/>
      <c r="R247" s="61"/>
    </row>
    <row r="248" spans="1:20" ht="24" hidden="1" customHeight="1" x14ac:dyDescent="0.3">
      <c r="A248" s="12" t="s">
        <v>472</v>
      </c>
      <c r="B248" s="60"/>
      <c r="C248" s="62"/>
      <c r="D248" s="61"/>
      <c r="E248" s="62"/>
      <c r="F248" s="61"/>
      <c r="G248" s="62"/>
      <c r="H248" s="62"/>
      <c r="I248" s="63"/>
      <c r="J248" s="63">
        <f t="shared" si="41"/>
        <v>0</v>
      </c>
      <c r="K248" s="63">
        <f t="shared" si="42"/>
        <v>0</v>
      </c>
      <c r="L248" s="64"/>
      <c r="M248" s="65"/>
      <c r="N248" s="64">
        <f t="shared" si="43"/>
        <v>0</v>
      </c>
      <c r="O248" s="66"/>
      <c r="P248" s="62"/>
      <c r="Q248" s="66"/>
      <c r="R248" s="61"/>
    </row>
    <row r="249" spans="1:20" ht="24" hidden="1" customHeight="1" x14ac:dyDescent="0.3">
      <c r="A249" s="12" t="s">
        <v>473</v>
      </c>
      <c r="B249" s="60"/>
      <c r="C249" s="62"/>
      <c r="D249" s="61"/>
      <c r="E249" s="62"/>
      <c r="F249" s="61"/>
      <c r="G249" s="62"/>
      <c r="H249" s="62"/>
      <c r="I249" s="63"/>
      <c r="J249" s="63">
        <f t="shared" si="41"/>
        <v>0</v>
      </c>
      <c r="K249" s="63">
        <f t="shared" si="42"/>
        <v>0</v>
      </c>
      <c r="L249" s="64"/>
      <c r="M249" s="65"/>
      <c r="N249" s="64">
        <f t="shared" si="43"/>
        <v>0</v>
      </c>
      <c r="O249" s="66"/>
      <c r="P249" s="62"/>
      <c r="Q249" s="66"/>
      <c r="R249" s="61"/>
    </row>
    <row r="250" spans="1:20" ht="24" hidden="1" customHeight="1" x14ac:dyDescent="0.3">
      <c r="A250" s="12" t="s">
        <v>474</v>
      </c>
      <c r="B250" s="60"/>
      <c r="C250" s="62"/>
      <c r="D250" s="61"/>
      <c r="E250" s="62"/>
      <c r="F250" s="61"/>
      <c r="G250" s="62"/>
      <c r="H250" s="62"/>
      <c r="I250" s="63"/>
      <c r="J250" s="63">
        <f t="shared" si="41"/>
        <v>0</v>
      </c>
      <c r="K250" s="63">
        <f t="shared" si="42"/>
        <v>0</v>
      </c>
      <c r="L250" s="64"/>
      <c r="M250" s="65"/>
      <c r="N250" s="64">
        <f t="shared" si="43"/>
        <v>0</v>
      </c>
      <c r="O250" s="66"/>
      <c r="P250" s="62"/>
      <c r="Q250" s="66"/>
      <c r="R250" s="61"/>
    </row>
    <row r="251" spans="1:20" ht="24" hidden="1" customHeight="1" x14ac:dyDescent="0.3">
      <c r="A251" s="12" t="s">
        <v>475</v>
      </c>
      <c r="B251" s="60"/>
      <c r="C251" s="62"/>
      <c r="D251" s="61"/>
      <c r="E251" s="62"/>
      <c r="F251" s="61"/>
      <c r="G251" s="62"/>
      <c r="H251" s="62"/>
      <c r="I251" s="63"/>
      <c r="J251" s="63">
        <f t="shared" si="41"/>
        <v>0</v>
      </c>
      <c r="K251" s="63">
        <f t="shared" si="42"/>
        <v>0</v>
      </c>
      <c r="L251" s="64"/>
      <c r="M251" s="65"/>
      <c r="N251" s="64">
        <f t="shared" si="43"/>
        <v>0</v>
      </c>
      <c r="O251" s="66"/>
      <c r="P251" s="62"/>
      <c r="Q251" s="66"/>
      <c r="R251" s="61"/>
    </row>
    <row r="252" spans="1:20" ht="24" hidden="1" customHeight="1" x14ac:dyDescent="0.3">
      <c r="A252" s="12" t="s">
        <v>476</v>
      </c>
      <c r="B252" s="60"/>
      <c r="C252" s="62"/>
      <c r="D252" s="61"/>
      <c r="E252" s="62"/>
      <c r="F252" s="62"/>
      <c r="G252" s="62"/>
      <c r="H252" s="62"/>
      <c r="I252" s="63"/>
      <c r="J252" s="63">
        <f t="shared" si="41"/>
        <v>0</v>
      </c>
      <c r="K252" s="63">
        <f t="shared" si="42"/>
        <v>0</v>
      </c>
      <c r="L252" s="64"/>
      <c r="M252" s="65"/>
      <c r="N252" s="64">
        <f t="shared" si="43"/>
        <v>0</v>
      </c>
      <c r="O252" s="66"/>
      <c r="P252" s="62"/>
      <c r="Q252" s="66"/>
      <c r="R252" s="61"/>
    </row>
    <row r="253" spans="1:20" ht="24" hidden="1" customHeight="1" x14ac:dyDescent="0.3">
      <c r="A253" s="12" t="s">
        <v>477</v>
      </c>
      <c r="B253" s="60"/>
      <c r="C253" s="68"/>
      <c r="D253" s="69"/>
      <c r="E253" s="62"/>
      <c r="F253" s="68"/>
      <c r="G253" s="68"/>
      <c r="H253" s="68"/>
      <c r="I253" s="63"/>
      <c r="J253" s="63">
        <f t="shared" si="41"/>
        <v>0</v>
      </c>
      <c r="K253" s="63">
        <f t="shared" si="42"/>
        <v>0</v>
      </c>
      <c r="L253" s="64"/>
      <c r="M253" s="65"/>
      <c r="N253" s="64">
        <f t="shared" si="43"/>
        <v>0</v>
      </c>
      <c r="O253" s="66"/>
      <c r="P253" s="62"/>
      <c r="Q253" s="66"/>
      <c r="R253" s="61"/>
    </row>
    <row r="254" spans="1:20" ht="24" hidden="1" customHeight="1" x14ac:dyDescent="0.3">
      <c r="A254" s="12" t="s">
        <v>478</v>
      </c>
      <c r="B254" s="60"/>
      <c r="C254" s="68"/>
      <c r="D254" s="69"/>
      <c r="E254" s="62"/>
      <c r="F254" s="68"/>
      <c r="G254" s="68"/>
      <c r="H254" s="68"/>
      <c r="I254" s="63"/>
      <c r="J254" s="63">
        <f t="shared" si="41"/>
        <v>0</v>
      </c>
      <c r="K254" s="63">
        <f t="shared" si="42"/>
        <v>0</v>
      </c>
      <c r="L254" s="64"/>
      <c r="M254" s="65"/>
      <c r="N254" s="64">
        <f t="shared" si="43"/>
        <v>0</v>
      </c>
      <c r="O254" s="66"/>
      <c r="P254" s="62"/>
      <c r="Q254" s="66"/>
      <c r="R254" s="61"/>
    </row>
    <row r="255" spans="1:20" ht="24" hidden="1" customHeight="1" x14ac:dyDescent="0.3">
      <c r="A255" s="12" t="s">
        <v>479</v>
      </c>
      <c r="B255" s="60"/>
      <c r="C255" s="68"/>
      <c r="D255" s="69"/>
      <c r="E255" s="62"/>
      <c r="F255" s="68"/>
      <c r="G255" s="68"/>
      <c r="H255" s="68"/>
      <c r="I255" s="63"/>
      <c r="J255" s="63">
        <f t="shared" si="41"/>
        <v>0</v>
      </c>
      <c r="K255" s="63">
        <f t="shared" si="42"/>
        <v>0</v>
      </c>
      <c r="L255" s="64"/>
      <c r="M255" s="65"/>
      <c r="N255" s="64">
        <f t="shared" si="43"/>
        <v>0</v>
      </c>
      <c r="O255" s="66"/>
      <c r="P255" s="62"/>
      <c r="Q255" s="66"/>
      <c r="R255" s="61"/>
    </row>
    <row r="256" spans="1:20" ht="24" hidden="1" customHeight="1" x14ac:dyDescent="0.3">
      <c r="A256" s="12" t="s">
        <v>480</v>
      </c>
      <c r="B256" s="60"/>
      <c r="C256" s="33"/>
      <c r="D256" s="33"/>
      <c r="E256" s="33"/>
      <c r="F256" s="68"/>
      <c r="G256" s="68"/>
      <c r="H256" s="69"/>
      <c r="I256" s="63"/>
      <c r="J256" s="63">
        <f t="shared" si="41"/>
        <v>0</v>
      </c>
      <c r="K256" s="63">
        <f t="shared" si="42"/>
        <v>0</v>
      </c>
      <c r="L256" s="64"/>
      <c r="M256" s="65"/>
      <c r="N256" s="64">
        <f t="shared" si="43"/>
        <v>0</v>
      </c>
      <c r="O256" s="66"/>
      <c r="P256" s="68"/>
      <c r="Q256" s="66"/>
      <c r="R256" s="69"/>
    </row>
    <row r="257" spans="1:18" ht="24" hidden="1" customHeight="1" x14ac:dyDescent="0.3">
      <c r="A257" s="12" t="s">
        <v>481</v>
      </c>
      <c r="B257" s="60"/>
      <c r="C257" s="68"/>
      <c r="D257" s="69"/>
      <c r="E257" s="62"/>
      <c r="F257" s="68"/>
      <c r="G257" s="68"/>
      <c r="H257" s="68"/>
      <c r="I257" s="63"/>
      <c r="J257" s="63">
        <f t="shared" si="41"/>
        <v>0</v>
      </c>
      <c r="K257" s="63">
        <f t="shared" si="42"/>
        <v>0</v>
      </c>
      <c r="L257" s="64"/>
      <c r="M257" s="65"/>
      <c r="N257" s="64">
        <f t="shared" si="43"/>
        <v>0</v>
      </c>
      <c r="O257" s="66"/>
      <c r="P257" s="68"/>
      <c r="Q257" s="66"/>
      <c r="R257" s="61"/>
    </row>
    <row r="258" spans="1:18" ht="24" hidden="1" customHeight="1" x14ac:dyDescent="0.3">
      <c r="A258" s="12" t="s">
        <v>482</v>
      </c>
      <c r="B258" s="60"/>
      <c r="C258" s="68"/>
      <c r="D258" s="69"/>
      <c r="E258" s="62"/>
      <c r="F258" s="68"/>
      <c r="G258" s="68"/>
      <c r="H258" s="68"/>
      <c r="I258" s="63"/>
      <c r="J258" s="63">
        <f t="shared" si="41"/>
        <v>0</v>
      </c>
      <c r="K258" s="63">
        <f t="shared" si="42"/>
        <v>0</v>
      </c>
      <c r="L258" s="64"/>
      <c r="M258" s="65"/>
      <c r="N258" s="64">
        <f t="shared" si="43"/>
        <v>0</v>
      </c>
      <c r="O258" s="66"/>
      <c r="P258" s="68"/>
      <c r="Q258" s="66"/>
      <c r="R258" s="69"/>
    </row>
    <row r="259" spans="1:18" ht="24" hidden="1" customHeight="1" x14ac:dyDescent="0.3">
      <c r="A259" s="12" t="s">
        <v>483</v>
      </c>
      <c r="B259" s="60"/>
      <c r="C259" s="68"/>
      <c r="D259" s="69"/>
      <c r="E259" s="62"/>
      <c r="F259" s="68"/>
      <c r="G259" s="68"/>
      <c r="H259" s="68"/>
      <c r="I259" s="63"/>
      <c r="J259" s="63">
        <f t="shared" si="41"/>
        <v>0</v>
      </c>
      <c r="K259" s="63">
        <f t="shared" si="42"/>
        <v>0</v>
      </c>
      <c r="L259" s="64"/>
      <c r="M259" s="65"/>
      <c r="N259" s="64">
        <f t="shared" si="43"/>
        <v>0</v>
      </c>
      <c r="O259" s="66"/>
      <c r="P259" s="68"/>
      <c r="Q259" s="66"/>
      <c r="R259" s="69"/>
    </row>
    <row r="260" spans="1:18" ht="24" hidden="1" customHeight="1" x14ac:dyDescent="0.3">
      <c r="A260" s="12" t="s">
        <v>484</v>
      </c>
      <c r="B260" s="60"/>
      <c r="C260" s="68"/>
      <c r="D260" s="69"/>
      <c r="E260" s="62"/>
      <c r="F260" s="68"/>
      <c r="G260" s="68"/>
      <c r="H260" s="68"/>
      <c r="I260" s="63"/>
      <c r="J260" s="63">
        <f t="shared" si="41"/>
        <v>0</v>
      </c>
      <c r="K260" s="63">
        <f t="shared" si="42"/>
        <v>0</v>
      </c>
      <c r="L260" s="64"/>
      <c r="M260" s="65"/>
      <c r="N260" s="64">
        <f t="shared" si="43"/>
        <v>0</v>
      </c>
      <c r="O260" s="66"/>
      <c r="P260" s="68"/>
      <c r="Q260" s="66"/>
      <c r="R260" s="69"/>
    </row>
    <row r="261" spans="1:18" ht="24" hidden="1" customHeight="1" x14ac:dyDescent="0.3">
      <c r="A261" s="12" t="s">
        <v>485</v>
      </c>
      <c r="B261" s="60"/>
      <c r="C261" s="33"/>
      <c r="D261" s="69"/>
      <c r="E261" s="62"/>
      <c r="F261" s="68"/>
      <c r="G261" s="68"/>
      <c r="H261" s="68"/>
      <c r="I261" s="63"/>
      <c r="J261" s="63">
        <f t="shared" si="41"/>
        <v>0</v>
      </c>
      <c r="K261" s="63">
        <f t="shared" si="42"/>
        <v>0</v>
      </c>
      <c r="L261" s="64"/>
      <c r="M261" s="65"/>
      <c r="N261" s="64">
        <f t="shared" si="43"/>
        <v>0</v>
      </c>
      <c r="O261" s="66"/>
      <c r="P261" s="68"/>
      <c r="Q261" s="66"/>
      <c r="R261" s="69"/>
    </row>
    <row r="262" spans="1:18" ht="24" hidden="1" customHeight="1" x14ac:dyDescent="0.3">
      <c r="A262" s="12" t="s">
        <v>486</v>
      </c>
      <c r="B262" s="60"/>
      <c r="C262" s="68"/>
      <c r="D262" s="69"/>
      <c r="E262" s="62"/>
      <c r="F262" s="68"/>
      <c r="G262" s="68"/>
      <c r="H262" s="68"/>
      <c r="I262" s="63"/>
      <c r="J262" s="63">
        <f t="shared" si="41"/>
        <v>0</v>
      </c>
      <c r="K262" s="63">
        <f t="shared" si="42"/>
        <v>0</v>
      </c>
      <c r="L262" s="64"/>
      <c r="M262" s="65"/>
      <c r="N262" s="64">
        <f t="shared" si="43"/>
        <v>0</v>
      </c>
      <c r="O262" s="66"/>
      <c r="P262" s="68"/>
      <c r="Q262" s="66"/>
      <c r="R262" s="69"/>
    </row>
    <row r="263" spans="1:18" ht="24" hidden="1" customHeight="1" x14ac:dyDescent="0.3">
      <c r="A263" s="12" t="s">
        <v>487</v>
      </c>
      <c r="B263" s="60"/>
      <c r="C263" s="68"/>
      <c r="D263" s="69"/>
      <c r="E263" s="62"/>
      <c r="F263" s="68"/>
      <c r="G263" s="68"/>
      <c r="H263" s="68"/>
      <c r="I263" s="63"/>
      <c r="J263" s="63">
        <f t="shared" si="41"/>
        <v>0</v>
      </c>
      <c r="K263" s="63">
        <f t="shared" si="42"/>
        <v>0</v>
      </c>
      <c r="L263" s="64"/>
      <c r="M263" s="65"/>
      <c r="N263" s="64">
        <f t="shared" si="43"/>
        <v>0</v>
      </c>
      <c r="O263" s="66"/>
      <c r="P263" s="68"/>
      <c r="Q263" s="66"/>
      <c r="R263" s="61"/>
    </row>
    <row r="264" spans="1:18" ht="24" hidden="1" customHeight="1" x14ac:dyDescent="0.3">
      <c r="A264" s="12" t="s">
        <v>488</v>
      </c>
      <c r="B264" s="60"/>
      <c r="C264" s="68"/>
      <c r="D264" s="69"/>
      <c r="E264" s="62"/>
      <c r="F264" s="68"/>
      <c r="G264" s="68"/>
      <c r="H264" s="68"/>
      <c r="I264" s="63"/>
      <c r="J264" s="63">
        <f t="shared" si="41"/>
        <v>0</v>
      </c>
      <c r="K264" s="63">
        <f t="shared" si="42"/>
        <v>0</v>
      </c>
      <c r="L264" s="64"/>
      <c r="M264" s="65"/>
      <c r="N264" s="64">
        <f t="shared" si="43"/>
        <v>0</v>
      </c>
      <c r="O264" s="66"/>
      <c r="P264" s="68"/>
      <c r="Q264" s="66"/>
      <c r="R264" s="61"/>
    </row>
    <row r="265" spans="1:18" ht="24" hidden="1" customHeight="1" x14ac:dyDescent="0.3">
      <c r="A265" s="12" t="s">
        <v>489</v>
      </c>
      <c r="B265" s="60"/>
      <c r="C265" s="68"/>
      <c r="D265" s="69"/>
      <c r="E265" s="62"/>
      <c r="F265" s="68"/>
      <c r="G265" s="68"/>
      <c r="H265" s="68"/>
      <c r="I265" s="63"/>
      <c r="J265" s="63">
        <f t="shared" si="41"/>
        <v>0</v>
      </c>
      <c r="K265" s="63">
        <f t="shared" si="42"/>
        <v>0</v>
      </c>
      <c r="L265" s="64"/>
      <c r="M265" s="65"/>
      <c r="N265" s="64">
        <f t="shared" si="43"/>
        <v>0</v>
      </c>
      <c r="O265" s="66"/>
      <c r="P265" s="68"/>
      <c r="Q265" s="66"/>
      <c r="R265" s="61"/>
    </row>
    <row r="266" spans="1:18" ht="24" hidden="1" customHeight="1" x14ac:dyDescent="0.3">
      <c r="A266" s="12" t="s">
        <v>490</v>
      </c>
      <c r="B266" s="60"/>
      <c r="C266" s="68"/>
      <c r="D266" s="69"/>
      <c r="E266" s="62"/>
      <c r="F266" s="68"/>
      <c r="G266" s="68"/>
      <c r="H266" s="68"/>
      <c r="I266" s="63"/>
      <c r="J266" s="63">
        <f t="shared" si="41"/>
        <v>0</v>
      </c>
      <c r="K266" s="63">
        <f t="shared" si="42"/>
        <v>0</v>
      </c>
      <c r="L266" s="64"/>
      <c r="M266" s="65"/>
      <c r="N266" s="64">
        <f t="shared" si="43"/>
        <v>0</v>
      </c>
      <c r="O266" s="66"/>
      <c r="P266" s="68"/>
      <c r="Q266" s="66"/>
      <c r="R266" s="61"/>
    </row>
    <row r="267" spans="1:18" ht="24" hidden="1" customHeight="1" x14ac:dyDescent="0.3">
      <c r="A267" s="12" t="s">
        <v>491</v>
      </c>
      <c r="B267" s="60"/>
      <c r="C267" s="68"/>
      <c r="D267" s="69"/>
      <c r="E267" s="62"/>
      <c r="F267" s="68"/>
      <c r="G267" s="68"/>
      <c r="H267" s="68"/>
      <c r="I267" s="63"/>
      <c r="J267" s="63">
        <f t="shared" si="41"/>
        <v>0</v>
      </c>
      <c r="K267" s="63">
        <f t="shared" si="42"/>
        <v>0</v>
      </c>
      <c r="L267" s="64"/>
      <c r="M267" s="65"/>
      <c r="N267" s="64">
        <f t="shared" si="43"/>
        <v>0</v>
      </c>
      <c r="O267" s="66"/>
      <c r="P267" s="68"/>
      <c r="Q267" s="66"/>
      <c r="R267" s="61"/>
    </row>
    <row r="268" spans="1:18" ht="24" hidden="1" customHeight="1" x14ac:dyDescent="0.3">
      <c r="A268" s="12" t="s">
        <v>492</v>
      </c>
      <c r="B268" s="60"/>
      <c r="C268" s="68"/>
      <c r="D268" s="69"/>
      <c r="E268" s="62"/>
      <c r="F268" s="68"/>
      <c r="G268" s="69"/>
      <c r="H268" s="68"/>
      <c r="I268" s="63"/>
      <c r="J268" s="63">
        <f t="shared" si="41"/>
        <v>0</v>
      </c>
      <c r="K268" s="63">
        <f t="shared" si="42"/>
        <v>0</v>
      </c>
      <c r="L268" s="64"/>
      <c r="M268" s="65"/>
      <c r="N268" s="64">
        <f t="shared" si="43"/>
        <v>0</v>
      </c>
      <c r="O268" s="66"/>
      <c r="P268" s="68"/>
      <c r="Q268" s="66"/>
      <c r="R268" s="61"/>
    </row>
    <row r="269" spans="1:18" ht="24" hidden="1" customHeight="1" x14ac:dyDescent="0.3">
      <c r="A269" s="12" t="s">
        <v>493</v>
      </c>
      <c r="B269" s="60"/>
      <c r="C269" s="68"/>
      <c r="D269" s="69"/>
      <c r="E269" s="62"/>
      <c r="F269" s="68"/>
      <c r="G269" s="68"/>
      <c r="H269" s="68"/>
      <c r="I269" s="63"/>
      <c r="J269" s="63">
        <f t="shared" si="41"/>
        <v>0</v>
      </c>
      <c r="K269" s="63">
        <f t="shared" si="42"/>
        <v>0</v>
      </c>
      <c r="L269" s="64"/>
      <c r="M269" s="65"/>
      <c r="N269" s="64">
        <f t="shared" si="43"/>
        <v>0</v>
      </c>
      <c r="O269" s="66"/>
      <c r="P269" s="68"/>
      <c r="Q269" s="66"/>
      <c r="R269" s="61"/>
    </row>
    <row r="270" spans="1:18" ht="24" hidden="1" customHeight="1" x14ac:dyDescent="0.3">
      <c r="A270" s="12" t="s">
        <v>494</v>
      </c>
      <c r="B270" s="60"/>
      <c r="C270" s="33"/>
      <c r="D270" s="69"/>
      <c r="E270" s="33"/>
      <c r="F270" s="68"/>
      <c r="G270" s="68"/>
      <c r="H270" s="69"/>
      <c r="I270" s="63"/>
      <c r="J270" s="63">
        <f t="shared" si="41"/>
        <v>0</v>
      </c>
      <c r="K270" s="63">
        <f t="shared" si="42"/>
        <v>0</v>
      </c>
      <c r="L270" s="64"/>
      <c r="M270" s="65"/>
      <c r="N270" s="64">
        <f t="shared" si="43"/>
        <v>0</v>
      </c>
      <c r="O270" s="66"/>
      <c r="P270" s="68"/>
      <c r="Q270" s="66"/>
      <c r="R270" s="69"/>
    </row>
    <row r="271" spans="1:18" ht="24" hidden="1" customHeight="1" x14ac:dyDescent="0.3">
      <c r="A271" s="12" t="s">
        <v>495</v>
      </c>
      <c r="B271" s="60"/>
      <c r="C271" s="68"/>
      <c r="D271" s="69"/>
      <c r="E271" s="62"/>
      <c r="F271" s="68"/>
      <c r="G271" s="68"/>
      <c r="H271" s="68"/>
      <c r="I271" s="63"/>
      <c r="J271" s="63">
        <f t="shared" si="41"/>
        <v>0</v>
      </c>
      <c r="K271" s="63">
        <f t="shared" si="42"/>
        <v>0</v>
      </c>
      <c r="L271" s="64"/>
      <c r="M271" s="65"/>
      <c r="N271" s="64">
        <f t="shared" si="43"/>
        <v>0</v>
      </c>
      <c r="O271" s="66"/>
      <c r="P271" s="62"/>
      <c r="Q271" s="66"/>
      <c r="R271" s="61"/>
    </row>
    <row r="272" spans="1:18" ht="24" hidden="1" customHeight="1" x14ac:dyDescent="0.3">
      <c r="A272" s="12" t="s">
        <v>496</v>
      </c>
      <c r="B272" s="60"/>
      <c r="C272" s="68"/>
      <c r="D272" s="69"/>
      <c r="E272" s="62"/>
      <c r="F272" s="68"/>
      <c r="G272" s="68"/>
      <c r="H272" s="69"/>
      <c r="I272" s="63"/>
      <c r="J272" s="63">
        <f t="shared" si="41"/>
        <v>0</v>
      </c>
      <c r="K272" s="63">
        <f t="shared" si="42"/>
        <v>0</v>
      </c>
      <c r="L272" s="64"/>
      <c r="M272" s="65"/>
      <c r="N272" s="64">
        <f t="shared" si="43"/>
        <v>0</v>
      </c>
      <c r="O272" s="66"/>
      <c r="P272" s="68"/>
      <c r="Q272" s="66"/>
      <c r="R272" s="69"/>
    </row>
    <row r="273" spans="1:18" ht="34.5" hidden="1" customHeight="1" x14ac:dyDescent="0.3">
      <c r="A273" s="12" t="s">
        <v>497</v>
      </c>
      <c r="B273" s="60"/>
      <c r="C273" s="68"/>
      <c r="D273" s="69"/>
      <c r="E273" s="62"/>
      <c r="F273" s="68"/>
      <c r="G273" s="68"/>
      <c r="H273" s="68"/>
      <c r="I273" s="63"/>
      <c r="J273" s="63">
        <f t="shared" si="41"/>
        <v>0</v>
      </c>
      <c r="K273" s="63">
        <f t="shared" si="42"/>
        <v>0</v>
      </c>
      <c r="L273" s="64"/>
      <c r="M273" s="65"/>
      <c r="N273" s="64">
        <f t="shared" si="43"/>
        <v>0</v>
      </c>
      <c r="O273" s="66"/>
      <c r="P273" s="68"/>
      <c r="Q273" s="66"/>
      <c r="R273" s="69"/>
    </row>
    <row r="274" spans="1:18" ht="24" hidden="1" customHeight="1" x14ac:dyDescent="0.3">
      <c r="A274" s="12" t="s">
        <v>498</v>
      </c>
      <c r="B274" s="60"/>
      <c r="C274" s="68"/>
      <c r="D274" s="69"/>
      <c r="E274" s="62"/>
      <c r="F274" s="68"/>
      <c r="G274" s="68"/>
      <c r="H274" s="68"/>
      <c r="I274" s="63"/>
      <c r="J274" s="63">
        <f t="shared" si="41"/>
        <v>0</v>
      </c>
      <c r="K274" s="63">
        <f t="shared" si="42"/>
        <v>0</v>
      </c>
      <c r="L274" s="64"/>
      <c r="M274" s="65"/>
      <c r="N274" s="64">
        <f t="shared" si="43"/>
        <v>0</v>
      </c>
      <c r="O274" s="66"/>
      <c r="P274" s="68"/>
      <c r="Q274" s="66"/>
      <c r="R274" s="61"/>
    </row>
    <row r="275" spans="1:18" ht="24" hidden="1" customHeight="1" x14ac:dyDescent="0.3">
      <c r="A275" s="12" t="s">
        <v>499</v>
      </c>
      <c r="B275" s="60"/>
      <c r="C275" s="68"/>
      <c r="D275" s="69"/>
      <c r="E275" s="62"/>
      <c r="F275" s="68"/>
      <c r="G275" s="68"/>
      <c r="H275" s="68"/>
      <c r="I275" s="63"/>
      <c r="J275" s="63">
        <f t="shared" si="41"/>
        <v>0</v>
      </c>
      <c r="K275" s="63">
        <f t="shared" si="42"/>
        <v>0</v>
      </c>
      <c r="L275" s="64"/>
      <c r="M275" s="65"/>
      <c r="N275" s="64">
        <f t="shared" si="43"/>
        <v>0</v>
      </c>
      <c r="O275" s="66"/>
      <c r="P275" s="68"/>
      <c r="Q275" s="66"/>
      <c r="R275" s="61"/>
    </row>
    <row r="276" spans="1:18" ht="48" hidden="1" customHeight="1" x14ac:dyDescent="0.3">
      <c r="A276" s="12" t="s">
        <v>500</v>
      </c>
      <c r="B276" s="60"/>
      <c r="C276" s="68"/>
      <c r="D276" s="69"/>
      <c r="E276" s="62"/>
      <c r="F276" s="68"/>
      <c r="G276" s="68"/>
      <c r="H276" s="68"/>
      <c r="I276" s="63"/>
      <c r="J276" s="63">
        <f t="shared" si="41"/>
        <v>0</v>
      </c>
      <c r="K276" s="63">
        <f t="shared" si="42"/>
        <v>0</v>
      </c>
      <c r="L276" s="64"/>
      <c r="M276" s="65"/>
      <c r="N276" s="64">
        <f t="shared" si="43"/>
        <v>0</v>
      </c>
      <c r="O276" s="66"/>
      <c r="P276" s="68"/>
      <c r="Q276" s="66"/>
      <c r="R276" s="69"/>
    </row>
    <row r="277" spans="1:18" ht="24" hidden="1" customHeight="1" x14ac:dyDescent="0.3">
      <c r="A277" s="12" t="s">
        <v>501</v>
      </c>
      <c r="B277" s="60"/>
      <c r="C277" s="68"/>
      <c r="D277" s="69"/>
      <c r="E277" s="62"/>
      <c r="F277" s="68"/>
      <c r="G277" s="68"/>
      <c r="H277" s="69"/>
      <c r="I277" s="63"/>
      <c r="J277" s="63">
        <f t="shared" si="41"/>
        <v>0</v>
      </c>
      <c r="K277" s="63">
        <f t="shared" si="42"/>
        <v>0</v>
      </c>
      <c r="L277" s="64"/>
      <c r="M277" s="65"/>
      <c r="N277" s="64">
        <f t="shared" si="43"/>
        <v>0</v>
      </c>
      <c r="O277" s="66"/>
      <c r="P277" s="68"/>
      <c r="Q277" s="66"/>
      <c r="R277" s="61"/>
    </row>
    <row r="278" spans="1:18" ht="24" hidden="1" customHeight="1" x14ac:dyDescent="0.3">
      <c r="A278" s="12" t="s">
        <v>502</v>
      </c>
      <c r="B278" s="60"/>
      <c r="C278" s="68"/>
      <c r="D278" s="69"/>
      <c r="E278" s="68"/>
      <c r="F278" s="68"/>
      <c r="G278" s="68"/>
      <c r="H278" s="69"/>
      <c r="I278" s="63"/>
      <c r="J278" s="63">
        <f t="shared" si="41"/>
        <v>0</v>
      </c>
      <c r="K278" s="63">
        <f t="shared" si="42"/>
        <v>0</v>
      </c>
      <c r="L278" s="64"/>
      <c r="M278" s="65"/>
      <c r="N278" s="64">
        <f t="shared" si="43"/>
        <v>0</v>
      </c>
      <c r="O278" s="66"/>
      <c r="P278" s="68"/>
      <c r="Q278" s="66"/>
      <c r="R278" s="61"/>
    </row>
    <row r="279" spans="1:18" ht="24" hidden="1" customHeight="1" x14ac:dyDescent="0.3">
      <c r="A279" s="12" t="s">
        <v>503</v>
      </c>
      <c r="B279" s="60"/>
      <c r="C279" s="68"/>
      <c r="D279" s="69"/>
      <c r="E279" s="62"/>
      <c r="F279" s="68"/>
      <c r="G279" s="68"/>
      <c r="H279" s="69"/>
      <c r="I279" s="63"/>
      <c r="J279" s="63">
        <f t="shared" si="41"/>
        <v>0</v>
      </c>
      <c r="K279" s="63">
        <f t="shared" si="42"/>
        <v>0</v>
      </c>
      <c r="L279" s="64"/>
      <c r="M279" s="65"/>
      <c r="N279" s="64">
        <f t="shared" si="43"/>
        <v>0</v>
      </c>
      <c r="O279" s="66"/>
      <c r="P279" s="68"/>
      <c r="Q279" s="66"/>
      <c r="R279" s="61"/>
    </row>
    <row r="280" spans="1:18" ht="24" hidden="1" customHeight="1" x14ac:dyDescent="0.3">
      <c r="A280" s="12" t="s">
        <v>504</v>
      </c>
      <c r="B280" s="60"/>
      <c r="C280" s="68"/>
      <c r="D280" s="46"/>
      <c r="E280" s="62"/>
      <c r="F280" s="68"/>
      <c r="G280" s="68"/>
      <c r="H280" s="69"/>
      <c r="I280" s="63"/>
      <c r="J280" s="63">
        <f t="shared" si="41"/>
        <v>0</v>
      </c>
      <c r="K280" s="63">
        <f t="shared" si="42"/>
        <v>0</v>
      </c>
      <c r="L280" s="64"/>
      <c r="M280" s="65"/>
      <c r="N280" s="64">
        <f t="shared" si="43"/>
        <v>0</v>
      </c>
      <c r="O280" s="66"/>
      <c r="P280" s="68"/>
      <c r="Q280" s="66"/>
      <c r="R280" s="61"/>
    </row>
    <row r="281" spans="1:18" ht="24" hidden="1" customHeight="1" x14ac:dyDescent="0.3">
      <c r="A281" s="12" t="s">
        <v>505</v>
      </c>
      <c r="B281" s="60"/>
      <c r="C281" s="68"/>
      <c r="D281" s="69"/>
      <c r="E281" s="62"/>
      <c r="F281" s="68"/>
      <c r="G281" s="68"/>
      <c r="H281" s="69"/>
      <c r="I281" s="63"/>
      <c r="J281" s="63">
        <f t="shared" si="41"/>
        <v>0</v>
      </c>
      <c r="K281" s="63">
        <f t="shared" si="42"/>
        <v>0</v>
      </c>
      <c r="L281" s="64"/>
      <c r="M281" s="65"/>
      <c r="N281" s="64">
        <f t="shared" si="43"/>
        <v>0</v>
      </c>
      <c r="O281" s="66"/>
      <c r="P281" s="68"/>
      <c r="Q281" s="66"/>
      <c r="R281" s="61"/>
    </row>
    <row r="282" spans="1:18" ht="24" hidden="1" customHeight="1" x14ac:dyDescent="0.3">
      <c r="A282" s="12" t="s">
        <v>506</v>
      </c>
      <c r="B282" s="60"/>
      <c r="C282" s="68"/>
      <c r="D282" s="69"/>
      <c r="E282" s="62"/>
      <c r="F282" s="68"/>
      <c r="G282" s="68"/>
      <c r="H282" s="69"/>
      <c r="I282" s="63"/>
      <c r="J282" s="63">
        <f t="shared" si="41"/>
        <v>0</v>
      </c>
      <c r="K282" s="63">
        <f t="shared" si="42"/>
        <v>0</v>
      </c>
      <c r="L282" s="64"/>
      <c r="M282" s="65"/>
      <c r="N282" s="64">
        <f t="shared" si="43"/>
        <v>0</v>
      </c>
      <c r="O282" s="66"/>
      <c r="P282" s="68"/>
      <c r="Q282" s="66"/>
      <c r="R282" s="61"/>
    </row>
    <row r="283" spans="1:18" ht="24" hidden="1" customHeight="1" x14ac:dyDescent="0.3">
      <c r="A283" s="12" t="s">
        <v>507</v>
      </c>
      <c r="B283" s="60"/>
      <c r="C283" s="68"/>
      <c r="D283" s="69"/>
      <c r="E283" s="62"/>
      <c r="F283" s="68"/>
      <c r="G283" s="68"/>
      <c r="H283" s="69"/>
      <c r="I283" s="63"/>
      <c r="J283" s="63">
        <f t="shared" si="41"/>
        <v>0</v>
      </c>
      <c r="K283" s="63">
        <f t="shared" si="42"/>
        <v>0</v>
      </c>
      <c r="L283" s="64"/>
      <c r="M283" s="65"/>
      <c r="N283" s="64">
        <f t="shared" si="43"/>
        <v>0</v>
      </c>
      <c r="O283" s="66"/>
      <c r="P283" s="68"/>
      <c r="Q283" s="66"/>
      <c r="R283" s="61"/>
    </row>
    <row r="284" spans="1:18" ht="24" hidden="1" customHeight="1" x14ac:dyDescent="0.3">
      <c r="A284" s="12" t="s">
        <v>508</v>
      </c>
      <c r="B284" s="60"/>
      <c r="C284" s="68"/>
      <c r="D284" s="69"/>
      <c r="E284" s="62"/>
      <c r="F284" s="68"/>
      <c r="G284" s="68"/>
      <c r="H284" s="69"/>
      <c r="I284" s="63"/>
      <c r="J284" s="63">
        <f t="shared" si="41"/>
        <v>0</v>
      </c>
      <c r="K284" s="63">
        <f t="shared" si="42"/>
        <v>0</v>
      </c>
      <c r="L284" s="64"/>
      <c r="M284" s="65"/>
      <c r="N284" s="64">
        <f t="shared" si="43"/>
        <v>0</v>
      </c>
      <c r="O284" s="66"/>
      <c r="P284" s="68"/>
      <c r="Q284" s="66"/>
      <c r="R284" s="61"/>
    </row>
    <row r="285" spans="1:18" ht="24" hidden="1" customHeight="1" x14ac:dyDescent="0.3">
      <c r="A285" s="12" t="s">
        <v>509</v>
      </c>
      <c r="B285" s="60"/>
      <c r="C285" s="68"/>
      <c r="D285" s="69"/>
      <c r="E285" s="62"/>
      <c r="F285" s="68"/>
      <c r="G285" s="68"/>
      <c r="H285" s="69"/>
      <c r="I285" s="63"/>
      <c r="J285" s="63">
        <f t="shared" si="41"/>
        <v>0</v>
      </c>
      <c r="K285" s="63">
        <f t="shared" si="42"/>
        <v>0</v>
      </c>
      <c r="L285" s="64"/>
      <c r="M285" s="65"/>
      <c r="N285" s="64">
        <f t="shared" si="43"/>
        <v>0</v>
      </c>
      <c r="O285" s="66"/>
      <c r="P285" s="68"/>
      <c r="Q285" s="66"/>
      <c r="R285" s="61"/>
    </row>
    <row r="286" spans="1:18" ht="24" hidden="1" customHeight="1" x14ac:dyDescent="0.3">
      <c r="A286" s="12" t="s">
        <v>510</v>
      </c>
      <c r="B286" s="60"/>
      <c r="C286" s="68"/>
      <c r="D286" s="69"/>
      <c r="E286" s="62"/>
      <c r="F286" s="68"/>
      <c r="G286" s="69"/>
      <c r="H286" s="69"/>
      <c r="I286" s="63"/>
      <c r="J286" s="63">
        <f t="shared" si="41"/>
        <v>0</v>
      </c>
      <c r="K286" s="63">
        <f t="shared" si="42"/>
        <v>0</v>
      </c>
      <c r="L286" s="64"/>
      <c r="M286" s="65"/>
      <c r="N286" s="64">
        <f t="shared" si="43"/>
        <v>0</v>
      </c>
      <c r="O286" s="66"/>
      <c r="P286" s="68"/>
      <c r="Q286" s="66"/>
      <c r="R286" s="61"/>
    </row>
    <row r="287" spans="1:18" ht="24" hidden="1" customHeight="1" x14ac:dyDescent="0.3">
      <c r="A287" s="12" t="s">
        <v>511</v>
      </c>
      <c r="B287" s="60"/>
      <c r="C287" s="68"/>
      <c r="D287" s="69"/>
      <c r="E287" s="62"/>
      <c r="F287" s="68"/>
      <c r="G287" s="68"/>
      <c r="H287" s="69"/>
      <c r="I287" s="63"/>
      <c r="J287" s="63">
        <f t="shared" si="41"/>
        <v>0</v>
      </c>
      <c r="K287" s="63">
        <f t="shared" si="42"/>
        <v>0</v>
      </c>
      <c r="L287" s="64"/>
      <c r="M287" s="65"/>
      <c r="N287" s="64">
        <f t="shared" si="43"/>
        <v>0</v>
      </c>
      <c r="O287" s="66"/>
      <c r="P287" s="68"/>
      <c r="Q287" s="66"/>
      <c r="R287" s="61"/>
    </row>
    <row r="288" spans="1:18" ht="24" hidden="1" customHeight="1" x14ac:dyDescent="0.3">
      <c r="A288" s="12" t="s">
        <v>512</v>
      </c>
      <c r="B288" s="60"/>
      <c r="C288" s="68"/>
      <c r="D288" s="69"/>
      <c r="E288" s="62"/>
      <c r="F288" s="68"/>
      <c r="G288" s="68"/>
      <c r="H288" s="68"/>
      <c r="I288" s="63"/>
      <c r="J288" s="63">
        <f t="shared" si="41"/>
        <v>0</v>
      </c>
      <c r="K288" s="63">
        <f t="shared" si="42"/>
        <v>0</v>
      </c>
      <c r="L288" s="64"/>
      <c r="M288" s="65"/>
      <c r="N288" s="64">
        <f t="shared" si="43"/>
        <v>0</v>
      </c>
      <c r="O288" s="66"/>
      <c r="P288" s="68"/>
      <c r="Q288" s="66"/>
      <c r="R288" s="61"/>
    </row>
    <row r="289" spans="1:18" ht="24" hidden="1" customHeight="1" x14ac:dyDescent="0.3">
      <c r="A289" s="12" t="s">
        <v>513</v>
      </c>
      <c r="B289" s="60"/>
      <c r="C289" s="68"/>
      <c r="D289" s="69"/>
      <c r="E289" s="62"/>
      <c r="F289" s="68"/>
      <c r="G289" s="68"/>
      <c r="H289" s="68"/>
      <c r="I289" s="63"/>
      <c r="J289" s="63">
        <f t="shared" ref="J289:J330" si="44">SUM(I289*0.2)</f>
        <v>0</v>
      </c>
      <c r="K289" s="63">
        <f t="shared" ref="K289:K330" si="45">SUM(I289+J289)</f>
        <v>0</v>
      </c>
      <c r="L289" s="64"/>
      <c r="M289" s="65"/>
      <c r="N289" s="64">
        <f t="shared" ref="N289:N330" si="46">SUM(L289*M289)</f>
        <v>0</v>
      </c>
      <c r="O289" s="66"/>
      <c r="P289" s="68"/>
      <c r="Q289" s="66"/>
      <c r="R289" s="61"/>
    </row>
    <row r="290" spans="1:18" ht="24" hidden="1" customHeight="1" x14ac:dyDescent="0.3">
      <c r="A290" s="12" t="s">
        <v>514</v>
      </c>
      <c r="B290" s="60"/>
      <c r="C290" s="68"/>
      <c r="D290" s="69"/>
      <c r="E290" s="62"/>
      <c r="F290" s="68"/>
      <c r="G290" s="68"/>
      <c r="H290" s="68"/>
      <c r="I290" s="63"/>
      <c r="J290" s="63">
        <f t="shared" si="44"/>
        <v>0</v>
      </c>
      <c r="K290" s="63">
        <f t="shared" si="45"/>
        <v>0</v>
      </c>
      <c r="L290" s="64"/>
      <c r="M290" s="65"/>
      <c r="N290" s="64">
        <f t="shared" si="46"/>
        <v>0</v>
      </c>
      <c r="O290" s="66"/>
      <c r="P290" s="68"/>
      <c r="Q290" s="66"/>
      <c r="R290" s="61"/>
    </row>
    <row r="291" spans="1:18" ht="24" hidden="1" customHeight="1" x14ac:dyDescent="0.3">
      <c r="A291" s="12" t="s">
        <v>515</v>
      </c>
      <c r="B291" s="60"/>
      <c r="C291" s="68"/>
      <c r="D291" s="69"/>
      <c r="E291" s="62"/>
      <c r="F291" s="68"/>
      <c r="G291" s="68"/>
      <c r="H291" s="68"/>
      <c r="I291" s="63"/>
      <c r="J291" s="63">
        <f t="shared" si="44"/>
        <v>0</v>
      </c>
      <c r="K291" s="63">
        <f t="shared" si="45"/>
        <v>0</v>
      </c>
      <c r="L291" s="64"/>
      <c r="M291" s="65"/>
      <c r="N291" s="64">
        <f t="shared" si="46"/>
        <v>0</v>
      </c>
      <c r="O291" s="66"/>
      <c r="P291" s="68"/>
      <c r="Q291" s="66"/>
      <c r="R291" s="61"/>
    </row>
    <row r="292" spans="1:18" ht="24" hidden="1" customHeight="1" x14ac:dyDescent="0.3">
      <c r="A292" s="12" t="s">
        <v>516</v>
      </c>
      <c r="B292" s="60"/>
      <c r="C292" s="68"/>
      <c r="D292" s="69"/>
      <c r="E292" s="68"/>
      <c r="F292" s="68"/>
      <c r="G292" s="68"/>
      <c r="H292" s="68"/>
      <c r="I292" s="63"/>
      <c r="J292" s="63">
        <f t="shared" si="44"/>
        <v>0</v>
      </c>
      <c r="K292" s="63">
        <f t="shared" si="45"/>
        <v>0</v>
      </c>
      <c r="L292" s="64"/>
      <c r="M292" s="65"/>
      <c r="N292" s="64">
        <f t="shared" si="46"/>
        <v>0</v>
      </c>
      <c r="O292" s="66"/>
      <c r="P292" s="68"/>
      <c r="Q292" s="66"/>
      <c r="R292" s="61"/>
    </row>
    <row r="293" spans="1:18" ht="24" hidden="1" customHeight="1" x14ac:dyDescent="0.3">
      <c r="A293" s="12" t="s">
        <v>517</v>
      </c>
      <c r="B293" s="60"/>
      <c r="C293" s="68"/>
      <c r="D293" s="69"/>
      <c r="E293" s="62"/>
      <c r="F293" s="68"/>
      <c r="G293" s="68"/>
      <c r="H293" s="68"/>
      <c r="I293" s="63"/>
      <c r="J293" s="63">
        <f t="shared" si="44"/>
        <v>0</v>
      </c>
      <c r="K293" s="63">
        <f t="shared" si="45"/>
        <v>0</v>
      </c>
      <c r="L293" s="64"/>
      <c r="M293" s="65"/>
      <c r="N293" s="64">
        <f t="shared" si="46"/>
        <v>0</v>
      </c>
      <c r="O293" s="66"/>
      <c r="P293" s="68"/>
      <c r="Q293" s="66"/>
      <c r="R293" s="61"/>
    </row>
    <row r="294" spans="1:18" ht="24" hidden="1" customHeight="1" x14ac:dyDescent="0.3">
      <c r="A294" s="12" t="s">
        <v>518</v>
      </c>
      <c r="B294" s="60"/>
      <c r="C294" s="68"/>
      <c r="D294" s="69"/>
      <c r="E294" s="62"/>
      <c r="F294" s="68"/>
      <c r="G294" s="68"/>
      <c r="H294" s="68"/>
      <c r="I294" s="63"/>
      <c r="J294" s="63">
        <f t="shared" si="44"/>
        <v>0</v>
      </c>
      <c r="K294" s="63">
        <f t="shared" si="45"/>
        <v>0</v>
      </c>
      <c r="L294" s="64"/>
      <c r="M294" s="65"/>
      <c r="N294" s="64">
        <f t="shared" si="46"/>
        <v>0</v>
      </c>
      <c r="O294" s="66"/>
      <c r="P294" s="68"/>
      <c r="Q294" s="66"/>
      <c r="R294" s="61"/>
    </row>
    <row r="295" spans="1:18" ht="24" hidden="1" customHeight="1" x14ac:dyDescent="0.3">
      <c r="A295" s="12" t="s">
        <v>519</v>
      </c>
      <c r="B295" s="60"/>
      <c r="C295" s="68"/>
      <c r="D295" s="69"/>
      <c r="E295" s="62"/>
      <c r="F295" s="68"/>
      <c r="G295" s="68"/>
      <c r="H295" s="68"/>
      <c r="I295" s="63"/>
      <c r="J295" s="63">
        <f t="shared" si="44"/>
        <v>0</v>
      </c>
      <c r="K295" s="63">
        <f t="shared" si="45"/>
        <v>0</v>
      </c>
      <c r="L295" s="64"/>
      <c r="M295" s="65"/>
      <c r="N295" s="64">
        <f t="shared" si="46"/>
        <v>0</v>
      </c>
      <c r="O295" s="66"/>
      <c r="P295" s="68"/>
      <c r="Q295" s="66"/>
      <c r="R295" s="61"/>
    </row>
    <row r="296" spans="1:18" ht="24" hidden="1" customHeight="1" x14ac:dyDescent="0.3">
      <c r="A296" s="12" t="s">
        <v>520</v>
      </c>
      <c r="B296" s="60"/>
      <c r="C296" s="68"/>
      <c r="D296" s="69"/>
      <c r="E296" s="62"/>
      <c r="F296" s="68"/>
      <c r="G296" s="68"/>
      <c r="H296" s="68"/>
      <c r="I296" s="63"/>
      <c r="J296" s="63">
        <f t="shared" si="44"/>
        <v>0</v>
      </c>
      <c r="K296" s="63">
        <f t="shared" si="45"/>
        <v>0</v>
      </c>
      <c r="L296" s="64"/>
      <c r="M296" s="65"/>
      <c r="N296" s="64">
        <f t="shared" si="46"/>
        <v>0</v>
      </c>
      <c r="O296" s="66"/>
      <c r="P296" s="68"/>
      <c r="Q296" s="66"/>
      <c r="R296" s="69"/>
    </row>
    <row r="297" spans="1:18" ht="24" hidden="1" customHeight="1" x14ac:dyDescent="0.3">
      <c r="A297" s="12" t="s">
        <v>521</v>
      </c>
      <c r="B297" s="60"/>
      <c r="C297" s="68"/>
      <c r="D297" s="69"/>
      <c r="E297" s="62"/>
      <c r="F297" s="68"/>
      <c r="G297" s="68"/>
      <c r="H297" s="68"/>
      <c r="I297" s="63"/>
      <c r="J297" s="63">
        <f t="shared" si="44"/>
        <v>0</v>
      </c>
      <c r="K297" s="63">
        <f t="shared" si="45"/>
        <v>0</v>
      </c>
      <c r="L297" s="64"/>
      <c r="M297" s="65"/>
      <c r="N297" s="64">
        <f t="shared" si="46"/>
        <v>0</v>
      </c>
      <c r="O297" s="66"/>
      <c r="P297" s="68"/>
      <c r="Q297" s="66"/>
      <c r="R297" s="61"/>
    </row>
    <row r="298" spans="1:18" ht="24" hidden="1" customHeight="1" x14ac:dyDescent="0.3">
      <c r="A298" s="12" t="s">
        <v>522</v>
      </c>
      <c r="B298" s="60"/>
      <c r="C298" s="68"/>
      <c r="D298" s="69"/>
      <c r="E298" s="62"/>
      <c r="F298" s="68"/>
      <c r="G298" s="68"/>
      <c r="H298" s="68"/>
      <c r="I298" s="63"/>
      <c r="J298" s="63">
        <f t="shared" si="44"/>
        <v>0</v>
      </c>
      <c r="K298" s="63">
        <f t="shared" si="45"/>
        <v>0</v>
      </c>
      <c r="L298" s="64"/>
      <c r="M298" s="65"/>
      <c r="N298" s="64">
        <f t="shared" si="46"/>
        <v>0</v>
      </c>
      <c r="O298" s="66"/>
      <c r="P298" s="68"/>
      <c r="Q298" s="66"/>
      <c r="R298" s="61"/>
    </row>
    <row r="299" spans="1:18" ht="24" hidden="1" customHeight="1" x14ac:dyDescent="0.3">
      <c r="A299" s="12" t="s">
        <v>523</v>
      </c>
      <c r="B299" s="60"/>
      <c r="C299" s="68"/>
      <c r="D299" s="69"/>
      <c r="E299" s="62"/>
      <c r="F299" s="68"/>
      <c r="G299" s="68"/>
      <c r="H299" s="68"/>
      <c r="I299" s="63"/>
      <c r="J299" s="63">
        <f t="shared" si="44"/>
        <v>0</v>
      </c>
      <c r="K299" s="63">
        <f t="shared" si="45"/>
        <v>0</v>
      </c>
      <c r="L299" s="64"/>
      <c r="M299" s="65"/>
      <c r="N299" s="64">
        <f t="shared" si="46"/>
        <v>0</v>
      </c>
      <c r="O299" s="66"/>
      <c r="P299" s="68"/>
      <c r="Q299" s="66"/>
      <c r="R299" s="69"/>
    </row>
    <row r="300" spans="1:18" ht="24" hidden="1" customHeight="1" x14ac:dyDescent="0.3">
      <c r="A300" s="12" t="s">
        <v>524</v>
      </c>
      <c r="B300" s="60"/>
      <c r="C300" s="68"/>
      <c r="D300" s="69"/>
      <c r="E300" s="62"/>
      <c r="F300" s="68"/>
      <c r="G300" s="68"/>
      <c r="H300" s="68"/>
      <c r="I300" s="63"/>
      <c r="J300" s="63">
        <f t="shared" si="44"/>
        <v>0</v>
      </c>
      <c r="K300" s="63">
        <f t="shared" si="45"/>
        <v>0</v>
      </c>
      <c r="L300" s="64"/>
      <c r="M300" s="65"/>
      <c r="N300" s="64">
        <f t="shared" si="46"/>
        <v>0</v>
      </c>
      <c r="O300" s="66"/>
      <c r="P300" s="68"/>
      <c r="Q300" s="66"/>
      <c r="R300" s="69"/>
    </row>
    <row r="301" spans="1:18" ht="24" hidden="1" customHeight="1" x14ac:dyDescent="0.3">
      <c r="A301" s="12" t="s">
        <v>525</v>
      </c>
      <c r="B301" s="60"/>
      <c r="C301" s="68"/>
      <c r="D301" s="69"/>
      <c r="E301" s="62"/>
      <c r="F301" s="68"/>
      <c r="G301" s="68"/>
      <c r="H301" s="68"/>
      <c r="I301" s="63"/>
      <c r="J301" s="63">
        <f t="shared" si="44"/>
        <v>0</v>
      </c>
      <c r="K301" s="63">
        <f t="shared" si="45"/>
        <v>0</v>
      </c>
      <c r="L301" s="64"/>
      <c r="M301" s="65"/>
      <c r="N301" s="64">
        <f t="shared" si="46"/>
        <v>0</v>
      </c>
      <c r="O301" s="66"/>
      <c r="P301" s="68"/>
      <c r="Q301" s="66"/>
      <c r="R301" s="61"/>
    </row>
    <row r="302" spans="1:18" ht="24" hidden="1" customHeight="1" x14ac:dyDescent="0.3">
      <c r="A302" s="12" t="s">
        <v>526</v>
      </c>
      <c r="B302" s="60"/>
      <c r="C302" s="68"/>
      <c r="D302" s="69"/>
      <c r="E302" s="62"/>
      <c r="F302" s="68"/>
      <c r="G302" s="68"/>
      <c r="H302" s="68"/>
      <c r="I302" s="63"/>
      <c r="J302" s="63">
        <f t="shared" si="44"/>
        <v>0</v>
      </c>
      <c r="K302" s="63">
        <f t="shared" si="45"/>
        <v>0</v>
      </c>
      <c r="L302" s="64"/>
      <c r="M302" s="65"/>
      <c r="N302" s="64">
        <f t="shared" si="46"/>
        <v>0</v>
      </c>
      <c r="O302" s="66"/>
      <c r="P302" s="68"/>
      <c r="Q302" s="66"/>
      <c r="R302" s="61"/>
    </row>
    <row r="303" spans="1:18" ht="24" hidden="1" customHeight="1" x14ac:dyDescent="0.3">
      <c r="A303" s="12" t="s">
        <v>527</v>
      </c>
      <c r="B303" s="60"/>
      <c r="C303" s="68"/>
      <c r="D303" s="69"/>
      <c r="E303" s="62"/>
      <c r="F303" s="68"/>
      <c r="G303" s="68"/>
      <c r="H303" s="68"/>
      <c r="I303" s="63"/>
      <c r="J303" s="63">
        <f t="shared" si="44"/>
        <v>0</v>
      </c>
      <c r="K303" s="63">
        <f t="shared" si="45"/>
        <v>0</v>
      </c>
      <c r="L303" s="64"/>
      <c r="M303" s="65"/>
      <c r="N303" s="64">
        <f t="shared" si="46"/>
        <v>0</v>
      </c>
      <c r="O303" s="66"/>
      <c r="P303" s="68"/>
      <c r="Q303" s="66"/>
      <c r="R303" s="61"/>
    </row>
    <row r="304" spans="1:18" ht="24" hidden="1" customHeight="1" x14ac:dyDescent="0.3">
      <c r="A304" s="12" t="s">
        <v>528</v>
      </c>
      <c r="B304" s="60"/>
      <c r="C304" s="68"/>
      <c r="D304" s="69"/>
      <c r="E304" s="62"/>
      <c r="F304" s="69"/>
      <c r="G304" s="68"/>
      <c r="H304" s="68"/>
      <c r="I304" s="63"/>
      <c r="J304" s="63">
        <f t="shared" si="44"/>
        <v>0</v>
      </c>
      <c r="K304" s="63">
        <f t="shared" si="45"/>
        <v>0</v>
      </c>
      <c r="L304" s="64"/>
      <c r="M304" s="65"/>
      <c r="N304" s="64">
        <f t="shared" si="46"/>
        <v>0</v>
      </c>
      <c r="O304" s="66"/>
      <c r="P304" s="68"/>
      <c r="Q304" s="66"/>
      <c r="R304" s="61"/>
    </row>
    <row r="305" spans="1:18" ht="24" hidden="1" customHeight="1" x14ac:dyDescent="0.3">
      <c r="A305" s="12" t="s">
        <v>529</v>
      </c>
      <c r="B305" s="60"/>
      <c r="C305" s="68"/>
      <c r="D305" s="69"/>
      <c r="E305" s="62"/>
      <c r="F305" s="68"/>
      <c r="G305" s="68"/>
      <c r="H305" s="68"/>
      <c r="I305" s="63"/>
      <c r="J305" s="63">
        <f t="shared" si="44"/>
        <v>0</v>
      </c>
      <c r="K305" s="63">
        <f t="shared" si="45"/>
        <v>0</v>
      </c>
      <c r="L305" s="64"/>
      <c r="M305" s="65"/>
      <c r="N305" s="64">
        <f t="shared" si="46"/>
        <v>0</v>
      </c>
      <c r="O305" s="66"/>
      <c r="P305" s="68"/>
      <c r="Q305" s="66"/>
      <c r="R305" s="69"/>
    </row>
    <row r="306" spans="1:18" ht="24" hidden="1" customHeight="1" x14ac:dyDescent="0.3">
      <c r="A306" s="12" t="s">
        <v>530</v>
      </c>
      <c r="B306" s="60"/>
      <c r="C306" s="68"/>
      <c r="D306" s="69"/>
      <c r="E306" s="62"/>
      <c r="F306" s="68"/>
      <c r="G306" s="68"/>
      <c r="H306" s="68"/>
      <c r="I306" s="63"/>
      <c r="J306" s="63">
        <f t="shared" si="44"/>
        <v>0</v>
      </c>
      <c r="K306" s="63">
        <f t="shared" si="45"/>
        <v>0</v>
      </c>
      <c r="L306" s="64"/>
      <c r="M306" s="65"/>
      <c r="N306" s="64">
        <f t="shared" si="46"/>
        <v>0</v>
      </c>
      <c r="O306" s="66"/>
      <c r="P306" s="68"/>
      <c r="Q306" s="66"/>
      <c r="R306" s="61"/>
    </row>
    <row r="307" spans="1:18" ht="24" hidden="1" customHeight="1" x14ac:dyDescent="0.3">
      <c r="A307" s="12" t="s">
        <v>531</v>
      </c>
      <c r="B307" s="60"/>
      <c r="C307" s="68"/>
      <c r="D307" s="69"/>
      <c r="E307" s="62"/>
      <c r="F307" s="68"/>
      <c r="G307" s="68"/>
      <c r="H307" s="68"/>
      <c r="I307" s="63"/>
      <c r="J307" s="63">
        <f t="shared" si="44"/>
        <v>0</v>
      </c>
      <c r="K307" s="63">
        <f t="shared" si="45"/>
        <v>0</v>
      </c>
      <c r="L307" s="64"/>
      <c r="M307" s="65"/>
      <c r="N307" s="64">
        <f t="shared" si="46"/>
        <v>0</v>
      </c>
      <c r="O307" s="66"/>
      <c r="P307" s="68"/>
      <c r="Q307" s="66"/>
      <c r="R307" s="61"/>
    </row>
    <row r="308" spans="1:18" ht="24" hidden="1" customHeight="1" x14ac:dyDescent="0.3">
      <c r="A308" s="12" t="s">
        <v>532</v>
      </c>
      <c r="B308" s="60"/>
      <c r="C308" s="68"/>
      <c r="D308" s="69"/>
      <c r="E308" s="62"/>
      <c r="F308" s="68"/>
      <c r="G308" s="68"/>
      <c r="H308" s="68"/>
      <c r="I308" s="63"/>
      <c r="J308" s="63">
        <f t="shared" si="44"/>
        <v>0</v>
      </c>
      <c r="K308" s="63">
        <f t="shared" si="45"/>
        <v>0</v>
      </c>
      <c r="L308" s="64"/>
      <c r="M308" s="65"/>
      <c r="N308" s="64">
        <f t="shared" si="46"/>
        <v>0</v>
      </c>
      <c r="O308" s="66"/>
      <c r="P308" s="68"/>
      <c r="Q308" s="66"/>
      <c r="R308" s="61"/>
    </row>
    <row r="309" spans="1:18" ht="24" hidden="1" customHeight="1" x14ac:dyDescent="0.3">
      <c r="A309" s="12" t="s">
        <v>533</v>
      </c>
      <c r="B309" s="60"/>
      <c r="C309" s="68"/>
      <c r="D309" s="69"/>
      <c r="E309" s="68"/>
      <c r="F309" s="68"/>
      <c r="G309" s="68"/>
      <c r="H309" s="68"/>
      <c r="I309" s="63"/>
      <c r="J309" s="63">
        <f t="shared" si="44"/>
        <v>0</v>
      </c>
      <c r="K309" s="63">
        <f t="shared" si="45"/>
        <v>0</v>
      </c>
      <c r="L309" s="64"/>
      <c r="M309" s="65"/>
      <c r="N309" s="64">
        <f t="shared" si="46"/>
        <v>0</v>
      </c>
      <c r="O309" s="66"/>
      <c r="P309" s="68"/>
      <c r="Q309" s="66"/>
      <c r="R309" s="61"/>
    </row>
    <row r="310" spans="1:18" ht="24" hidden="1" customHeight="1" x14ac:dyDescent="0.3">
      <c r="A310" s="12" t="s">
        <v>534</v>
      </c>
      <c r="B310" s="60"/>
      <c r="C310" s="68"/>
      <c r="D310" s="69"/>
      <c r="E310" s="62"/>
      <c r="F310" s="68"/>
      <c r="G310" s="68"/>
      <c r="H310" s="68"/>
      <c r="I310" s="63"/>
      <c r="J310" s="63">
        <f t="shared" si="44"/>
        <v>0</v>
      </c>
      <c r="K310" s="63">
        <f t="shared" si="45"/>
        <v>0</v>
      </c>
      <c r="L310" s="64"/>
      <c r="M310" s="65"/>
      <c r="N310" s="64">
        <f t="shared" si="46"/>
        <v>0</v>
      </c>
      <c r="O310" s="66"/>
      <c r="P310" s="68"/>
      <c r="Q310" s="66"/>
      <c r="R310" s="61"/>
    </row>
    <row r="311" spans="1:18" ht="24" hidden="1" customHeight="1" x14ac:dyDescent="0.3">
      <c r="A311" s="12" t="s">
        <v>535</v>
      </c>
      <c r="B311" s="60"/>
      <c r="C311" s="68"/>
      <c r="D311" s="69"/>
      <c r="E311" s="62"/>
      <c r="F311" s="68"/>
      <c r="G311" s="68"/>
      <c r="H311" s="68"/>
      <c r="I311" s="63"/>
      <c r="J311" s="63">
        <f t="shared" si="44"/>
        <v>0</v>
      </c>
      <c r="K311" s="63">
        <f t="shared" si="45"/>
        <v>0</v>
      </c>
      <c r="L311" s="64"/>
      <c r="M311" s="65"/>
      <c r="N311" s="64">
        <f t="shared" si="46"/>
        <v>0</v>
      </c>
      <c r="O311" s="66"/>
      <c r="P311" s="68"/>
      <c r="Q311" s="66"/>
      <c r="R311" s="61"/>
    </row>
    <row r="312" spans="1:18" ht="24" hidden="1" customHeight="1" x14ac:dyDescent="0.3">
      <c r="A312" s="12" t="s">
        <v>536</v>
      </c>
      <c r="B312" s="60"/>
      <c r="C312" s="68"/>
      <c r="D312" s="69"/>
      <c r="E312" s="62"/>
      <c r="F312" s="68"/>
      <c r="G312" s="68"/>
      <c r="H312" s="68"/>
      <c r="I312" s="63"/>
      <c r="J312" s="63">
        <f t="shared" si="44"/>
        <v>0</v>
      </c>
      <c r="K312" s="63">
        <f t="shared" si="45"/>
        <v>0</v>
      </c>
      <c r="L312" s="64"/>
      <c r="M312" s="65"/>
      <c r="N312" s="64">
        <f t="shared" si="46"/>
        <v>0</v>
      </c>
      <c r="O312" s="66"/>
      <c r="P312" s="68"/>
      <c r="Q312" s="66"/>
      <c r="R312" s="69"/>
    </row>
    <row r="313" spans="1:18" ht="24" hidden="1" customHeight="1" x14ac:dyDescent="0.3">
      <c r="A313" s="12" t="s">
        <v>537</v>
      </c>
      <c r="B313" s="60"/>
      <c r="C313" s="68"/>
      <c r="D313" s="69"/>
      <c r="E313" s="62"/>
      <c r="F313" s="68"/>
      <c r="G313" s="68"/>
      <c r="H313" s="68"/>
      <c r="I313" s="63"/>
      <c r="J313" s="63">
        <f t="shared" si="44"/>
        <v>0</v>
      </c>
      <c r="K313" s="63">
        <f t="shared" si="45"/>
        <v>0</v>
      </c>
      <c r="L313" s="64"/>
      <c r="M313" s="65"/>
      <c r="N313" s="64">
        <f t="shared" si="46"/>
        <v>0</v>
      </c>
      <c r="O313" s="66"/>
      <c r="P313" s="68"/>
      <c r="Q313" s="66"/>
      <c r="R313" s="61"/>
    </row>
    <row r="314" spans="1:18" ht="24" hidden="1" customHeight="1" x14ac:dyDescent="0.3">
      <c r="A314" s="12" t="s">
        <v>538</v>
      </c>
      <c r="B314" s="60"/>
      <c r="C314" s="68"/>
      <c r="D314" s="69"/>
      <c r="E314" s="62"/>
      <c r="F314" s="68"/>
      <c r="G314" s="68"/>
      <c r="H314" s="68"/>
      <c r="I314" s="63"/>
      <c r="J314" s="63">
        <f t="shared" si="44"/>
        <v>0</v>
      </c>
      <c r="K314" s="63">
        <f t="shared" si="45"/>
        <v>0</v>
      </c>
      <c r="L314" s="64"/>
      <c r="M314" s="65"/>
      <c r="N314" s="64">
        <f t="shared" si="46"/>
        <v>0</v>
      </c>
      <c r="O314" s="66"/>
      <c r="P314" s="68"/>
      <c r="Q314" s="66"/>
      <c r="R314" s="61"/>
    </row>
    <row r="315" spans="1:18" ht="24" hidden="1" customHeight="1" x14ac:dyDescent="0.3">
      <c r="A315" s="12" t="s">
        <v>539</v>
      </c>
      <c r="B315" s="60"/>
      <c r="C315" s="68"/>
      <c r="D315" s="69"/>
      <c r="E315" s="62"/>
      <c r="F315" s="68"/>
      <c r="G315" s="68"/>
      <c r="H315" s="68"/>
      <c r="I315" s="63"/>
      <c r="J315" s="63">
        <f t="shared" si="44"/>
        <v>0</v>
      </c>
      <c r="K315" s="63">
        <f t="shared" si="45"/>
        <v>0</v>
      </c>
      <c r="L315" s="64"/>
      <c r="M315" s="65"/>
      <c r="N315" s="64">
        <f t="shared" si="46"/>
        <v>0</v>
      </c>
      <c r="O315" s="66"/>
      <c r="P315" s="68"/>
      <c r="Q315" s="66"/>
      <c r="R315" s="61"/>
    </row>
    <row r="316" spans="1:18" ht="24" hidden="1" customHeight="1" x14ac:dyDescent="0.3">
      <c r="A316" s="12" t="s">
        <v>540</v>
      </c>
      <c r="B316" s="60"/>
      <c r="C316" s="68"/>
      <c r="D316" s="69"/>
      <c r="E316" s="62"/>
      <c r="F316" s="68"/>
      <c r="G316" s="68"/>
      <c r="H316" s="68"/>
      <c r="I316" s="63"/>
      <c r="J316" s="63">
        <f t="shared" si="44"/>
        <v>0</v>
      </c>
      <c r="K316" s="63">
        <f t="shared" si="45"/>
        <v>0</v>
      </c>
      <c r="L316" s="64"/>
      <c r="M316" s="65"/>
      <c r="N316" s="64">
        <f t="shared" si="46"/>
        <v>0</v>
      </c>
      <c r="O316" s="66"/>
      <c r="P316" s="68"/>
      <c r="Q316" s="66"/>
      <c r="R316" s="69"/>
    </row>
    <row r="317" spans="1:18" ht="24" hidden="1" customHeight="1" x14ac:dyDescent="0.3">
      <c r="A317" s="12" t="s">
        <v>541</v>
      </c>
      <c r="B317" s="60"/>
      <c r="C317" s="68"/>
      <c r="D317" s="69"/>
      <c r="E317" s="62"/>
      <c r="F317" s="68"/>
      <c r="G317" s="68"/>
      <c r="H317" s="68"/>
      <c r="I317" s="63"/>
      <c r="J317" s="63">
        <f t="shared" si="44"/>
        <v>0</v>
      </c>
      <c r="K317" s="63">
        <f t="shared" si="45"/>
        <v>0</v>
      </c>
      <c r="L317" s="64"/>
      <c r="M317" s="65"/>
      <c r="N317" s="64">
        <f t="shared" si="46"/>
        <v>0</v>
      </c>
      <c r="O317" s="66"/>
      <c r="P317" s="68"/>
      <c r="Q317" s="66"/>
      <c r="R317" s="61"/>
    </row>
    <row r="318" spans="1:18" ht="24" hidden="1" customHeight="1" x14ac:dyDescent="0.3">
      <c r="A318" s="12" t="s">
        <v>542</v>
      </c>
      <c r="B318" s="60"/>
      <c r="C318" s="68"/>
      <c r="D318" s="69"/>
      <c r="E318" s="62"/>
      <c r="F318" s="68"/>
      <c r="G318" s="68"/>
      <c r="H318" s="68"/>
      <c r="I318" s="63"/>
      <c r="J318" s="63">
        <f t="shared" si="44"/>
        <v>0</v>
      </c>
      <c r="K318" s="63">
        <f t="shared" si="45"/>
        <v>0</v>
      </c>
      <c r="L318" s="64"/>
      <c r="M318" s="65"/>
      <c r="N318" s="64">
        <f t="shared" si="46"/>
        <v>0</v>
      </c>
      <c r="O318" s="66"/>
      <c r="P318" s="68"/>
      <c r="Q318" s="66"/>
      <c r="R318" s="61"/>
    </row>
    <row r="319" spans="1:18" ht="24" hidden="1" customHeight="1" x14ac:dyDescent="0.3">
      <c r="A319" s="12" t="s">
        <v>543</v>
      </c>
      <c r="B319" s="60"/>
      <c r="C319" s="68"/>
      <c r="D319" s="69"/>
      <c r="E319" s="62"/>
      <c r="F319" s="68"/>
      <c r="G319" s="68"/>
      <c r="H319" s="68"/>
      <c r="I319" s="63"/>
      <c r="J319" s="63">
        <f t="shared" si="44"/>
        <v>0</v>
      </c>
      <c r="K319" s="63">
        <f t="shared" si="45"/>
        <v>0</v>
      </c>
      <c r="L319" s="64"/>
      <c r="M319" s="65"/>
      <c r="N319" s="64">
        <f t="shared" si="46"/>
        <v>0</v>
      </c>
      <c r="O319" s="66"/>
      <c r="P319" s="68"/>
      <c r="Q319" s="66"/>
      <c r="R319" s="61"/>
    </row>
    <row r="320" spans="1:18" ht="24" hidden="1" customHeight="1" x14ac:dyDescent="0.3">
      <c r="A320" s="12" t="s">
        <v>544</v>
      </c>
      <c r="B320" s="60"/>
      <c r="C320" s="68"/>
      <c r="D320" s="69"/>
      <c r="E320" s="62"/>
      <c r="F320" s="68"/>
      <c r="G320" s="68"/>
      <c r="H320" s="68"/>
      <c r="I320" s="63"/>
      <c r="J320" s="63">
        <f t="shared" si="44"/>
        <v>0</v>
      </c>
      <c r="K320" s="63">
        <f t="shared" si="45"/>
        <v>0</v>
      </c>
      <c r="L320" s="64"/>
      <c r="M320" s="65"/>
      <c r="N320" s="64">
        <f t="shared" si="46"/>
        <v>0</v>
      </c>
      <c r="O320" s="66"/>
      <c r="P320" s="68"/>
      <c r="Q320" s="66"/>
      <c r="R320" s="61"/>
    </row>
    <row r="321" spans="1:18" ht="24" hidden="1" customHeight="1" x14ac:dyDescent="0.3">
      <c r="A321" s="12" t="s">
        <v>545</v>
      </c>
      <c r="B321" s="60"/>
      <c r="C321" s="68"/>
      <c r="D321" s="69"/>
      <c r="E321" s="62"/>
      <c r="F321" s="68"/>
      <c r="G321" s="68"/>
      <c r="H321" s="68"/>
      <c r="I321" s="63"/>
      <c r="J321" s="63">
        <f t="shared" si="44"/>
        <v>0</v>
      </c>
      <c r="K321" s="63">
        <f t="shared" si="45"/>
        <v>0</v>
      </c>
      <c r="L321" s="64"/>
      <c r="M321" s="65"/>
      <c r="N321" s="64">
        <f t="shared" si="46"/>
        <v>0</v>
      </c>
      <c r="O321" s="66"/>
      <c r="P321" s="68"/>
      <c r="Q321" s="66"/>
      <c r="R321" s="61"/>
    </row>
    <row r="322" spans="1:18" ht="24" hidden="1" customHeight="1" x14ac:dyDescent="0.3">
      <c r="A322" s="12" t="s">
        <v>546</v>
      </c>
      <c r="B322" s="60"/>
      <c r="C322" s="68"/>
      <c r="D322" s="69"/>
      <c r="E322" s="62"/>
      <c r="F322" s="68"/>
      <c r="G322" s="68"/>
      <c r="H322" s="68"/>
      <c r="I322" s="63"/>
      <c r="J322" s="63">
        <f t="shared" si="44"/>
        <v>0</v>
      </c>
      <c r="K322" s="63">
        <f t="shared" si="45"/>
        <v>0</v>
      </c>
      <c r="L322" s="64"/>
      <c r="M322" s="65"/>
      <c r="N322" s="64">
        <f t="shared" si="46"/>
        <v>0</v>
      </c>
      <c r="O322" s="66"/>
      <c r="P322" s="68"/>
      <c r="Q322" s="66"/>
      <c r="R322" s="69"/>
    </row>
    <row r="323" spans="1:18" ht="24" hidden="1" customHeight="1" x14ac:dyDescent="0.3">
      <c r="A323" s="12" t="s">
        <v>547</v>
      </c>
      <c r="B323" s="60"/>
      <c r="C323" s="68"/>
      <c r="D323" s="69"/>
      <c r="E323" s="62"/>
      <c r="F323" s="68"/>
      <c r="G323" s="68"/>
      <c r="H323" s="68"/>
      <c r="I323" s="63"/>
      <c r="J323" s="63">
        <f t="shared" si="44"/>
        <v>0</v>
      </c>
      <c r="K323" s="63">
        <f t="shared" si="45"/>
        <v>0</v>
      </c>
      <c r="L323" s="64"/>
      <c r="M323" s="65"/>
      <c r="N323" s="64">
        <f t="shared" si="46"/>
        <v>0</v>
      </c>
      <c r="O323" s="66"/>
      <c r="P323" s="68"/>
      <c r="Q323" s="66"/>
      <c r="R323" s="69"/>
    </row>
    <row r="324" spans="1:18" ht="24" hidden="1" customHeight="1" x14ac:dyDescent="0.3">
      <c r="A324" s="12" t="s">
        <v>548</v>
      </c>
      <c r="B324" s="60"/>
      <c r="C324" s="68"/>
      <c r="D324" s="69"/>
      <c r="E324" s="62"/>
      <c r="F324" s="68"/>
      <c r="G324" s="68"/>
      <c r="H324" s="68"/>
      <c r="I324" s="63"/>
      <c r="J324" s="63">
        <f t="shared" si="44"/>
        <v>0</v>
      </c>
      <c r="K324" s="63">
        <f t="shared" si="45"/>
        <v>0</v>
      </c>
      <c r="L324" s="64"/>
      <c r="M324" s="65"/>
      <c r="N324" s="64">
        <f t="shared" si="46"/>
        <v>0</v>
      </c>
      <c r="O324" s="66"/>
      <c r="P324" s="68"/>
      <c r="Q324" s="66"/>
      <c r="R324" s="61"/>
    </row>
    <row r="325" spans="1:18" ht="24" hidden="1" customHeight="1" x14ac:dyDescent="0.3">
      <c r="A325" s="12" t="s">
        <v>549</v>
      </c>
      <c r="B325" s="60"/>
      <c r="C325" s="68"/>
      <c r="D325" s="69"/>
      <c r="E325" s="69"/>
      <c r="F325" s="68"/>
      <c r="G325" s="68"/>
      <c r="H325" s="68"/>
      <c r="I325" s="63"/>
      <c r="J325" s="63">
        <f t="shared" si="44"/>
        <v>0</v>
      </c>
      <c r="K325" s="63">
        <f t="shared" si="45"/>
        <v>0</v>
      </c>
      <c r="L325" s="64"/>
      <c r="M325" s="65"/>
      <c r="N325" s="64">
        <f t="shared" si="46"/>
        <v>0</v>
      </c>
      <c r="O325" s="66"/>
      <c r="P325" s="68"/>
      <c r="Q325" s="66"/>
      <c r="R325" s="61"/>
    </row>
    <row r="326" spans="1:18" ht="24" hidden="1" customHeight="1" x14ac:dyDescent="0.3">
      <c r="A326" s="12" t="s">
        <v>550</v>
      </c>
      <c r="B326" s="60"/>
      <c r="C326" s="68"/>
      <c r="D326" s="69"/>
      <c r="E326" s="62"/>
      <c r="F326" s="68"/>
      <c r="G326" s="68"/>
      <c r="H326" s="68"/>
      <c r="I326" s="63"/>
      <c r="J326" s="63">
        <f t="shared" si="44"/>
        <v>0</v>
      </c>
      <c r="K326" s="63">
        <f t="shared" si="45"/>
        <v>0</v>
      </c>
      <c r="L326" s="64"/>
      <c r="M326" s="65"/>
      <c r="N326" s="64">
        <f t="shared" si="46"/>
        <v>0</v>
      </c>
      <c r="O326" s="66"/>
      <c r="P326" s="68"/>
      <c r="Q326" s="66"/>
      <c r="R326" s="61"/>
    </row>
    <row r="327" spans="1:18" ht="24" hidden="1" customHeight="1" x14ac:dyDescent="0.3">
      <c r="A327" s="12" t="s">
        <v>551</v>
      </c>
      <c r="B327" s="60"/>
      <c r="C327" s="68"/>
      <c r="D327" s="69"/>
      <c r="E327" s="62"/>
      <c r="F327" s="68"/>
      <c r="G327" s="68"/>
      <c r="H327" s="68"/>
      <c r="I327" s="63"/>
      <c r="J327" s="63">
        <f t="shared" si="44"/>
        <v>0</v>
      </c>
      <c r="K327" s="63">
        <f t="shared" si="45"/>
        <v>0</v>
      </c>
      <c r="L327" s="64"/>
      <c r="M327" s="65"/>
      <c r="N327" s="64">
        <f t="shared" si="46"/>
        <v>0</v>
      </c>
      <c r="O327" s="66"/>
      <c r="P327" s="68"/>
      <c r="Q327" s="66"/>
      <c r="R327" s="61"/>
    </row>
    <row r="328" spans="1:18" ht="24" hidden="1" customHeight="1" x14ac:dyDescent="0.3">
      <c r="A328" s="12" t="s">
        <v>552</v>
      </c>
      <c r="B328" s="60"/>
      <c r="C328" s="68"/>
      <c r="D328" s="69"/>
      <c r="E328" s="62"/>
      <c r="F328" s="68"/>
      <c r="G328" s="68"/>
      <c r="H328" s="68"/>
      <c r="I328" s="63"/>
      <c r="J328" s="63">
        <f t="shared" si="44"/>
        <v>0</v>
      </c>
      <c r="K328" s="63">
        <f t="shared" si="45"/>
        <v>0</v>
      </c>
      <c r="L328" s="64"/>
      <c r="M328" s="65"/>
      <c r="N328" s="64">
        <f t="shared" si="46"/>
        <v>0</v>
      </c>
      <c r="O328" s="66"/>
      <c r="P328" s="68"/>
      <c r="Q328" s="66"/>
      <c r="R328" s="61"/>
    </row>
    <row r="329" spans="1:18" ht="24" hidden="1" customHeight="1" x14ac:dyDescent="0.3">
      <c r="A329" s="12" t="s">
        <v>553</v>
      </c>
      <c r="B329" s="60"/>
      <c r="C329" s="68"/>
      <c r="D329" s="69"/>
      <c r="E329" s="62"/>
      <c r="F329" s="68"/>
      <c r="G329" s="68"/>
      <c r="H329" s="68"/>
      <c r="I329" s="63"/>
      <c r="J329" s="63">
        <f t="shared" si="44"/>
        <v>0</v>
      </c>
      <c r="K329" s="63">
        <f t="shared" si="45"/>
        <v>0</v>
      </c>
      <c r="L329" s="64"/>
      <c r="M329" s="65"/>
      <c r="N329" s="64">
        <f t="shared" si="46"/>
        <v>0</v>
      </c>
      <c r="O329" s="66"/>
      <c r="P329" s="68"/>
      <c r="Q329" s="66"/>
      <c r="R329" s="69"/>
    </row>
    <row r="330" spans="1:18" ht="24" hidden="1" customHeight="1" x14ac:dyDescent="0.3">
      <c r="A330" s="12" t="s">
        <v>554</v>
      </c>
      <c r="B330" s="60"/>
      <c r="C330" s="68"/>
      <c r="D330" s="69"/>
      <c r="E330" s="62"/>
      <c r="F330" s="68"/>
      <c r="G330" s="68"/>
      <c r="H330" s="68"/>
      <c r="I330" s="63"/>
      <c r="J330" s="63">
        <f t="shared" si="44"/>
        <v>0</v>
      </c>
      <c r="K330" s="63">
        <f t="shared" si="45"/>
        <v>0</v>
      </c>
      <c r="L330" s="64"/>
      <c r="M330" s="65"/>
      <c r="N330" s="64">
        <f t="shared" si="46"/>
        <v>0</v>
      </c>
      <c r="O330" s="66"/>
      <c r="P330" s="68"/>
      <c r="Q330" s="66"/>
      <c r="R330" s="69"/>
    </row>
    <row r="331" spans="1:18" ht="24" hidden="1" customHeight="1" x14ac:dyDescent="0.3">
      <c r="A331" s="12" t="s">
        <v>555</v>
      </c>
      <c r="B331" s="60"/>
      <c r="C331" s="68"/>
      <c r="D331" s="69"/>
      <c r="E331" s="62"/>
      <c r="F331" s="69"/>
      <c r="G331" s="68"/>
      <c r="H331" s="68"/>
      <c r="I331" s="63"/>
      <c r="J331" s="63">
        <f t="shared" ref="J331:J345" si="47">SUM(I331*0.2)</f>
        <v>0</v>
      </c>
      <c r="K331" s="63">
        <f t="shared" ref="K331:K345" si="48">SUM(I331+J331)</f>
        <v>0</v>
      </c>
      <c r="L331" s="64"/>
      <c r="M331" s="65"/>
      <c r="N331" s="64">
        <f t="shared" ref="N331:N345" si="49">SUM(L331*M331)</f>
        <v>0</v>
      </c>
      <c r="O331" s="66"/>
      <c r="P331" s="68"/>
      <c r="Q331" s="66"/>
      <c r="R331" s="61"/>
    </row>
    <row r="332" spans="1:18" ht="24" hidden="1" customHeight="1" x14ac:dyDescent="0.3">
      <c r="A332" s="12" t="s">
        <v>556</v>
      </c>
      <c r="B332" s="60"/>
      <c r="C332" s="68"/>
      <c r="D332" s="69"/>
      <c r="E332" s="62"/>
      <c r="F332" s="68"/>
      <c r="G332" s="68"/>
      <c r="H332" s="68"/>
      <c r="I332" s="63"/>
      <c r="J332" s="63">
        <f t="shared" si="47"/>
        <v>0</v>
      </c>
      <c r="K332" s="63">
        <f t="shared" si="48"/>
        <v>0</v>
      </c>
      <c r="L332" s="64"/>
      <c r="M332" s="65"/>
      <c r="N332" s="64">
        <f t="shared" si="49"/>
        <v>0</v>
      </c>
      <c r="O332" s="66"/>
      <c r="P332" s="62"/>
      <c r="Q332" s="66"/>
      <c r="R332" s="69"/>
    </row>
    <row r="333" spans="1:18" ht="24" hidden="1" customHeight="1" x14ac:dyDescent="0.3">
      <c r="A333" s="12" t="s">
        <v>557</v>
      </c>
      <c r="B333" s="60"/>
      <c r="C333" s="68"/>
      <c r="D333" s="69"/>
      <c r="E333" s="62"/>
      <c r="F333" s="68"/>
      <c r="G333" s="68"/>
      <c r="H333" s="68"/>
      <c r="I333" s="63"/>
      <c r="J333" s="63">
        <f t="shared" si="47"/>
        <v>0</v>
      </c>
      <c r="K333" s="63">
        <f t="shared" si="48"/>
        <v>0</v>
      </c>
      <c r="L333" s="64"/>
      <c r="M333" s="65"/>
      <c r="N333" s="64">
        <f t="shared" si="49"/>
        <v>0</v>
      </c>
      <c r="O333" s="66"/>
      <c r="P333" s="62"/>
      <c r="Q333" s="66"/>
      <c r="R333" s="69"/>
    </row>
    <row r="334" spans="1:18" ht="24" hidden="1" customHeight="1" x14ac:dyDescent="0.3">
      <c r="A334" s="12" t="s">
        <v>558</v>
      </c>
      <c r="B334" s="60"/>
      <c r="C334" s="62"/>
      <c r="D334" s="62"/>
      <c r="E334" s="74"/>
      <c r="F334" s="62"/>
      <c r="G334" s="62"/>
      <c r="H334" s="75"/>
      <c r="I334" s="63"/>
      <c r="J334" s="63">
        <f t="shared" si="47"/>
        <v>0</v>
      </c>
      <c r="K334" s="63">
        <f t="shared" si="48"/>
        <v>0</v>
      </c>
      <c r="L334" s="64"/>
      <c r="M334" s="65"/>
      <c r="N334" s="64">
        <f t="shared" si="49"/>
        <v>0</v>
      </c>
      <c r="O334" s="76"/>
      <c r="P334" s="62"/>
      <c r="Q334" s="66"/>
      <c r="R334" s="69"/>
    </row>
    <row r="335" spans="1:18" ht="24" hidden="1" customHeight="1" x14ac:dyDescent="0.3">
      <c r="A335" s="12" t="s">
        <v>559</v>
      </c>
      <c r="B335" s="60"/>
      <c r="C335" s="69"/>
      <c r="D335" s="69"/>
      <c r="E335" s="69"/>
      <c r="F335" s="69"/>
      <c r="G335" s="69"/>
      <c r="H335" s="68"/>
      <c r="I335" s="63"/>
      <c r="J335" s="63">
        <f t="shared" si="47"/>
        <v>0</v>
      </c>
      <c r="K335" s="63">
        <f t="shared" si="48"/>
        <v>0</v>
      </c>
      <c r="L335" s="64"/>
      <c r="M335" s="65"/>
      <c r="N335" s="64">
        <f t="shared" si="49"/>
        <v>0</v>
      </c>
      <c r="O335" s="76"/>
      <c r="P335" s="62"/>
      <c r="Q335" s="66"/>
      <c r="R335" s="69"/>
    </row>
    <row r="336" spans="1:18" ht="24" hidden="1" customHeight="1" x14ac:dyDescent="0.3">
      <c r="A336" s="12" t="s">
        <v>560</v>
      </c>
      <c r="B336" s="60"/>
      <c r="C336" s="68"/>
      <c r="D336" s="69"/>
      <c r="E336" s="62"/>
      <c r="F336" s="68"/>
      <c r="G336" s="68"/>
      <c r="H336" s="68"/>
      <c r="I336" s="63"/>
      <c r="J336" s="63">
        <f t="shared" si="47"/>
        <v>0</v>
      </c>
      <c r="K336" s="63">
        <f t="shared" si="48"/>
        <v>0</v>
      </c>
      <c r="L336" s="64"/>
      <c r="M336" s="65"/>
      <c r="N336" s="64">
        <f t="shared" si="49"/>
        <v>0</v>
      </c>
      <c r="O336" s="66"/>
      <c r="P336" s="68"/>
      <c r="Q336" s="66"/>
      <c r="R336" s="69"/>
    </row>
    <row r="337" spans="1:18" ht="24" hidden="1" customHeight="1" x14ac:dyDescent="0.3">
      <c r="A337" s="12" t="s">
        <v>561</v>
      </c>
      <c r="B337" s="60"/>
      <c r="C337" s="68"/>
      <c r="D337" s="69"/>
      <c r="E337" s="62"/>
      <c r="F337" s="68"/>
      <c r="G337" s="68"/>
      <c r="H337" s="68"/>
      <c r="I337" s="63"/>
      <c r="J337" s="63">
        <f t="shared" si="47"/>
        <v>0</v>
      </c>
      <c r="K337" s="63">
        <f t="shared" si="48"/>
        <v>0</v>
      </c>
      <c r="L337" s="64"/>
      <c r="M337" s="65"/>
      <c r="N337" s="64">
        <f t="shared" si="49"/>
        <v>0</v>
      </c>
      <c r="O337" s="66"/>
      <c r="P337" s="68"/>
      <c r="Q337" s="66"/>
      <c r="R337" s="61"/>
    </row>
    <row r="338" spans="1:18" ht="24" hidden="1" customHeight="1" x14ac:dyDescent="0.3">
      <c r="A338" s="12" t="s">
        <v>562</v>
      </c>
      <c r="B338" s="60"/>
      <c r="C338" s="68"/>
      <c r="D338" s="69"/>
      <c r="E338" s="62"/>
      <c r="F338" s="68"/>
      <c r="G338" s="68"/>
      <c r="H338" s="68"/>
      <c r="I338" s="63"/>
      <c r="J338" s="63">
        <f t="shared" si="47"/>
        <v>0</v>
      </c>
      <c r="K338" s="63">
        <f t="shared" si="48"/>
        <v>0</v>
      </c>
      <c r="L338" s="64"/>
      <c r="M338" s="65"/>
      <c r="N338" s="64">
        <f t="shared" si="49"/>
        <v>0</v>
      </c>
      <c r="O338" s="66"/>
      <c r="P338" s="68"/>
      <c r="Q338" s="66"/>
      <c r="R338" s="61"/>
    </row>
    <row r="339" spans="1:18" ht="24" hidden="1" customHeight="1" x14ac:dyDescent="0.3">
      <c r="A339" s="12" t="s">
        <v>563</v>
      </c>
      <c r="B339" s="60"/>
      <c r="C339" s="69"/>
      <c r="D339" s="69"/>
      <c r="E339" s="62"/>
      <c r="F339" s="69"/>
      <c r="G339" s="69"/>
      <c r="H339" s="69"/>
      <c r="I339" s="39"/>
      <c r="J339" s="63">
        <f t="shared" si="47"/>
        <v>0</v>
      </c>
      <c r="K339" s="63">
        <f t="shared" si="48"/>
        <v>0</v>
      </c>
      <c r="L339" s="64"/>
      <c r="M339" s="65"/>
      <c r="N339" s="64">
        <f t="shared" si="49"/>
        <v>0</v>
      </c>
      <c r="O339" s="66"/>
      <c r="P339" s="68"/>
      <c r="Q339" s="66"/>
      <c r="R339" s="69"/>
    </row>
    <row r="340" spans="1:18" ht="24" hidden="1" customHeight="1" x14ac:dyDescent="0.3">
      <c r="A340" s="12" t="s">
        <v>564</v>
      </c>
      <c r="B340" s="60"/>
      <c r="C340" s="69"/>
      <c r="D340" s="69"/>
      <c r="E340" s="62"/>
      <c r="F340" s="69"/>
      <c r="G340" s="69"/>
      <c r="H340" s="69"/>
      <c r="I340" s="39"/>
      <c r="J340" s="63">
        <f t="shared" si="47"/>
        <v>0</v>
      </c>
      <c r="K340" s="63">
        <f t="shared" si="48"/>
        <v>0</v>
      </c>
      <c r="L340" s="64"/>
      <c r="M340" s="65"/>
      <c r="N340" s="64">
        <f t="shared" si="49"/>
        <v>0</v>
      </c>
      <c r="O340" s="66"/>
      <c r="P340" s="68"/>
      <c r="Q340" s="66"/>
      <c r="R340" s="69"/>
    </row>
    <row r="341" spans="1:18" ht="24" hidden="1" customHeight="1" x14ac:dyDescent="0.3">
      <c r="A341" s="12" t="s">
        <v>565</v>
      </c>
      <c r="B341" s="60"/>
      <c r="C341" s="68"/>
      <c r="D341" s="69"/>
      <c r="E341" s="62"/>
      <c r="F341" s="68"/>
      <c r="G341" s="68"/>
      <c r="H341" s="68"/>
      <c r="I341" s="63"/>
      <c r="J341" s="63">
        <f t="shared" si="47"/>
        <v>0</v>
      </c>
      <c r="K341" s="63">
        <f t="shared" si="48"/>
        <v>0</v>
      </c>
      <c r="L341" s="64"/>
      <c r="M341" s="65"/>
      <c r="N341" s="64">
        <f t="shared" si="49"/>
        <v>0</v>
      </c>
      <c r="O341" s="66"/>
      <c r="P341" s="68"/>
      <c r="Q341" s="66"/>
      <c r="R341" s="69"/>
    </row>
    <row r="342" spans="1:18" ht="24" hidden="1" customHeight="1" x14ac:dyDescent="0.3">
      <c r="A342" s="12" t="s">
        <v>566</v>
      </c>
      <c r="B342" s="60"/>
      <c r="C342" s="68"/>
      <c r="D342" s="69"/>
      <c r="E342" s="62"/>
      <c r="F342" s="68"/>
      <c r="G342" s="68"/>
      <c r="H342" s="68"/>
      <c r="I342" s="63"/>
      <c r="J342" s="63">
        <f t="shared" si="47"/>
        <v>0</v>
      </c>
      <c r="K342" s="63">
        <f t="shared" si="48"/>
        <v>0</v>
      </c>
      <c r="L342" s="64"/>
      <c r="M342" s="65"/>
      <c r="N342" s="64">
        <f t="shared" si="49"/>
        <v>0</v>
      </c>
      <c r="O342" s="66"/>
      <c r="P342" s="62"/>
      <c r="Q342" s="66"/>
      <c r="R342" s="61"/>
    </row>
    <row r="343" spans="1:18" ht="24" hidden="1" customHeight="1" x14ac:dyDescent="0.3">
      <c r="A343" s="12" t="s">
        <v>567</v>
      </c>
      <c r="B343" s="78"/>
      <c r="C343" s="48"/>
      <c r="D343" s="46"/>
      <c r="E343" s="48"/>
      <c r="F343" s="48"/>
      <c r="G343" s="48"/>
      <c r="H343" s="48"/>
      <c r="I343" s="63"/>
      <c r="J343" s="63">
        <f t="shared" si="47"/>
        <v>0</v>
      </c>
      <c r="K343" s="63">
        <f t="shared" si="48"/>
        <v>0</v>
      </c>
      <c r="L343" s="64"/>
      <c r="M343" s="65"/>
      <c r="N343" s="64">
        <f t="shared" si="49"/>
        <v>0</v>
      </c>
      <c r="O343" s="66"/>
      <c r="P343" s="62"/>
      <c r="Q343" s="66"/>
      <c r="R343" s="61"/>
    </row>
    <row r="344" spans="1:18" ht="24" hidden="1" customHeight="1" x14ac:dyDescent="0.3">
      <c r="A344" s="12" t="s">
        <v>568</v>
      </c>
      <c r="B344" s="60"/>
      <c r="C344" s="68"/>
      <c r="D344" s="69"/>
      <c r="E344" s="62"/>
      <c r="F344" s="68"/>
      <c r="G344" s="68"/>
      <c r="H344" s="68"/>
      <c r="I344" s="63"/>
      <c r="J344" s="63">
        <f t="shared" si="47"/>
        <v>0</v>
      </c>
      <c r="K344" s="63">
        <f t="shared" si="48"/>
        <v>0</v>
      </c>
      <c r="L344" s="64"/>
      <c r="M344" s="65"/>
      <c r="N344" s="64">
        <f t="shared" si="49"/>
        <v>0</v>
      </c>
      <c r="O344" s="66"/>
      <c r="P344" s="62"/>
      <c r="Q344" s="66"/>
      <c r="R344" s="61"/>
    </row>
    <row r="345" spans="1:18" ht="24" hidden="1" customHeight="1" x14ac:dyDescent="0.3">
      <c r="A345" s="12" t="s">
        <v>569</v>
      </c>
      <c r="B345" s="60"/>
      <c r="C345" s="69"/>
      <c r="D345" s="69"/>
      <c r="E345" s="69"/>
      <c r="F345" s="69"/>
      <c r="G345" s="69"/>
      <c r="H345" s="68"/>
      <c r="I345" s="63"/>
      <c r="J345" s="63">
        <f t="shared" si="47"/>
        <v>0</v>
      </c>
      <c r="K345" s="63">
        <f t="shared" si="48"/>
        <v>0</v>
      </c>
      <c r="L345" s="64"/>
      <c r="M345" s="65"/>
      <c r="N345" s="64">
        <f t="shared" si="49"/>
        <v>0</v>
      </c>
      <c r="O345" s="66"/>
      <c r="P345" s="62"/>
      <c r="Q345" s="66"/>
      <c r="R345" s="69"/>
    </row>
    <row r="346" spans="1:18" ht="24" hidden="1" customHeight="1" x14ac:dyDescent="0.3">
      <c r="A346" s="12" t="s">
        <v>570</v>
      </c>
      <c r="B346" s="60"/>
      <c r="C346" s="62"/>
      <c r="D346" s="61"/>
      <c r="E346" s="62"/>
      <c r="F346" s="62"/>
      <c r="G346" s="62"/>
      <c r="H346" s="62"/>
      <c r="I346" s="63"/>
      <c r="J346" s="63">
        <f t="shared" ref="J346:J352" si="50">SUM(I346*0.2)</f>
        <v>0</v>
      </c>
      <c r="K346" s="63">
        <f t="shared" ref="K346:K352" si="51">SUM(I346+J346)</f>
        <v>0</v>
      </c>
      <c r="L346" s="64"/>
      <c r="M346" s="65"/>
      <c r="N346" s="64">
        <f t="shared" ref="N346:N367" si="52">SUM(L346*M346)</f>
        <v>0</v>
      </c>
      <c r="O346" s="66"/>
      <c r="P346" s="62"/>
      <c r="Q346" s="66"/>
      <c r="R346" s="61"/>
    </row>
    <row r="347" spans="1:18" ht="24" hidden="1" customHeight="1" x14ac:dyDescent="0.3">
      <c r="A347" s="12" t="s">
        <v>571</v>
      </c>
      <c r="B347" s="60"/>
      <c r="C347" s="62"/>
      <c r="D347" s="61"/>
      <c r="E347" s="62"/>
      <c r="F347" s="62"/>
      <c r="G347" s="62"/>
      <c r="H347" s="62"/>
      <c r="I347" s="63"/>
      <c r="J347" s="63">
        <f t="shared" si="50"/>
        <v>0</v>
      </c>
      <c r="K347" s="63">
        <f t="shared" si="51"/>
        <v>0</v>
      </c>
      <c r="L347" s="64"/>
      <c r="M347" s="65"/>
      <c r="N347" s="64">
        <f t="shared" si="52"/>
        <v>0</v>
      </c>
      <c r="O347" s="66"/>
      <c r="P347" s="62"/>
      <c r="Q347" s="66"/>
      <c r="R347" s="61"/>
    </row>
    <row r="348" spans="1:18" ht="24" hidden="1" customHeight="1" x14ac:dyDescent="0.3">
      <c r="A348" s="12" t="s">
        <v>572</v>
      </c>
      <c r="B348" s="60"/>
      <c r="C348" s="62"/>
      <c r="D348" s="61"/>
      <c r="E348" s="62"/>
      <c r="F348" s="62"/>
      <c r="G348" s="62"/>
      <c r="H348" s="62"/>
      <c r="I348" s="63"/>
      <c r="J348" s="63">
        <f t="shared" si="50"/>
        <v>0</v>
      </c>
      <c r="K348" s="63">
        <f t="shared" si="51"/>
        <v>0</v>
      </c>
      <c r="L348" s="64"/>
      <c r="M348" s="65"/>
      <c r="N348" s="64">
        <f t="shared" si="52"/>
        <v>0</v>
      </c>
      <c r="O348" s="66"/>
      <c r="P348" s="62"/>
      <c r="Q348" s="66"/>
      <c r="R348" s="61"/>
    </row>
    <row r="349" spans="1:18" ht="24" hidden="1" customHeight="1" x14ac:dyDescent="0.3">
      <c r="A349" s="12" t="s">
        <v>573</v>
      </c>
      <c r="B349" s="60"/>
      <c r="C349" s="62"/>
      <c r="D349" s="61"/>
      <c r="E349" s="62"/>
      <c r="F349" s="62"/>
      <c r="G349" s="62"/>
      <c r="H349" s="62"/>
      <c r="I349" s="63"/>
      <c r="J349" s="63">
        <f t="shared" si="50"/>
        <v>0</v>
      </c>
      <c r="K349" s="63">
        <f t="shared" si="51"/>
        <v>0</v>
      </c>
      <c r="L349" s="64"/>
      <c r="M349" s="65"/>
      <c r="N349" s="64">
        <f t="shared" si="52"/>
        <v>0</v>
      </c>
      <c r="O349" s="66"/>
      <c r="P349" s="62"/>
      <c r="Q349" s="66"/>
      <c r="R349" s="61"/>
    </row>
    <row r="350" spans="1:18" ht="24" hidden="1" customHeight="1" x14ac:dyDescent="0.3">
      <c r="A350" s="12" t="s">
        <v>574</v>
      </c>
      <c r="B350" s="60"/>
      <c r="C350" s="62"/>
      <c r="D350" s="61"/>
      <c r="E350" s="62"/>
      <c r="F350" s="62"/>
      <c r="G350" s="62"/>
      <c r="H350" s="62"/>
      <c r="I350" s="63"/>
      <c r="J350" s="63">
        <f t="shared" si="50"/>
        <v>0</v>
      </c>
      <c r="K350" s="63">
        <f t="shared" si="51"/>
        <v>0</v>
      </c>
      <c r="L350" s="64"/>
      <c r="M350" s="65"/>
      <c r="N350" s="64">
        <f t="shared" si="52"/>
        <v>0</v>
      </c>
      <c r="O350" s="66"/>
      <c r="P350" s="62"/>
      <c r="Q350" s="66"/>
      <c r="R350" s="61"/>
    </row>
    <row r="351" spans="1:18" ht="24" hidden="1" customHeight="1" x14ac:dyDescent="0.3">
      <c r="A351" s="12" t="s">
        <v>575</v>
      </c>
      <c r="B351" s="60"/>
      <c r="C351" s="62"/>
      <c r="D351" s="61"/>
      <c r="E351" s="62"/>
      <c r="F351" s="62"/>
      <c r="G351" s="62"/>
      <c r="H351" s="62"/>
      <c r="I351" s="63"/>
      <c r="J351" s="63">
        <f t="shared" si="50"/>
        <v>0</v>
      </c>
      <c r="K351" s="63">
        <f t="shared" si="51"/>
        <v>0</v>
      </c>
      <c r="L351" s="64"/>
      <c r="M351" s="65"/>
      <c r="N351" s="64">
        <f t="shared" si="52"/>
        <v>0</v>
      </c>
      <c r="O351" s="66"/>
      <c r="P351" s="62"/>
      <c r="Q351" s="66"/>
      <c r="R351" s="61"/>
    </row>
    <row r="352" spans="1:18" ht="24" hidden="1" customHeight="1" x14ac:dyDescent="0.3">
      <c r="A352" s="12" t="s">
        <v>576</v>
      </c>
      <c r="B352" s="60"/>
      <c r="C352" s="62"/>
      <c r="D352" s="61"/>
      <c r="E352" s="62"/>
      <c r="F352" s="62"/>
      <c r="G352" s="62"/>
      <c r="H352" s="62"/>
      <c r="I352" s="63"/>
      <c r="J352" s="63">
        <f t="shared" si="50"/>
        <v>0</v>
      </c>
      <c r="K352" s="63">
        <f t="shared" si="51"/>
        <v>0</v>
      </c>
      <c r="L352" s="64"/>
      <c r="M352" s="65"/>
      <c r="N352" s="64">
        <f t="shared" si="52"/>
        <v>0</v>
      </c>
      <c r="O352" s="66"/>
      <c r="P352" s="62"/>
      <c r="Q352" s="66"/>
      <c r="R352" s="61"/>
    </row>
    <row r="353" spans="1:18" ht="24" hidden="1" customHeight="1" x14ac:dyDescent="0.3">
      <c r="A353" s="12" t="s">
        <v>577</v>
      </c>
      <c r="B353" s="60"/>
      <c r="C353" s="62"/>
      <c r="D353" s="61"/>
      <c r="E353" s="62"/>
      <c r="F353" s="62"/>
      <c r="G353" s="62"/>
      <c r="H353" s="62"/>
      <c r="I353" s="63"/>
      <c r="J353" s="63">
        <f t="shared" ref="J353:J372" si="53">SUM(I353*0.2)</f>
        <v>0</v>
      </c>
      <c r="K353" s="63">
        <f t="shared" ref="K353:K372" si="54">SUM(I353+J353)</f>
        <v>0</v>
      </c>
      <c r="L353" s="64"/>
      <c r="M353" s="65"/>
      <c r="N353" s="64">
        <f t="shared" si="52"/>
        <v>0</v>
      </c>
      <c r="O353" s="66"/>
      <c r="P353" s="62"/>
      <c r="Q353" s="66"/>
      <c r="R353" s="61"/>
    </row>
    <row r="354" spans="1:18" ht="24" hidden="1" customHeight="1" x14ac:dyDescent="0.3">
      <c r="A354" s="12" t="s">
        <v>578</v>
      </c>
      <c r="B354" s="60"/>
      <c r="C354" s="62"/>
      <c r="D354" s="61"/>
      <c r="E354" s="62"/>
      <c r="F354" s="62"/>
      <c r="G354" s="62"/>
      <c r="H354" s="62"/>
      <c r="I354" s="63"/>
      <c r="J354" s="63">
        <f t="shared" si="53"/>
        <v>0</v>
      </c>
      <c r="K354" s="63">
        <f t="shared" si="54"/>
        <v>0</v>
      </c>
      <c r="L354" s="64"/>
      <c r="M354" s="65"/>
      <c r="N354" s="64">
        <f t="shared" si="52"/>
        <v>0</v>
      </c>
      <c r="O354" s="66"/>
      <c r="P354" s="62"/>
      <c r="Q354" s="66"/>
      <c r="R354" s="61"/>
    </row>
    <row r="355" spans="1:18" ht="24" hidden="1" customHeight="1" x14ac:dyDescent="0.3">
      <c r="A355" s="12" t="s">
        <v>579</v>
      </c>
      <c r="B355" s="60"/>
      <c r="C355" s="62"/>
      <c r="D355" s="61"/>
      <c r="E355" s="62"/>
      <c r="F355" s="62"/>
      <c r="G355" s="62"/>
      <c r="H355" s="62"/>
      <c r="I355" s="63"/>
      <c r="J355" s="63">
        <f t="shared" si="53"/>
        <v>0</v>
      </c>
      <c r="K355" s="63">
        <f t="shared" si="54"/>
        <v>0</v>
      </c>
      <c r="L355" s="64"/>
      <c r="M355" s="65"/>
      <c r="N355" s="64">
        <f t="shared" si="52"/>
        <v>0</v>
      </c>
      <c r="O355" s="66"/>
      <c r="P355" s="62"/>
      <c r="Q355" s="66"/>
      <c r="R355" s="61"/>
    </row>
    <row r="356" spans="1:18" ht="24" hidden="1" customHeight="1" x14ac:dyDescent="0.3">
      <c r="A356" s="12" t="s">
        <v>580</v>
      </c>
      <c r="B356" s="60"/>
      <c r="C356" s="62"/>
      <c r="D356" s="61"/>
      <c r="E356" s="62"/>
      <c r="F356" s="62"/>
      <c r="G356" s="62"/>
      <c r="H356" s="62"/>
      <c r="I356" s="63"/>
      <c r="J356" s="63">
        <f t="shared" si="53"/>
        <v>0</v>
      </c>
      <c r="K356" s="63">
        <f t="shared" si="54"/>
        <v>0</v>
      </c>
      <c r="L356" s="64"/>
      <c r="M356" s="65"/>
      <c r="N356" s="64">
        <f t="shared" si="52"/>
        <v>0</v>
      </c>
      <c r="O356" s="66"/>
      <c r="P356" s="62"/>
      <c r="Q356" s="66"/>
      <c r="R356" s="61"/>
    </row>
    <row r="357" spans="1:18" ht="24" hidden="1" customHeight="1" x14ac:dyDescent="0.3">
      <c r="A357" s="12" t="s">
        <v>581</v>
      </c>
      <c r="B357" s="60"/>
      <c r="C357" s="62"/>
      <c r="D357" s="61"/>
      <c r="E357" s="62"/>
      <c r="F357" s="62"/>
      <c r="G357" s="62"/>
      <c r="H357" s="62"/>
      <c r="I357" s="63"/>
      <c r="J357" s="63">
        <f t="shared" si="53"/>
        <v>0</v>
      </c>
      <c r="K357" s="63">
        <f t="shared" si="54"/>
        <v>0</v>
      </c>
      <c r="L357" s="64"/>
      <c r="M357" s="65"/>
      <c r="N357" s="64">
        <f t="shared" si="52"/>
        <v>0</v>
      </c>
      <c r="O357" s="66"/>
      <c r="P357" s="62"/>
      <c r="Q357" s="66"/>
      <c r="R357" s="61"/>
    </row>
    <row r="358" spans="1:18" ht="24" hidden="1" customHeight="1" x14ac:dyDescent="0.3">
      <c r="A358" s="12" t="s">
        <v>582</v>
      </c>
      <c r="B358" s="60"/>
      <c r="C358" s="62"/>
      <c r="D358" s="61"/>
      <c r="E358" s="62"/>
      <c r="F358" s="62"/>
      <c r="G358" s="62"/>
      <c r="H358" s="62"/>
      <c r="I358" s="63"/>
      <c r="J358" s="63">
        <f t="shared" si="53"/>
        <v>0</v>
      </c>
      <c r="K358" s="63">
        <f t="shared" si="54"/>
        <v>0</v>
      </c>
      <c r="L358" s="64"/>
      <c r="M358" s="65"/>
      <c r="N358" s="64">
        <f t="shared" si="52"/>
        <v>0</v>
      </c>
      <c r="O358" s="66"/>
      <c r="P358" s="62"/>
      <c r="Q358" s="66"/>
      <c r="R358" s="61"/>
    </row>
    <row r="359" spans="1:18" ht="24" hidden="1" customHeight="1" x14ac:dyDescent="0.3">
      <c r="A359" s="12" t="s">
        <v>583</v>
      </c>
      <c r="B359" s="60"/>
      <c r="C359" s="62"/>
      <c r="D359" s="61"/>
      <c r="E359" s="62"/>
      <c r="F359" s="62"/>
      <c r="G359" s="62"/>
      <c r="H359" s="62"/>
      <c r="I359" s="63"/>
      <c r="J359" s="63">
        <f t="shared" si="53"/>
        <v>0</v>
      </c>
      <c r="K359" s="63">
        <f t="shared" si="54"/>
        <v>0</v>
      </c>
      <c r="L359" s="64"/>
      <c r="M359" s="65"/>
      <c r="N359" s="64">
        <f t="shared" si="52"/>
        <v>0</v>
      </c>
      <c r="O359" s="66"/>
      <c r="P359" s="62"/>
      <c r="Q359" s="66"/>
      <c r="R359" s="61"/>
    </row>
    <row r="360" spans="1:18" ht="24" hidden="1" customHeight="1" x14ac:dyDescent="0.3">
      <c r="A360" s="12" t="s">
        <v>584</v>
      </c>
      <c r="B360" s="60"/>
      <c r="C360" s="62"/>
      <c r="D360" s="61"/>
      <c r="E360" s="62"/>
      <c r="F360" s="62"/>
      <c r="G360" s="62"/>
      <c r="H360" s="62"/>
      <c r="I360" s="63"/>
      <c r="J360" s="63">
        <f t="shared" si="53"/>
        <v>0</v>
      </c>
      <c r="K360" s="63">
        <f t="shared" si="54"/>
        <v>0</v>
      </c>
      <c r="L360" s="64"/>
      <c r="M360" s="65"/>
      <c r="N360" s="64">
        <f t="shared" si="52"/>
        <v>0</v>
      </c>
      <c r="O360" s="66"/>
      <c r="P360" s="62"/>
      <c r="Q360" s="66"/>
      <c r="R360" s="61"/>
    </row>
    <row r="361" spans="1:18" ht="24" hidden="1" customHeight="1" x14ac:dyDescent="0.3">
      <c r="A361" s="12" t="s">
        <v>585</v>
      </c>
      <c r="B361" s="60"/>
      <c r="C361" s="62"/>
      <c r="D361" s="61"/>
      <c r="E361" s="62"/>
      <c r="F361" s="62"/>
      <c r="G361" s="62"/>
      <c r="H361" s="62"/>
      <c r="I361" s="63"/>
      <c r="J361" s="63">
        <f t="shared" si="53"/>
        <v>0</v>
      </c>
      <c r="K361" s="63">
        <f t="shared" si="54"/>
        <v>0</v>
      </c>
      <c r="L361" s="64"/>
      <c r="M361" s="65"/>
      <c r="N361" s="64">
        <f t="shared" si="52"/>
        <v>0</v>
      </c>
      <c r="O361" s="66"/>
      <c r="P361" s="62"/>
      <c r="Q361" s="66"/>
      <c r="R361" s="61"/>
    </row>
    <row r="362" spans="1:18" ht="24" hidden="1" customHeight="1" x14ac:dyDescent="0.3">
      <c r="A362" s="12" t="s">
        <v>586</v>
      </c>
      <c r="B362" s="60"/>
      <c r="C362" s="62"/>
      <c r="D362" s="61"/>
      <c r="E362" s="62"/>
      <c r="F362" s="62"/>
      <c r="G362" s="62"/>
      <c r="H362" s="62"/>
      <c r="I362" s="63"/>
      <c r="J362" s="63">
        <f t="shared" si="53"/>
        <v>0</v>
      </c>
      <c r="K362" s="63">
        <f t="shared" si="54"/>
        <v>0</v>
      </c>
      <c r="L362" s="64"/>
      <c r="M362" s="65"/>
      <c r="N362" s="64">
        <f t="shared" si="52"/>
        <v>0</v>
      </c>
      <c r="O362" s="66"/>
      <c r="P362" s="62"/>
      <c r="Q362" s="66"/>
      <c r="R362" s="61"/>
    </row>
    <row r="363" spans="1:18" ht="24" hidden="1" customHeight="1" x14ac:dyDescent="0.3">
      <c r="A363" s="12" t="s">
        <v>587</v>
      </c>
      <c r="B363" s="60"/>
      <c r="C363" s="62"/>
      <c r="D363" s="61"/>
      <c r="E363" s="62"/>
      <c r="F363" s="62"/>
      <c r="G363" s="62"/>
      <c r="H363" s="62"/>
      <c r="I363" s="63"/>
      <c r="J363" s="63">
        <f t="shared" si="53"/>
        <v>0</v>
      </c>
      <c r="K363" s="63">
        <f t="shared" si="54"/>
        <v>0</v>
      </c>
      <c r="L363" s="64"/>
      <c r="M363" s="65"/>
      <c r="N363" s="64">
        <f t="shared" si="52"/>
        <v>0</v>
      </c>
      <c r="O363" s="66"/>
      <c r="P363" s="62"/>
      <c r="Q363" s="66"/>
      <c r="R363" s="61"/>
    </row>
    <row r="364" spans="1:18" ht="24" hidden="1" customHeight="1" x14ac:dyDescent="0.3">
      <c r="A364" s="12" t="s">
        <v>588</v>
      </c>
      <c r="B364" s="60"/>
      <c r="C364" s="62"/>
      <c r="D364" s="61"/>
      <c r="E364" s="62"/>
      <c r="F364" s="62"/>
      <c r="G364" s="62"/>
      <c r="H364" s="62"/>
      <c r="I364" s="63"/>
      <c r="J364" s="63">
        <f t="shared" si="53"/>
        <v>0</v>
      </c>
      <c r="K364" s="63">
        <f t="shared" si="54"/>
        <v>0</v>
      </c>
      <c r="L364" s="64"/>
      <c r="M364" s="65"/>
      <c r="N364" s="64">
        <f t="shared" si="52"/>
        <v>0</v>
      </c>
      <c r="O364" s="66"/>
      <c r="P364" s="62"/>
      <c r="Q364" s="66"/>
      <c r="R364" s="61"/>
    </row>
    <row r="365" spans="1:18" ht="24" hidden="1" customHeight="1" x14ac:dyDescent="0.3">
      <c r="A365" s="12" t="s">
        <v>589</v>
      </c>
      <c r="B365" s="60"/>
      <c r="C365" s="62"/>
      <c r="D365" s="61"/>
      <c r="E365" s="62"/>
      <c r="F365" s="62"/>
      <c r="G365" s="62"/>
      <c r="H365" s="62"/>
      <c r="I365" s="63"/>
      <c r="J365" s="63">
        <f t="shared" si="53"/>
        <v>0</v>
      </c>
      <c r="K365" s="63">
        <f t="shared" si="54"/>
        <v>0</v>
      </c>
      <c r="L365" s="64"/>
      <c r="M365" s="65"/>
      <c r="N365" s="64">
        <f t="shared" si="52"/>
        <v>0</v>
      </c>
      <c r="O365" s="66"/>
      <c r="P365" s="62"/>
      <c r="Q365" s="66"/>
      <c r="R365" s="61"/>
    </row>
    <row r="366" spans="1:18" ht="24" hidden="1" customHeight="1" x14ac:dyDescent="0.3">
      <c r="A366" s="12" t="s">
        <v>590</v>
      </c>
      <c r="B366" s="60"/>
      <c r="C366" s="62"/>
      <c r="D366" s="61"/>
      <c r="E366" s="62"/>
      <c r="F366" s="62"/>
      <c r="G366" s="62"/>
      <c r="H366" s="62"/>
      <c r="I366" s="63"/>
      <c r="J366" s="63">
        <f t="shared" si="53"/>
        <v>0</v>
      </c>
      <c r="K366" s="63">
        <f t="shared" si="54"/>
        <v>0</v>
      </c>
      <c r="L366" s="64"/>
      <c r="M366" s="65"/>
      <c r="N366" s="64">
        <f t="shared" si="52"/>
        <v>0</v>
      </c>
      <c r="O366" s="66"/>
      <c r="P366" s="62"/>
      <c r="Q366" s="66"/>
      <c r="R366" s="61"/>
    </row>
    <row r="367" spans="1:18" ht="24" hidden="1" customHeight="1" x14ac:dyDescent="0.3">
      <c r="A367" s="12" t="s">
        <v>591</v>
      </c>
      <c r="B367" s="60"/>
      <c r="C367" s="62"/>
      <c r="D367" s="61"/>
      <c r="E367" s="62"/>
      <c r="F367" s="62"/>
      <c r="G367" s="62"/>
      <c r="H367" s="62"/>
      <c r="I367" s="63"/>
      <c r="J367" s="63">
        <f t="shared" si="53"/>
        <v>0</v>
      </c>
      <c r="K367" s="63">
        <f t="shared" si="54"/>
        <v>0</v>
      </c>
      <c r="L367" s="64"/>
      <c r="M367" s="65"/>
      <c r="N367" s="64">
        <f t="shared" si="52"/>
        <v>0</v>
      </c>
      <c r="O367" s="66"/>
      <c r="P367" s="62"/>
      <c r="Q367" s="66"/>
      <c r="R367" s="61"/>
    </row>
    <row r="368" spans="1:18" ht="24" hidden="1" customHeight="1" x14ac:dyDescent="0.3">
      <c r="A368" s="12" t="s">
        <v>592</v>
      </c>
      <c r="B368" s="60"/>
      <c r="C368" s="62"/>
      <c r="D368" s="61"/>
      <c r="E368" s="62"/>
      <c r="F368" s="62"/>
      <c r="G368" s="62"/>
      <c r="H368" s="62"/>
      <c r="I368" s="63"/>
      <c r="J368" s="63">
        <f t="shared" si="53"/>
        <v>0</v>
      </c>
      <c r="K368" s="63">
        <f t="shared" si="54"/>
        <v>0</v>
      </c>
      <c r="L368" s="64"/>
      <c r="M368" s="65"/>
      <c r="N368" s="64">
        <f t="shared" ref="N368:N372" si="55">SUM(L368*M368)</f>
        <v>0</v>
      </c>
      <c r="O368" s="66"/>
      <c r="P368" s="62"/>
      <c r="Q368" s="66"/>
      <c r="R368" s="61"/>
    </row>
    <row r="369" spans="1:18" ht="24" hidden="1" customHeight="1" x14ac:dyDescent="0.3">
      <c r="A369" s="12" t="s">
        <v>593</v>
      </c>
      <c r="B369" s="60"/>
      <c r="C369" s="62"/>
      <c r="D369" s="61"/>
      <c r="E369" s="62"/>
      <c r="F369" s="62"/>
      <c r="G369" s="62"/>
      <c r="H369" s="62"/>
      <c r="I369" s="63"/>
      <c r="J369" s="63">
        <f t="shared" si="53"/>
        <v>0</v>
      </c>
      <c r="K369" s="63">
        <f t="shared" si="54"/>
        <v>0</v>
      </c>
      <c r="L369" s="64"/>
      <c r="M369" s="65"/>
      <c r="N369" s="64">
        <f t="shared" si="55"/>
        <v>0</v>
      </c>
      <c r="O369" s="66"/>
      <c r="P369" s="62"/>
      <c r="Q369" s="66"/>
      <c r="R369" s="61"/>
    </row>
    <row r="370" spans="1:18" ht="24" hidden="1" customHeight="1" x14ac:dyDescent="0.3">
      <c r="A370" s="12" t="s">
        <v>594</v>
      </c>
      <c r="B370" s="60"/>
      <c r="C370" s="62"/>
      <c r="D370" s="61"/>
      <c r="E370" s="62"/>
      <c r="F370" s="62"/>
      <c r="G370" s="62"/>
      <c r="H370" s="62"/>
      <c r="I370" s="63"/>
      <c r="J370" s="63">
        <f t="shared" si="53"/>
        <v>0</v>
      </c>
      <c r="K370" s="63">
        <f t="shared" si="54"/>
        <v>0</v>
      </c>
      <c r="L370" s="64"/>
      <c r="M370" s="65"/>
      <c r="N370" s="64">
        <f t="shared" si="55"/>
        <v>0</v>
      </c>
      <c r="O370" s="66"/>
      <c r="P370" s="62"/>
      <c r="Q370" s="66"/>
      <c r="R370" s="61"/>
    </row>
    <row r="371" spans="1:18" ht="24" hidden="1" customHeight="1" x14ac:dyDescent="0.3">
      <c r="A371" s="12" t="s">
        <v>595</v>
      </c>
      <c r="B371" s="60"/>
      <c r="C371" s="62"/>
      <c r="D371" s="61"/>
      <c r="E371" s="62"/>
      <c r="F371" s="62"/>
      <c r="G371" s="62"/>
      <c r="H371" s="62"/>
      <c r="I371" s="63"/>
      <c r="J371" s="63">
        <f t="shared" si="53"/>
        <v>0</v>
      </c>
      <c r="K371" s="63">
        <f t="shared" si="54"/>
        <v>0</v>
      </c>
      <c r="L371" s="64"/>
      <c r="M371" s="65"/>
      <c r="N371" s="64">
        <f t="shared" si="55"/>
        <v>0</v>
      </c>
      <c r="O371" s="66"/>
      <c r="P371" s="62"/>
      <c r="Q371" s="66"/>
      <c r="R371" s="61"/>
    </row>
    <row r="372" spans="1:18" ht="31.2" hidden="1" customHeight="1" x14ac:dyDescent="0.3">
      <c r="A372" s="12" t="s">
        <v>596</v>
      </c>
      <c r="B372" s="60"/>
      <c r="C372" s="62"/>
      <c r="D372" s="61"/>
      <c r="E372" s="62"/>
      <c r="F372" s="62"/>
      <c r="G372" s="62"/>
      <c r="H372" s="62"/>
      <c r="I372" s="63"/>
      <c r="J372" s="63">
        <f t="shared" si="53"/>
        <v>0</v>
      </c>
      <c r="K372" s="63">
        <f t="shared" si="54"/>
        <v>0</v>
      </c>
      <c r="L372" s="64"/>
      <c r="M372" s="65"/>
      <c r="N372" s="64">
        <f t="shared" si="55"/>
        <v>0</v>
      </c>
      <c r="O372" s="66"/>
      <c r="P372" s="62"/>
      <c r="Q372" s="66"/>
      <c r="R372" s="61"/>
    </row>
    <row r="373" spans="1:18" x14ac:dyDescent="0.3">
      <c r="A373" s="127" t="s">
        <v>1923</v>
      </c>
      <c r="B373" s="127" t="s">
        <v>1923</v>
      </c>
      <c r="C373" s="127" t="s">
        <v>1923</v>
      </c>
      <c r="D373" s="127" t="s">
        <v>1923</v>
      </c>
      <c r="E373" s="127" t="s">
        <v>1923</v>
      </c>
      <c r="F373" s="127" t="s">
        <v>1923</v>
      </c>
      <c r="G373" s="127" t="s">
        <v>1923</v>
      </c>
      <c r="H373" s="127" t="s">
        <v>1923</v>
      </c>
      <c r="I373" s="127" t="s">
        <v>1923</v>
      </c>
      <c r="J373" s="127" t="s">
        <v>1923</v>
      </c>
      <c r="K373" s="127" t="s">
        <v>1923</v>
      </c>
      <c r="L373" s="127" t="s">
        <v>1923</v>
      </c>
      <c r="M373" s="127" t="s">
        <v>1923</v>
      </c>
      <c r="N373" s="127" t="s">
        <v>1923</v>
      </c>
      <c r="O373" s="196" t="s">
        <v>1924</v>
      </c>
      <c r="R373" s="127"/>
    </row>
    <row r="374" spans="1:18" x14ac:dyDescent="0.3">
      <c r="A374" s="127" t="s">
        <v>1926</v>
      </c>
      <c r="E374" s="127"/>
      <c r="I374" s="54">
        <v>213</v>
      </c>
      <c r="N374" s="127"/>
      <c r="O374" s="127" t="s">
        <v>1924</v>
      </c>
      <c r="R374" s="187" t="s">
        <v>1925</v>
      </c>
    </row>
    <row r="375" spans="1:18" x14ac:dyDescent="0.3">
      <c r="A375" s="187"/>
      <c r="B375" s="127"/>
      <c r="E375" s="187"/>
      <c r="F375" s="127"/>
      <c r="O375" s="187"/>
      <c r="R375" s="187"/>
    </row>
    <row r="376" spans="1:18" x14ac:dyDescent="0.3">
      <c r="A376" s="127"/>
      <c r="B376" s="187"/>
      <c r="E376" s="187"/>
      <c r="F376" s="187"/>
      <c r="I376" s="187"/>
      <c r="J376" s="187"/>
      <c r="O376" s="187"/>
      <c r="R376" s="187"/>
    </row>
    <row r="377" spans="1:18" x14ac:dyDescent="0.3">
      <c r="A377" s="127"/>
      <c r="E377" s="187"/>
      <c r="I377" s="188"/>
      <c r="O377" s="187"/>
      <c r="R377" s="187"/>
    </row>
    <row r="378" spans="1:18" x14ac:dyDescent="0.3">
      <c r="A378" s="127"/>
      <c r="E378" s="187"/>
      <c r="I378" s="187"/>
      <c r="O378" s="187"/>
      <c r="R378" s="187"/>
    </row>
    <row r="379" spans="1:18" x14ac:dyDescent="0.3">
      <c r="A379" s="127"/>
      <c r="E379" s="187"/>
      <c r="I379" s="187"/>
      <c r="O379" s="187"/>
      <c r="R379" s="187"/>
    </row>
    <row r="380" spans="1:18" x14ac:dyDescent="0.3">
      <c r="A380" s="127"/>
      <c r="C380" s="127"/>
      <c r="E380" s="127"/>
      <c r="H380" s="127"/>
      <c r="I380" s="187"/>
      <c r="O380" s="127"/>
      <c r="R380" s="187"/>
    </row>
    <row r="381" spans="1:18" x14ac:dyDescent="0.3">
      <c r="A381" s="127"/>
      <c r="E381" s="127"/>
      <c r="I381" s="187"/>
      <c r="O381" s="127"/>
      <c r="R381" s="187"/>
    </row>
    <row r="382" spans="1:18" x14ac:dyDescent="0.3">
      <c r="A382" s="127"/>
      <c r="E382" s="127"/>
      <c r="I382" s="187"/>
      <c r="O382" s="127"/>
      <c r="R382" s="187"/>
    </row>
    <row r="383" spans="1:18" x14ac:dyDescent="0.3">
      <c r="A383" s="127"/>
    </row>
    <row r="384" spans="1:18" x14ac:dyDescent="0.3">
      <c r="A384" s="127"/>
    </row>
    <row r="385" spans="1:5" x14ac:dyDescent="0.3">
      <c r="A385" s="127"/>
      <c r="E385" s="127"/>
    </row>
    <row r="386" spans="1:5" x14ac:dyDescent="0.3">
      <c r="A386" s="127"/>
    </row>
    <row r="387" spans="1:5" x14ac:dyDescent="0.3">
      <c r="A387" s="127"/>
    </row>
    <row r="388" spans="1:5" x14ac:dyDescent="0.3">
      <c r="A388" s="127"/>
    </row>
    <row r="389" spans="1:5" x14ac:dyDescent="0.3">
      <c r="A389" s="127"/>
    </row>
    <row r="390" spans="1:5" x14ac:dyDescent="0.3">
      <c r="A390" s="127"/>
    </row>
    <row r="391" spans="1:5" x14ac:dyDescent="0.3">
      <c r="A391" s="127"/>
    </row>
    <row r="392" spans="1:5" x14ac:dyDescent="0.3">
      <c r="A392" s="127"/>
    </row>
    <row r="393" spans="1:5" x14ac:dyDescent="0.3">
      <c r="A393" s="127"/>
    </row>
    <row r="394" spans="1:5" x14ac:dyDescent="0.3">
      <c r="A394" s="127"/>
    </row>
    <row r="395" spans="1:5" x14ac:dyDescent="0.3">
      <c r="A395" s="127"/>
    </row>
    <row r="396" spans="1:5" x14ac:dyDescent="0.3">
      <c r="A396" s="127"/>
    </row>
    <row r="397" spans="1:5" x14ac:dyDescent="0.3">
      <c r="A397" s="127"/>
    </row>
    <row r="398" spans="1:5" x14ac:dyDescent="0.3">
      <c r="A398" s="127"/>
    </row>
    <row r="399" spans="1:5" x14ac:dyDescent="0.3">
      <c r="A399" s="127"/>
    </row>
    <row r="400" spans="1:5" x14ac:dyDescent="0.3">
      <c r="A400" s="127"/>
    </row>
    <row r="401" spans="1:1" x14ac:dyDescent="0.3">
      <c r="A401" s="127"/>
    </row>
    <row r="402" spans="1:1" x14ac:dyDescent="0.3">
      <c r="A402" s="127"/>
    </row>
    <row r="403" spans="1:1" x14ac:dyDescent="0.3">
      <c r="A403" s="127"/>
    </row>
    <row r="404" spans="1:1" x14ac:dyDescent="0.3">
      <c r="A404" s="127"/>
    </row>
    <row r="405" spans="1:1" x14ac:dyDescent="0.3">
      <c r="A405" s="127"/>
    </row>
    <row r="406" spans="1:1" x14ac:dyDescent="0.3">
      <c r="A406" s="127"/>
    </row>
    <row r="407" spans="1:1" x14ac:dyDescent="0.3">
      <c r="A407" s="127"/>
    </row>
    <row r="408" spans="1:1" x14ac:dyDescent="0.3">
      <c r="A408" s="127"/>
    </row>
    <row r="409" spans="1:1" x14ac:dyDescent="0.3">
      <c r="A409" s="127"/>
    </row>
    <row r="410" spans="1:1" x14ac:dyDescent="0.3">
      <c r="A410" s="127"/>
    </row>
    <row r="411" spans="1:1" x14ac:dyDescent="0.3">
      <c r="A411" s="127"/>
    </row>
    <row r="412" spans="1:1" x14ac:dyDescent="0.3">
      <c r="A412" s="127"/>
    </row>
    <row r="413" spans="1:1" x14ac:dyDescent="0.3">
      <c r="A413" s="127"/>
    </row>
    <row r="414" spans="1:1" x14ac:dyDescent="0.3">
      <c r="A414" s="127"/>
    </row>
  </sheetData>
  <autoFilter ref="A9:R372" xr:uid="{94BD5D23-805A-4765-BBD1-A45703E4E159}">
    <filterColumn colId="2">
      <filters>
        <filter val="SNCF"/>
      </filters>
    </filterColumn>
  </autoFilter>
  <mergeCells count="7">
    <mergeCell ref="T240:T241"/>
    <mergeCell ref="T242:T243"/>
    <mergeCell ref="T244:T245"/>
    <mergeCell ref="A3:P3"/>
    <mergeCell ref="T236:T237"/>
    <mergeCell ref="T238:T239"/>
    <mergeCell ref="D5:M6"/>
  </mergeCells>
  <phoneticPr fontId="26" type="noConversion"/>
  <conditionalFormatting sqref="P9">
    <cfRule type="containsText" dxfId="4" priority="894" operator="containsText" text="Statut">
      <formula>NOT(ISERROR(SEARCH("Statut",P9)))</formula>
    </cfRule>
  </conditionalFormatting>
  <conditionalFormatting sqref="P246:P247 P195:P198 P258:P262 P269:P270 P272:P273 P299 P322:P325 P329:P330 P332:P337 P341:P343 P171:P173 P175:P183 P200:P205 P208:P210 P213 P216:P221 P159:P161 P142:P143 P123 P109:P111 P90:P100 P74:P85 P71:P72 P67 P38:P54 P1:P11 P346:P1048576">
    <cfRule type="cellIs" dxfId="3" priority="889" operator="equal">
      <formula>"a envoyé"</formula>
    </cfRule>
    <cfRule type="cellIs" dxfId="2" priority="890" operator="equal">
      <formula>"avoir"</formula>
    </cfRule>
    <cfRule type="cellIs" dxfId="1" priority="891" operator="equal">
      <formula>"envoyé"</formula>
    </cfRule>
    <cfRule type="cellIs" dxfId="0" priority="892" operator="equal">
      <formula>"payé"</formula>
    </cfRule>
  </conditionalFormatting>
  <conditionalFormatting sqref="P35">
    <cfRule type="cellIs" dxfId="396" priority="753" operator="equal">
      <formula>"a envoyé"</formula>
    </cfRule>
    <cfRule type="cellIs" dxfId="395" priority="754" operator="equal">
      <formula>"avoir"</formula>
    </cfRule>
    <cfRule type="cellIs" dxfId="394" priority="755" operator="equal">
      <formula>"envoyé"</formula>
    </cfRule>
    <cfRule type="cellIs" dxfId="393" priority="756" operator="equal">
      <formula>"payé"</formula>
    </cfRule>
  </conditionalFormatting>
  <conditionalFormatting sqref="P63:P64">
    <cfRule type="cellIs" dxfId="392" priority="717" operator="equal">
      <formula>"a envoyé"</formula>
    </cfRule>
    <cfRule type="cellIs" dxfId="391" priority="718" operator="equal">
      <formula>"avoir"</formula>
    </cfRule>
    <cfRule type="cellIs" dxfId="390" priority="719" operator="equal">
      <formula>"envoyé"</formula>
    </cfRule>
    <cfRule type="cellIs" dxfId="389" priority="720" operator="equal">
      <formula>"payé"</formula>
    </cfRule>
  </conditionalFormatting>
  <conditionalFormatting sqref="P65">
    <cfRule type="cellIs" dxfId="388" priority="713" operator="equal">
      <formula>"a envoyé"</formula>
    </cfRule>
    <cfRule type="cellIs" dxfId="387" priority="714" operator="equal">
      <formula>"avoir"</formula>
    </cfRule>
    <cfRule type="cellIs" dxfId="386" priority="715" operator="equal">
      <formula>"envoyé"</formula>
    </cfRule>
    <cfRule type="cellIs" dxfId="385" priority="716" operator="equal">
      <formula>"payé"</formula>
    </cfRule>
  </conditionalFormatting>
  <conditionalFormatting sqref="P68">
    <cfRule type="cellIs" dxfId="384" priority="705" operator="equal">
      <formula>"a envoyé"</formula>
    </cfRule>
    <cfRule type="cellIs" dxfId="383" priority="706" operator="equal">
      <formula>"avoir"</formula>
    </cfRule>
    <cfRule type="cellIs" dxfId="382" priority="707" operator="equal">
      <formula>"envoyé"</formula>
    </cfRule>
    <cfRule type="cellIs" dxfId="381" priority="708" operator="equal">
      <formula>"payé"</formula>
    </cfRule>
  </conditionalFormatting>
  <conditionalFormatting sqref="P128:P133">
    <cfRule type="cellIs" dxfId="380" priority="637" operator="equal">
      <formula>"a envoyé"</formula>
    </cfRule>
    <cfRule type="cellIs" dxfId="379" priority="638" operator="equal">
      <formula>"avoir"</formula>
    </cfRule>
    <cfRule type="cellIs" dxfId="378" priority="639" operator="equal">
      <formula>"envoyé"</formula>
    </cfRule>
    <cfRule type="cellIs" dxfId="377" priority="640" operator="equal">
      <formula>"payé"</formula>
    </cfRule>
  </conditionalFormatting>
  <conditionalFormatting sqref="P134:P138">
    <cfRule type="cellIs" dxfId="376" priority="633" operator="equal">
      <formula>"a envoyé"</formula>
    </cfRule>
    <cfRule type="cellIs" dxfId="375" priority="634" operator="equal">
      <formula>"avoir"</formula>
    </cfRule>
    <cfRule type="cellIs" dxfId="374" priority="635" operator="equal">
      <formula>"envoyé"</formula>
    </cfRule>
    <cfRule type="cellIs" dxfId="373" priority="636" operator="equal">
      <formula>"payé"</formula>
    </cfRule>
  </conditionalFormatting>
  <conditionalFormatting sqref="P140:P141">
    <cfRule type="cellIs" dxfId="372" priority="625" operator="equal">
      <formula>"a envoyé"</formula>
    </cfRule>
    <cfRule type="cellIs" dxfId="371" priority="626" operator="equal">
      <formula>"avoir"</formula>
    </cfRule>
    <cfRule type="cellIs" dxfId="370" priority="627" operator="equal">
      <formula>"envoyé"</formula>
    </cfRule>
    <cfRule type="cellIs" dxfId="369" priority="628" operator="equal">
      <formula>"payé"</formula>
    </cfRule>
  </conditionalFormatting>
  <conditionalFormatting sqref="P150:P151">
    <cfRule type="cellIs" dxfId="368" priority="609" operator="equal">
      <formula>"a envoyé"</formula>
    </cfRule>
    <cfRule type="cellIs" dxfId="367" priority="610" operator="equal">
      <formula>"avoir"</formula>
    </cfRule>
    <cfRule type="cellIs" dxfId="366" priority="611" operator="equal">
      <formula>"envoyé"</formula>
    </cfRule>
    <cfRule type="cellIs" dxfId="365" priority="612" operator="equal">
      <formula>"payé"</formula>
    </cfRule>
  </conditionalFormatting>
  <conditionalFormatting sqref="P152">
    <cfRule type="cellIs" dxfId="364" priority="605" operator="equal">
      <formula>"a envoyé"</formula>
    </cfRule>
    <cfRule type="cellIs" dxfId="363" priority="606" operator="equal">
      <formula>"avoir"</formula>
    </cfRule>
    <cfRule type="cellIs" dxfId="362" priority="607" operator="equal">
      <formula>"envoyé"</formula>
    </cfRule>
    <cfRule type="cellIs" dxfId="361" priority="608" operator="equal">
      <formula>"payé"</formula>
    </cfRule>
  </conditionalFormatting>
  <conditionalFormatting sqref="P153:P156">
    <cfRule type="cellIs" dxfId="360" priority="601" operator="equal">
      <formula>"a envoyé"</formula>
    </cfRule>
    <cfRule type="cellIs" dxfId="359" priority="602" operator="equal">
      <formula>"avoir"</formula>
    </cfRule>
    <cfRule type="cellIs" dxfId="358" priority="603" operator="equal">
      <formula>"envoyé"</formula>
    </cfRule>
    <cfRule type="cellIs" dxfId="357" priority="604" operator="equal">
      <formula>"payé"</formula>
    </cfRule>
  </conditionalFormatting>
  <conditionalFormatting sqref="P165:P170">
    <cfRule type="cellIs" dxfId="356" priority="581" operator="equal">
      <formula>"a envoyé"</formula>
    </cfRule>
    <cfRule type="cellIs" dxfId="355" priority="582" operator="equal">
      <formula>"avoir"</formula>
    </cfRule>
    <cfRule type="cellIs" dxfId="354" priority="583" operator="equal">
      <formula>"envoyé"</formula>
    </cfRule>
    <cfRule type="cellIs" dxfId="353" priority="584" operator="equal">
      <formula>"payé"</formula>
    </cfRule>
  </conditionalFormatting>
  <conditionalFormatting sqref="P184:P194">
    <cfRule type="cellIs" dxfId="352" priority="573" operator="equal">
      <formula>"a envoyé"</formula>
    </cfRule>
    <cfRule type="cellIs" dxfId="351" priority="574" operator="equal">
      <formula>"avoir"</formula>
    </cfRule>
    <cfRule type="cellIs" dxfId="350" priority="575" operator="equal">
      <formula>"envoyé"</formula>
    </cfRule>
    <cfRule type="cellIs" dxfId="349" priority="576" operator="equal">
      <formula>"payé"</formula>
    </cfRule>
  </conditionalFormatting>
  <conditionalFormatting sqref="P215">
    <cfRule type="cellIs" dxfId="348" priority="517" operator="equal">
      <formula>"a envoyé"</formula>
    </cfRule>
    <cfRule type="cellIs" dxfId="347" priority="518" operator="equal">
      <formula>"avoir"</formula>
    </cfRule>
    <cfRule type="cellIs" dxfId="346" priority="519" operator="equal">
      <formula>"envoyé"</formula>
    </cfRule>
    <cfRule type="cellIs" dxfId="345" priority="520" operator="equal">
      <formula>"payé"</formula>
    </cfRule>
  </conditionalFormatting>
  <conditionalFormatting sqref="P222:P229">
    <cfRule type="cellIs" dxfId="344" priority="505" operator="equal">
      <formula>"a envoyé"</formula>
    </cfRule>
    <cfRule type="cellIs" dxfId="343" priority="506" operator="equal">
      <formula>"avoir"</formula>
    </cfRule>
    <cfRule type="cellIs" dxfId="342" priority="507" operator="equal">
      <formula>"envoyé"</formula>
    </cfRule>
    <cfRule type="cellIs" dxfId="341" priority="508" operator="equal">
      <formula>"payé"</formula>
    </cfRule>
  </conditionalFormatting>
  <conditionalFormatting sqref="P230 P243">
    <cfRule type="cellIs" dxfId="340" priority="497" operator="equal">
      <formula>"a envoyé"</formula>
    </cfRule>
    <cfRule type="cellIs" dxfId="339" priority="498" operator="equal">
      <formula>"avoir"</formula>
    </cfRule>
    <cfRule type="cellIs" dxfId="338" priority="499" operator="equal">
      <formula>"envoyé"</formula>
    </cfRule>
    <cfRule type="cellIs" dxfId="337" priority="500" operator="equal">
      <formula>"payé"</formula>
    </cfRule>
  </conditionalFormatting>
  <conditionalFormatting sqref="P231:P233">
    <cfRule type="cellIs" dxfId="336" priority="493" operator="equal">
      <formula>"a envoyé"</formula>
    </cfRule>
    <cfRule type="cellIs" dxfId="335" priority="494" operator="equal">
      <formula>"avoir"</formula>
    </cfRule>
    <cfRule type="cellIs" dxfId="334" priority="495" operator="equal">
      <formula>"envoyé"</formula>
    </cfRule>
    <cfRule type="cellIs" dxfId="333" priority="496" operator="equal">
      <formula>"payé"</formula>
    </cfRule>
  </conditionalFormatting>
  <conditionalFormatting sqref="P234:P240">
    <cfRule type="cellIs" dxfId="332" priority="489" operator="equal">
      <formula>"a envoyé"</formula>
    </cfRule>
    <cfRule type="cellIs" dxfId="331" priority="490" operator="equal">
      <formula>"avoir"</formula>
    </cfRule>
    <cfRule type="cellIs" dxfId="330" priority="491" operator="equal">
      <formula>"envoyé"</formula>
    </cfRule>
    <cfRule type="cellIs" dxfId="329" priority="492" operator="equal">
      <formula>"payé"</formula>
    </cfRule>
  </conditionalFormatting>
  <conditionalFormatting sqref="P241:P242">
    <cfRule type="cellIs" dxfId="328" priority="481" operator="equal">
      <formula>"a envoyé"</formula>
    </cfRule>
    <cfRule type="cellIs" dxfId="327" priority="482" operator="equal">
      <formula>"avoir"</formula>
    </cfRule>
    <cfRule type="cellIs" dxfId="326" priority="483" operator="equal">
      <formula>"envoyé"</formula>
    </cfRule>
    <cfRule type="cellIs" dxfId="325" priority="484" operator="equal">
      <formula>"payé"</formula>
    </cfRule>
  </conditionalFormatting>
  <conditionalFormatting sqref="P244">
    <cfRule type="cellIs" dxfId="324" priority="477" operator="equal">
      <formula>"a envoyé"</formula>
    </cfRule>
    <cfRule type="cellIs" dxfId="323" priority="478" operator="equal">
      <formula>"avoir"</formula>
    </cfRule>
    <cfRule type="cellIs" dxfId="322" priority="479" operator="equal">
      <formula>"envoyé"</formula>
    </cfRule>
    <cfRule type="cellIs" dxfId="321" priority="480" operator="equal">
      <formula>"payé"</formula>
    </cfRule>
  </conditionalFormatting>
  <conditionalFormatting sqref="P245">
    <cfRule type="cellIs" dxfId="320" priority="473" operator="equal">
      <formula>"a envoyé"</formula>
    </cfRule>
    <cfRule type="cellIs" dxfId="319" priority="474" operator="equal">
      <formula>"avoir"</formula>
    </cfRule>
    <cfRule type="cellIs" dxfId="318" priority="475" operator="equal">
      <formula>"envoyé"</formula>
    </cfRule>
    <cfRule type="cellIs" dxfId="317" priority="476" operator="equal">
      <formula>"payé"</formula>
    </cfRule>
  </conditionalFormatting>
  <conditionalFormatting sqref="P248:P251">
    <cfRule type="cellIs" dxfId="316" priority="469" operator="equal">
      <formula>"a envoyé"</formula>
    </cfRule>
    <cfRule type="cellIs" dxfId="315" priority="470" operator="equal">
      <formula>"avoir"</formula>
    </cfRule>
    <cfRule type="cellIs" dxfId="314" priority="471" operator="equal">
      <formula>"envoyé"</formula>
    </cfRule>
    <cfRule type="cellIs" dxfId="313" priority="472" operator="equal">
      <formula>"payé"</formula>
    </cfRule>
  </conditionalFormatting>
  <conditionalFormatting sqref="P252:P253">
    <cfRule type="cellIs" dxfId="312" priority="465" operator="equal">
      <formula>"a envoyé"</formula>
    </cfRule>
    <cfRule type="cellIs" dxfId="311" priority="466" operator="equal">
      <formula>"avoir"</formula>
    </cfRule>
    <cfRule type="cellIs" dxfId="310" priority="467" operator="equal">
      <formula>"envoyé"</formula>
    </cfRule>
    <cfRule type="cellIs" dxfId="309" priority="468" operator="equal">
      <formula>"payé"</formula>
    </cfRule>
  </conditionalFormatting>
  <conditionalFormatting sqref="P254:P256">
    <cfRule type="cellIs" dxfId="308" priority="461" operator="equal">
      <formula>"a envoyé"</formula>
    </cfRule>
    <cfRule type="cellIs" dxfId="307" priority="462" operator="equal">
      <formula>"avoir"</formula>
    </cfRule>
    <cfRule type="cellIs" dxfId="306" priority="463" operator="equal">
      <formula>"envoyé"</formula>
    </cfRule>
    <cfRule type="cellIs" dxfId="305" priority="464" operator="equal">
      <formula>"payé"</formula>
    </cfRule>
  </conditionalFormatting>
  <conditionalFormatting sqref="P257">
    <cfRule type="cellIs" dxfId="304" priority="457" operator="equal">
      <formula>"a envoyé"</formula>
    </cfRule>
    <cfRule type="cellIs" dxfId="303" priority="458" operator="equal">
      <formula>"avoir"</formula>
    </cfRule>
    <cfRule type="cellIs" dxfId="302" priority="459" operator="equal">
      <formula>"envoyé"</formula>
    </cfRule>
    <cfRule type="cellIs" dxfId="301" priority="460" operator="equal">
      <formula>"payé"</formula>
    </cfRule>
  </conditionalFormatting>
  <conditionalFormatting sqref="P263">
    <cfRule type="cellIs" dxfId="300" priority="453" operator="equal">
      <formula>"a envoyé"</formula>
    </cfRule>
    <cfRule type="cellIs" dxfId="299" priority="454" operator="equal">
      <formula>"avoir"</formula>
    </cfRule>
    <cfRule type="cellIs" dxfId="298" priority="455" operator="equal">
      <formula>"envoyé"</formula>
    </cfRule>
    <cfRule type="cellIs" dxfId="297" priority="456" operator="equal">
      <formula>"payé"</formula>
    </cfRule>
  </conditionalFormatting>
  <conditionalFormatting sqref="P264:P268">
    <cfRule type="cellIs" dxfId="296" priority="449" operator="equal">
      <formula>"a envoyé"</formula>
    </cfRule>
    <cfRule type="cellIs" dxfId="295" priority="450" operator="equal">
      <formula>"avoir"</formula>
    </cfRule>
    <cfRule type="cellIs" dxfId="294" priority="451" operator="equal">
      <formula>"envoyé"</formula>
    </cfRule>
    <cfRule type="cellIs" dxfId="293" priority="452" operator="equal">
      <formula>"payé"</formula>
    </cfRule>
  </conditionalFormatting>
  <conditionalFormatting sqref="P271">
    <cfRule type="cellIs" dxfId="292" priority="445" operator="equal">
      <formula>"a envoyé"</formula>
    </cfRule>
    <cfRule type="cellIs" dxfId="291" priority="446" operator="equal">
      <formula>"avoir"</formula>
    </cfRule>
    <cfRule type="cellIs" dxfId="290" priority="447" operator="equal">
      <formula>"envoyé"</formula>
    </cfRule>
    <cfRule type="cellIs" dxfId="289" priority="448" operator="equal">
      <formula>"payé"</formula>
    </cfRule>
  </conditionalFormatting>
  <conditionalFormatting sqref="P274">
    <cfRule type="cellIs" dxfId="288" priority="441" operator="equal">
      <formula>"a envoyé"</formula>
    </cfRule>
    <cfRule type="cellIs" dxfId="287" priority="442" operator="equal">
      <formula>"avoir"</formula>
    </cfRule>
    <cfRule type="cellIs" dxfId="286" priority="443" operator="equal">
      <formula>"envoyé"</formula>
    </cfRule>
    <cfRule type="cellIs" dxfId="285" priority="444" operator="equal">
      <formula>"payé"</formula>
    </cfRule>
  </conditionalFormatting>
  <conditionalFormatting sqref="P275">
    <cfRule type="cellIs" dxfId="284" priority="437" operator="equal">
      <formula>"a envoyé"</formula>
    </cfRule>
    <cfRule type="cellIs" dxfId="283" priority="438" operator="equal">
      <formula>"avoir"</formula>
    </cfRule>
    <cfRule type="cellIs" dxfId="282" priority="439" operator="equal">
      <formula>"envoyé"</formula>
    </cfRule>
    <cfRule type="cellIs" dxfId="281" priority="440" operator="equal">
      <formula>"payé"</formula>
    </cfRule>
  </conditionalFormatting>
  <conditionalFormatting sqref="P276">
    <cfRule type="cellIs" dxfId="280" priority="433" operator="equal">
      <formula>"a envoyé"</formula>
    </cfRule>
    <cfRule type="cellIs" dxfId="279" priority="434" operator="equal">
      <formula>"avoir"</formula>
    </cfRule>
    <cfRule type="cellIs" dxfId="278" priority="435" operator="equal">
      <formula>"envoyé"</formula>
    </cfRule>
    <cfRule type="cellIs" dxfId="277" priority="436" operator="equal">
      <formula>"payé"</formula>
    </cfRule>
  </conditionalFormatting>
  <conditionalFormatting sqref="P277">
    <cfRule type="cellIs" dxfId="276" priority="429" operator="equal">
      <formula>"a envoyé"</formula>
    </cfRule>
    <cfRule type="cellIs" dxfId="275" priority="430" operator="equal">
      <formula>"avoir"</formula>
    </cfRule>
    <cfRule type="cellIs" dxfId="274" priority="431" operator="equal">
      <formula>"envoyé"</formula>
    </cfRule>
    <cfRule type="cellIs" dxfId="273" priority="432" operator="equal">
      <formula>"payé"</formula>
    </cfRule>
  </conditionalFormatting>
  <conditionalFormatting sqref="P278:P286">
    <cfRule type="cellIs" dxfId="272" priority="425" operator="equal">
      <formula>"a envoyé"</formula>
    </cfRule>
    <cfRule type="cellIs" dxfId="271" priority="426" operator="equal">
      <formula>"avoir"</formula>
    </cfRule>
    <cfRule type="cellIs" dxfId="270" priority="427" operator="equal">
      <formula>"envoyé"</formula>
    </cfRule>
    <cfRule type="cellIs" dxfId="269" priority="428" operator="equal">
      <formula>"payé"</formula>
    </cfRule>
  </conditionalFormatting>
  <conditionalFormatting sqref="P287:P294">
    <cfRule type="cellIs" dxfId="268" priority="421" operator="equal">
      <formula>"a envoyé"</formula>
    </cfRule>
    <cfRule type="cellIs" dxfId="267" priority="422" operator="equal">
      <formula>"avoir"</formula>
    </cfRule>
    <cfRule type="cellIs" dxfId="266" priority="423" operator="equal">
      <formula>"envoyé"</formula>
    </cfRule>
    <cfRule type="cellIs" dxfId="265" priority="424" operator="equal">
      <formula>"payé"</formula>
    </cfRule>
  </conditionalFormatting>
  <conditionalFormatting sqref="P295:P297">
    <cfRule type="cellIs" dxfId="264" priority="417" operator="equal">
      <formula>"a envoyé"</formula>
    </cfRule>
    <cfRule type="cellIs" dxfId="263" priority="418" operator="equal">
      <formula>"avoir"</formula>
    </cfRule>
    <cfRule type="cellIs" dxfId="262" priority="419" operator="equal">
      <formula>"envoyé"</formula>
    </cfRule>
    <cfRule type="cellIs" dxfId="261" priority="420" operator="equal">
      <formula>"payé"</formula>
    </cfRule>
  </conditionalFormatting>
  <conditionalFormatting sqref="P298">
    <cfRule type="cellIs" dxfId="260" priority="413" operator="equal">
      <formula>"a envoyé"</formula>
    </cfRule>
    <cfRule type="cellIs" dxfId="259" priority="414" operator="equal">
      <formula>"avoir"</formula>
    </cfRule>
    <cfRule type="cellIs" dxfId="258" priority="415" operator="equal">
      <formula>"envoyé"</formula>
    </cfRule>
    <cfRule type="cellIs" dxfId="257" priority="416" operator="equal">
      <formula>"payé"</formula>
    </cfRule>
  </conditionalFormatting>
  <conditionalFormatting sqref="P300">
    <cfRule type="cellIs" dxfId="256" priority="409" operator="equal">
      <formula>"a envoyé"</formula>
    </cfRule>
    <cfRule type="cellIs" dxfId="255" priority="410" operator="equal">
      <formula>"avoir"</formula>
    </cfRule>
    <cfRule type="cellIs" dxfId="254" priority="411" operator="equal">
      <formula>"envoyé"</formula>
    </cfRule>
    <cfRule type="cellIs" dxfId="253" priority="412" operator="equal">
      <formula>"payé"</formula>
    </cfRule>
  </conditionalFormatting>
  <conditionalFormatting sqref="P301:P302">
    <cfRule type="cellIs" dxfId="252" priority="405" operator="equal">
      <formula>"a envoyé"</formula>
    </cfRule>
    <cfRule type="cellIs" dxfId="251" priority="406" operator="equal">
      <formula>"avoir"</formula>
    </cfRule>
    <cfRule type="cellIs" dxfId="250" priority="407" operator="equal">
      <formula>"envoyé"</formula>
    </cfRule>
    <cfRule type="cellIs" dxfId="249" priority="408" operator="equal">
      <formula>"payé"</formula>
    </cfRule>
  </conditionalFormatting>
  <conditionalFormatting sqref="P303">
    <cfRule type="cellIs" dxfId="248" priority="401" operator="equal">
      <formula>"a envoyé"</formula>
    </cfRule>
    <cfRule type="cellIs" dxfId="247" priority="402" operator="equal">
      <formula>"avoir"</formula>
    </cfRule>
    <cfRule type="cellIs" dxfId="246" priority="403" operator="equal">
      <formula>"envoyé"</formula>
    </cfRule>
    <cfRule type="cellIs" dxfId="245" priority="404" operator="equal">
      <formula>"payé"</formula>
    </cfRule>
  </conditionalFormatting>
  <conditionalFormatting sqref="P304:P306">
    <cfRule type="cellIs" dxfId="244" priority="397" operator="equal">
      <formula>"a envoyé"</formula>
    </cfRule>
    <cfRule type="cellIs" dxfId="243" priority="398" operator="equal">
      <formula>"avoir"</formula>
    </cfRule>
    <cfRule type="cellIs" dxfId="242" priority="399" operator="equal">
      <formula>"envoyé"</formula>
    </cfRule>
    <cfRule type="cellIs" dxfId="241" priority="400" operator="equal">
      <formula>"payé"</formula>
    </cfRule>
  </conditionalFormatting>
  <conditionalFormatting sqref="P307:P315">
    <cfRule type="cellIs" dxfId="240" priority="393" operator="equal">
      <formula>"a envoyé"</formula>
    </cfRule>
    <cfRule type="cellIs" dxfId="239" priority="394" operator="equal">
      <formula>"avoir"</formula>
    </cfRule>
    <cfRule type="cellIs" dxfId="238" priority="395" operator="equal">
      <formula>"envoyé"</formula>
    </cfRule>
    <cfRule type="cellIs" dxfId="237" priority="396" operator="equal">
      <formula>"payé"</formula>
    </cfRule>
  </conditionalFormatting>
  <conditionalFormatting sqref="P316:P317">
    <cfRule type="cellIs" dxfId="236" priority="389" operator="equal">
      <formula>"a envoyé"</formula>
    </cfRule>
    <cfRule type="cellIs" dxfId="235" priority="390" operator="equal">
      <formula>"avoir"</formula>
    </cfRule>
    <cfRule type="cellIs" dxfId="234" priority="391" operator="equal">
      <formula>"envoyé"</formula>
    </cfRule>
    <cfRule type="cellIs" dxfId="233" priority="392" operator="equal">
      <formula>"payé"</formula>
    </cfRule>
  </conditionalFormatting>
  <conditionalFormatting sqref="P318:P320">
    <cfRule type="cellIs" dxfId="232" priority="385" operator="equal">
      <formula>"a envoyé"</formula>
    </cfRule>
    <cfRule type="cellIs" dxfId="231" priority="386" operator="equal">
      <formula>"avoir"</formula>
    </cfRule>
    <cfRule type="cellIs" dxfId="230" priority="387" operator="equal">
      <formula>"envoyé"</formula>
    </cfRule>
    <cfRule type="cellIs" dxfId="229" priority="388" operator="equal">
      <formula>"payé"</formula>
    </cfRule>
  </conditionalFormatting>
  <conditionalFormatting sqref="P321">
    <cfRule type="cellIs" dxfId="228" priority="381" operator="equal">
      <formula>"a envoyé"</formula>
    </cfRule>
    <cfRule type="cellIs" dxfId="227" priority="382" operator="equal">
      <formula>"avoir"</formula>
    </cfRule>
    <cfRule type="cellIs" dxfId="226" priority="383" operator="equal">
      <formula>"envoyé"</formula>
    </cfRule>
    <cfRule type="cellIs" dxfId="225" priority="384" operator="equal">
      <formula>"payé"</formula>
    </cfRule>
  </conditionalFormatting>
  <conditionalFormatting sqref="P326:P328">
    <cfRule type="cellIs" dxfId="224" priority="377" operator="equal">
      <formula>"a envoyé"</formula>
    </cfRule>
    <cfRule type="cellIs" dxfId="223" priority="378" operator="equal">
      <formula>"avoir"</formula>
    </cfRule>
    <cfRule type="cellIs" dxfId="222" priority="379" operator="equal">
      <formula>"envoyé"</formula>
    </cfRule>
    <cfRule type="cellIs" dxfId="221" priority="380" operator="equal">
      <formula>"payé"</formula>
    </cfRule>
  </conditionalFormatting>
  <conditionalFormatting sqref="P331">
    <cfRule type="cellIs" dxfId="220" priority="373" operator="equal">
      <formula>"a envoyé"</formula>
    </cfRule>
    <cfRule type="cellIs" dxfId="219" priority="374" operator="equal">
      <formula>"avoir"</formula>
    </cfRule>
    <cfRule type="cellIs" dxfId="218" priority="375" operator="equal">
      <formula>"envoyé"</formula>
    </cfRule>
    <cfRule type="cellIs" dxfId="217" priority="376" operator="equal">
      <formula>"payé"</formula>
    </cfRule>
  </conditionalFormatting>
  <conditionalFormatting sqref="P338">
    <cfRule type="cellIs" dxfId="216" priority="369" operator="equal">
      <formula>"a envoyé"</formula>
    </cfRule>
    <cfRule type="cellIs" dxfId="215" priority="370" operator="equal">
      <formula>"avoir"</formula>
    </cfRule>
    <cfRule type="cellIs" dxfId="214" priority="371" operator="equal">
      <formula>"envoyé"</formula>
    </cfRule>
    <cfRule type="cellIs" dxfId="213" priority="372" operator="equal">
      <formula>"payé"</formula>
    </cfRule>
  </conditionalFormatting>
  <conditionalFormatting sqref="P339:P340">
    <cfRule type="cellIs" dxfId="212" priority="365" operator="equal">
      <formula>"a envoyé"</formula>
    </cfRule>
    <cfRule type="cellIs" dxfId="211" priority="366" operator="equal">
      <formula>"avoir"</formula>
    </cfRule>
    <cfRule type="cellIs" dxfId="210" priority="367" operator="equal">
      <formula>"envoyé"</formula>
    </cfRule>
    <cfRule type="cellIs" dxfId="209" priority="368" operator="equal">
      <formula>"payé"</formula>
    </cfRule>
  </conditionalFormatting>
  <conditionalFormatting sqref="P344">
    <cfRule type="cellIs" dxfId="208" priority="361" operator="equal">
      <formula>"a envoyé"</formula>
    </cfRule>
    <cfRule type="cellIs" dxfId="207" priority="362" operator="equal">
      <formula>"avoir"</formula>
    </cfRule>
    <cfRule type="cellIs" dxfId="206" priority="363" operator="equal">
      <formula>"envoyé"</formula>
    </cfRule>
    <cfRule type="cellIs" dxfId="205" priority="364" operator="equal">
      <formula>"payé"</formula>
    </cfRule>
  </conditionalFormatting>
  <conditionalFormatting sqref="P345">
    <cfRule type="cellIs" dxfId="204" priority="357" operator="equal">
      <formula>"a envoyé"</formula>
    </cfRule>
    <cfRule type="cellIs" dxfId="203" priority="358" operator="equal">
      <formula>"avoir"</formula>
    </cfRule>
    <cfRule type="cellIs" dxfId="202" priority="359" operator="equal">
      <formula>"envoyé"</formula>
    </cfRule>
    <cfRule type="cellIs" dxfId="201" priority="360" operator="equal">
      <formula>"payé"</formula>
    </cfRule>
  </conditionalFormatting>
  <conditionalFormatting sqref="P12:P13">
    <cfRule type="cellIs" dxfId="200" priority="353" operator="equal">
      <formula>"a envoyé"</formula>
    </cfRule>
    <cfRule type="cellIs" dxfId="199" priority="354" operator="equal">
      <formula>"avoir"</formula>
    </cfRule>
    <cfRule type="cellIs" dxfId="198" priority="355" operator="equal">
      <formula>"envoyé"</formula>
    </cfRule>
    <cfRule type="cellIs" dxfId="197" priority="356" operator="equal">
      <formula>"payé"</formula>
    </cfRule>
  </conditionalFormatting>
  <conditionalFormatting sqref="P19 P25:P26 P21 P23 P31">
    <cfRule type="cellIs" dxfId="196" priority="349" operator="equal">
      <formula>"a envoyé"</formula>
    </cfRule>
    <cfRule type="cellIs" dxfId="195" priority="350" operator="equal">
      <formula>"avoir"</formula>
    </cfRule>
    <cfRule type="cellIs" dxfId="194" priority="351" operator="equal">
      <formula>"envoyé"</formula>
    </cfRule>
    <cfRule type="cellIs" dxfId="193" priority="352" operator="equal">
      <formula>"payé"</formula>
    </cfRule>
  </conditionalFormatting>
  <conditionalFormatting sqref="P29:P30 P32">
    <cfRule type="cellIs" dxfId="192" priority="345" operator="equal">
      <formula>"a envoyé"</formula>
    </cfRule>
    <cfRule type="cellIs" dxfId="191" priority="346" operator="equal">
      <formula>"avoir"</formula>
    </cfRule>
    <cfRule type="cellIs" dxfId="190" priority="347" operator="equal">
      <formula>"envoyé"</formula>
    </cfRule>
    <cfRule type="cellIs" dxfId="189" priority="348" operator="equal">
      <formula>"payé"</formula>
    </cfRule>
  </conditionalFormatting>
  <conditionalFormatting sqref="P61:P62">
    <cfRule type="cellIs" dxfId="188" priority="317" operator="equal">
      <formula>"a envoyé"</formula>
    </cfRule>
    <cfRule type="cellIs" dxfId="187" priority="318" operator="equal">
      <formula>"avoir"</formula>
    </cfRule>
    <cfRule type="cellIs" dxfId="186" priority="319" operator="equal">
      <formula>"envoyé"</formula>
    </cfRule>
    <cfRule type="cellIs" dxfId="185" priority="320" operator="equal">
      <formula>"payé"</formula>
    </cfRule>
  </conditionalFormatting>
  <conditionalFormatting sqref="P66">
    <cfRule type="cellIs" dxfId="184" priority="313" operator="equal">
      <formula>"a envoyé"</formula>
    </cfRule>
    <cfRule type="cellIs" dxfId="183" priority="314" operator="equal">
      <formula>"avoir"</formula>
    </cfRule>
    <cfRule type="cellIs" dxfId="182" priority="315" operator="equal">
      <formula>"envoyé"</formula>
    </cfRule>
    <cfRule type="cellIs" dxfId="181" priority="316" operator="equal">
      <formula>"payé"</formula>
    </cfRule>
  </conditionalFormatting>
  <conditionalFormatting sqref="P87">
    <cfRule type="cellIs" dxfId="180" priority="309" operator="equal">
      <formula>"a envoyé"</formula>
    </cfRule>
    <cfRule type="cellIs" dxfId="179" priority="310" operator="equal">
      <formula>"avoir"</formula>
    </cfRule>
    <cfRule type="cellIs" dxfId="178" priority="311" operator="equal">
      <formula>"envoyé"</formula>
    </cfRule>
    <cfRule type="cellIs" dxfId="177" priority="312" operator="equal">
      <formula>"payé"</formula>
    </cfRule>
  </conditionalFormatting>
  <conditionalFormatting sqref="P73">
    <cfRule type="cellIs" dxfId="176" priority="305" operator="equal">
      <formula>"a envoyé"</formula>
    </cfRule>
    <cfRule type="cellIs" dxfId="175" priority="306" operator="equal">
      <formula>"avoir"</formula>
    </cfRule>
    <cfRule type="cellIs" dxfId="174" priority="307" operator="equal">
      <formula>"envoyé"</formula>
    </cfRule>
    <cfRule type="cellIs" dxfId="173" priority="308" operator="equal">
      <formula>"payé"</formula>
    </cfRule>
  </conditionalFormatting>
  <conditionalFormatting sqref="P88:P89">
    <cfRule type="cellIs" dxfId="172" priority="301" operator="equal">
      <formula>"a envoyé"</formula>
    </cfRule>
    <cfRule type="cellIs" dxfId="171" priority="302" operator="equal">
      <formula>"avoir"</formula>
    </cfRule>
    <cfRule type="cellIs" dxfId="170" priority="303" operator="equal">
      <formula>"envoyé"</formula>
    </cfRule>
    <cfRule type="cellIs" dxfId="169" priority="304" operator="equal">
      <formula>"payé"</formula>
    </cfRule>
  </conditionalFormatting>
  <conditionalFormatting sqref="P104:P106">
    <cfRule type="cellIs" dxfId="168" priority="289" operator="equal">
      <formula>"a envoyé"</formula>
    </cfRule>
    <cfRule type="cellIs" dxfId="167" priority="290" operator="equal">
      <formula>"avoir"</formula>
    </cfRule>
    <cfRule type="cellIs" dxfId="166" priority="291" operator="equal">
      <formula>"envoyé"</formula>
    </cfRule>
    <cfRule type="cellIs" dxfId="165" priority="292" operator="equal">
      <formula>"payé"</formula>
    </cfRule>
  </conditionalFormatting>
  <conditionalFormatting sqref="P115:P116">
    <cfRule type="cellIs" dxfId="164" priority="273" operator="equal">
      <formula>"a envoyé"</formula>
    </cfRule>
    <cfRule type="cellIs" dxfId="163" priority="274" operator="equal">
      <formula>"avoir"</formula>
    </cfRule>
    <cfRule type="cellIs" dxfId="162" priority="275" operator="equal">
      <formula>"envoyé"</formula>
    </cfRule>
    <cfRule type="cellIs" dxfId="161" priority="276" operator="equal">
      <formula>"payé"</formula>
    </cfRule>
  </conditionalFormatting>
  <conditionalFormatting sqref="P118:P119">
    <cfRule type="cellIs" dxfId="160" priority="265" operator="equal">
      <formula>"a envoyé"</formula>
    </cfRule>
    <cfRule type="cellIs" dxfId="159" priority="266" operator="equal">
      <formula>"avoir"</formula>
    </cfRule>
    <cfRule type="cellIs" dxfId="158" priority="267" operator="equal">
      <formula>"envoyé"</formula>
    </cfRule>
    <cfRule type="cellIs" dxfId="157" priority="268" operator="equal">
      <formula>"payé"</formula>
    </cfRule>
  </conditionalFormatting>
  <conditionalFormatting sqref="P120:P122">
    <cfRule type="cellIs" dxfId="156" priority="257" operator="equal">
      <formula>"a envoyé"</formula>
    </cfRule>
    <cfRule type="cellIs" dxfId="155" priority="258" operator="equal">
      <formula>"avoir"</formula>
    </cfRule>
    <cfRule type="cellIs" dxfId="154" priority="259" operator="equal">
      <formula>"envoyé"</formula>
    </cfRule>
    <cfRule type="cellIs" dxfId="153" priority="260" operator="equal">
      <formula>"payé"</formula>
    </cfRule>
  </conditionalFormatting>
  <conditionalFormatting sqref="P144">
    <cfRule type="cellIs" dxfId="152" priority="237" operator="equal">
      <formula>"a envoyé"</formula>
    </cfRule>
    <cfRule type="cellIs" dxfId="151" priority="238" operator="equal">
      <formula>"avoir"</formula>
    </cfRule>
    <cfRule type="cellIs" dxfId="150" priority="239" operator="equal">
      <formula>"envoyé"</formula>
    </cfRule>
    <cfRule type="cellIs" dxfId="149" priority="240" operator="equal">
      <formula>"payé"</formula>
    </cfRule>
  </conditionalFormatting>
  <conditionalFormatting sqref="P145:P146">
    <cfRule type="cellIs" dxfId="148" priority="233" operator="equal">
      <formula>"a envoyé"</formula>
    </cfRule>
    <cfRule type="cellIs" dxfId="147" priority="234" operator="equal">
      <formula>"avoir"</formula>
    </cfRule>
    <cfRule type="cellIs" dxfId="146" priority="235" operator="equal">
      <formula>"envoyé"</formula>
    </cfRule>
    <cfRule type="cellIs" dxfId="145" priority="236" operator="equal">
      <formula>"payé"</formula>
    </cfRule>
  </conditionalFormatting>
  <conditionalFormatting sqref="P158">
    <cfRule type="cellIs" dxfId="144" priority="217" operator="equal">
      <formula>"a envoyé"</formula>
    </cfRule>
    <cfRule type="cellIs" dxfId="143" priority="218" operator="equal">
      <formula>"avoir"</formula>
    </cfRule>
    <cfRule type="cellIs" dxfId="142" priority="219" operator="equal">
      <formula>"envoyé"</formula>
    </cfRule>
    <cfRule type="cellIs" dxfId="141" priority="220" operator="equal">
      <formula>"payé"</formula>
    </cfRule>
  </conditionalFormatting>
  <conditionalFormatting sqref="P162">
    <cfRule type="cellIs" dxfId="140" priority="205" operator="equal">
      <formula>"a envoyé"</formula>
    </cfRule>
    <cfRule type="cellIs" dxfId="139" priority="206" operator="equal">
      <formula>"avoir"</formula>
    </cfRule>
    <cfRule type="cellIs" dxfId="138" priority="207" operator="equal">
      <formula>"envoyé"</formula>
    </cfRule>
    <cfRule type="cellIs" dxfId="137" priority="208" operator="equal">
      <formula>"payé"</formula>
    </cfRule>
  </conditionalFormatting>
  <conditionalFormatting sqref="P163:P164">
    <cfRule type="cellIs" dxfId="136" priority="201" operator="equal">
      <formula>"a envoyé"</formula>
    </cfRule>
    <cfRule type="cellIs" dxfId="135" priority="202" operator="equal">
      <formula>"avoir"</formula>
    </cfRule>
    <cfRule type="cellIs" dxfId="134" priority="203" operator="equal">
      <formula>"envoyé"</formula>
    </cfRule>
    <cfRule type="cellIs" dxfId="133" priority="204" operator="equal">
      <formula>"payé"</formula>
    </cfRule>
  </conditionalFormatting>
  <conditionalFormatting sqref="P174">
    <cfRule type="cellIs" dxfId="132" priority="197" operator="equal">
      <formula>"a envoyé"</formula>
    </cfRule>
    <cfRule type="cellIs" dxfId="131" priority="198" operator="equal">
      <formula>"avoir"</formula>
    </cfRule>
    <cfRule type="cellIs" dxfId="130" priority="199" operator="equal">
      <formula>"envoyé"</formula>
    </cfRule>
    <cfRule type="cellIs" dxfId="129" priority="200" operator="equal">
      <formula>"payé"</formula>
    </cfRule>
  </conditionalFormatting>
  <conditionalFormatting sqref="P199">
    <cfRule type="cellIs" dxfId="128" priority="193" operator="equal">
      <formula>"a envoyé"</formula>
    </cfRule>
    <cfRule type="cellIs" dxfId="127" priority="194" operator="equal">
      <formula>"avoir"</formula>
    </cfRule>
    <cfRule type="cellIs" dxfId="126" priority="195" operator="equal">
      <formula>"envoyé"</formula>
    </cfRule>
    <cfRule type="cellIs" dxfId="125" priority="196" operator="equal">
      <formula>"payé"</formula>
    </cfRule>
  </conditionalFormatting>
  <conditionalFormatting sqref="P206:P207">
    <cfRule type="cellIs" dxfId="124" priority="189" operator="equal">
      <formula>"a envoyé"</formula>
    </cfRule>
    <cfRule type="cellIs" dxfId="123" priority="190" operator="equal">
      <formula>"avoir"</formula>
    </cfRule>
    <cfRule type="cellIs" dxfId="122" priority="191" operator="equal">
      <formula>"envoyé"</formula>
    </cfRule>
    <cfRule type="cellIs" dxfId="121" priority="192" operator="equal">
      <formula>"payé"</formula>
    </cfRule>
  </conditionalFormatting>
  <conditionalFormatting sqref="P211:P212">
    <cfRule type="cellIs" dxfId="120" priority="185" operator="equal">
      <formula>"a envoyé"</formula>
    </cfRule>
    <cfRule type="cellIs" dxfId="119" priority="186" operator="equal">
      <formula>"avoir"</formula>
    </cfRule>
    <cfRule type="cellIs" dxfId="118" priority="187" operator="equal">
      <formula>"envoyé"</formula>
    </cfRule>
    <cfRule type="cellIs" dxfId="117" priority="188" operator="equal">
      <formula>"payé"</formula>
    </cfRule>
  </conditionalFormatting>
  <conditionalFormatting sqref="P214">
    <cfRule type="cellIs" dxfId="116" priority="181" operator="equal">
      <formula>"a envoyé"</formula>
    </cfRule>
    <cfRule type="cellIs" dxfId="115" priority="182" operator="equal">
      <formula>"avoir"</formula>
    </cfRule>
    <cfRule type="cellIs" dxfId="114" priority="183" operator="equal">
      <formula>"envoyé"</formula>
    </cfRule>
    <cfRule type="cellIs" dxfId="113" priority="184" operator="equal">
      <formula>"payé"</formula>
    </cfRule>
  </conditionalFormatting>
  <conditionalFormatting sqref="P14:P16">
    <cfRule type="cellIs" dxfId="112" priority="173" operator="equal">
      <formula>"a envoyé"</formula>
    </cfRule>
    <cfRule type="cellIs" dxfId="111" priority="174" operator="equal">
      <formula>"avoir"</formula>
    </cfRule>
    <cfRule type="cellIs" dxfId="110" priority="175" operator="equal">
      <formula>"envoyé"</formula>
    </cfRule>
    <cfRule type="cellIs" dxfId="109" priority="176" operator="equal">
      <formula>"payé"</formula>
    </cfRule>
  </conditionalFormatting>
  <conditionalFormatting sqref="P17">
    <cfRule type="cellIs" dxfId="108" priority="165" operator="equal">
      <formula>"a envoyé"</formula>
    </cfRule>
    <cfRule type="cellIs" dxfId="107" priority="166" operator="equal">
      <formula>"avoir"</formula>
    </cfRule>
    <cfRule type="cellIs" dxfId="106" priority="167" operator="equal">
      <formula>"envoyé"</formula>
    </cfRule>
    <cfRule type="cellIs" dxfId="105" priority="168" operator="equal">
      <formula>"payé"</formula>
    </cfRule>
  </conditionalFormatting>
  <conditionalFormatting sqref="P18">
    <cfRule type="cellIs" dxfId="104" priority="161" operator="equal">
      <formula>"a envoyé"</formula>
    </cfRule>
    <cfRule type="cellIs" dxfId="103" priority="162" operator="equal">
      <formula>"avoir"</formula>
    </cfRule>
    <cfRule type="cellIs" dxfId="102" priority="163" operator="equal">
      <formula>"envoyé"</formula>
    </cfRule>
    <cfRule type="cellIs" dxfId="101" priority="164" operator="equal">
      <formula>"payé"</formula>
    </cfRule>
  </conditionalFormatting>
  <conditionalFormatting sqref="P20 P22">
    <cfRule type="cellIs" dxfId="100" priority="157" operator="equal">
      <formula>"a envoyé"</formula>
    </cfRule>
    <cfRule type="cellIs" dxfId="99" priority="158" operator="equal">
      <formula>"avoir"</formula>
    </cfRule>
    <cfRule type="cellIs" dxfId="98" priority="159" operator="equal">
      <formula>"envoyé"</formula>
    </cfRule>
    <cfRule type="cellIs" dxfId="97" priority="160" operator="equal">
      <formula>"payé"</formula>
    </cfRule>
  </conditionalFormatting>
  <conditionalFormatting sqref="P24">
    <cfRule type="cellIs" dxfId="96" priority="149" operator="equal">
      <formula>"a envoyé"</formula>
    </cfRule>
    <cfRule type="cellIs" dxfId="95" priority="150" operator="equal">
      <formula>"avoir"</formula>
    </cfRule>
    <cfRule type="cellIs" dxfId="94" priority="151" operator="equal">
      <formula>"envoyé"</formula>
    </cfRule>
    <cfRule type="cellIs" dxfId="93" priority="152" operator="equal">
      <formula>"payé"</formula>
    </cfRule>
  </conditionalFormatting>
  <conditionalFormatting sqref="P27:P28">
    <cfRule type="cellIs" dxfId="92" priority="145" operator="equal">
      <formula>"a envoyé"</formula>
    </cfRule>
    <cfRule type="cellIs" dxfId="91" priority="146" operator="equal">
      <formula>"avoir"</formula>
    </cfRule>
    <cfRule type="cellIs" dxfId="90" priority="147" operator="equal">
      <formula>"envoyé"</formula>
    </cfRule>
    <cfRule type="cellIs" dxfId="89" priority="148" operator="equal">
      <formula>"payé"</formula>
    </cfRule>
  </conditionalFormatting>
  <conditionalFormatting sqref="P33">
    <cfRule type="cellIs" dxfId="88" priority="141" operator="equal">
      <formula>"a envoyé"</formula>
    </cfRule>
    <cfRule type="cellIs" dxfId="87" priority="142" operator="equal">
      <formula>"avoir"</formula>
    </cfRule>
    <cfRule type="cellIs" dxfId="86" priority="143" operator="equal">
      <formula>"envoyé"</formula>
    </cfRule>
    <cfRule type="cellIs" dxfId="85" priority="144" operator="equal">
      <formula>"payé"</formula>
    </cfRule>
  </conditionalFormatting>
  <conditionalFormatting sqref="P34">
    <cfRule type="cellIs" dxfId="84" priority="137" operator="equal">
      <formula>"a envoyé"</formula>
    </cfRule>
    <cfRule type="cellIs" dxfId="83" priority="138" operator="equal">
      <formula>"avoir"</formula>
    </cfRule>
    <cfRule type="cellIs" dxfId="82" priority="139" operator="equal">
      <formula>"envoyé"</formula>
    </cfRule>
    <cfRule type="cellIs" dxfId="81" priority="140" operator="equal">
      <formula>"payé"</formula>
    </cfRule>
  </conditionalFormatting>
  <conditionalFormatting sqref="P36:P37">
    <cfRule type="cellIs" dxfId="80" priority="133" operator="equal">
      <formula>"a envoyé"</formula>
    </cfRule>
    <cfRule type="cellIs" dxfId="79" priority="134" operator="equal">
      <formula>"avoir"</formula>
    </cfRule>
    <cfRule type="cellIs" dxfId="78" priority="135" operator="equal">
      <formula>"envoyé"</formula>
    </cfRule>
    <cfRule type="cellIs" dxfId="77" priority="136" operator="equal">
      <formula>"payé"</formula>
    </cfRule>
  </conditionalFormatting>
  <conditionalFormatting sqref="P55:P57">
    <cfRule type="cellIs" dxfId="76" priority="125" operator="equal">
      <formula>"a envoyé"</formula>
    </cfRule>
    <cfRule type="cellIs" dxfId="75" priority="126" operator="equal">
      <formula>"avoir"</formula>
    </cfRule>
    <cfRule type="cellIs" dxfId="74" priority="127" operator="equal">
      <formula>"envoyé"</formula>
    </cfRule>
    <cfRule type="cellIs" dxfId="73" priority="128" operator="equal">
      <formula>"payé"</formula>
    </cfRule>
  </conditionalFormatting>
  <conditionalFormatting sqref="P58">
    <cfRule type="cellIs" dxfId="72" priority="121" operator="equal">
      <formula>"a envoyé"</formula>
    </cfRule>
    <cfRule type="cellIs" dxfId="71" priority="122" operator="equal">
      <formula>"avoir"</formula>
    </cfRule>
    <cfRule type="cellIs" dxfId="70" priority="123" operator="equal">
      <formula>"envoyé"</formula>
    </cfRule>
    <cfRule type="cellIs" dxfId="69" priority="124" operator="equal">
      <formula>"payé"</formula>
    </cfRule>
  </conditionalFormatting>
  <conditionalFormatting sqref="P59">
    <cfRule type="cellIs" dxfId="68" priority="117" operator="equal">
      <formula>"a envoyé"</formula>
    </cfRule>
    <cfRule type="cellIs" dxfId="67" priority="118" operator="equal">
      <formula>"avoir"</formula>
    </cfRule>
    <cfRule type="cellIs" dxfId="66" priority="119" operator="equal">
      <formula>"envoyé"</formula>
    </cfRule>
    <cfRule type="cellIs" dxfId="65" priority="120" operator="equal">
      <formula>"payé"</formula>
    </cfRule>
  </conditionalFormatting>
  <conditionalFormatting sqref="P60">
    <cfRule type="cellIs" dxfId="64" priority="113" operator="equal">
      <formula>"a envoyé"</formula>
    </cfRule>
    <cfRule type="cellIs" dxfId="63" priority="114" operator="equal">
      <formula>"avoir"</formula>
    </cfRule>
    <cfRule type="cellIs" dxfId="62" priority="115" operator="equal">
      <formula>"envoyé"</formula>
    </cfRule>
    <cfRule type="cellIs" dxfId="61" priority="116" operator="equal">
      <formula>"payé"</formula>
    </cfRule>
  </conditionalFormatting>
  <conditionalFormatting sqref="P69">
    <cfRule type="cellIs" dxfId="60" priority="109" operator="equal">
      <formula>"a envoyé"</formula>
    </cfRule>
    <cfRule type="cellIs" dxfId="59" priority="110" operator="equal">
      <formula>"avoir"</formula>
    </cfRule>
    <cfRule type="cellIs" dxfId="58" priority="111" operator="equal">
      <formula>"envoyé"</formula>
    </cfRule>
    <cfRule type="cellIs" dxfId="57" priority="112" operator="equal">
      <formula>"payé"</formula>
    </cfRule>
  </conditionalFormatting>
  <conditionalFormatting sqref="P86">
    <cfRule type="cellIs" dxfId="56" priority="101" operator="equal">
      <formula>"a envoyé"</formula>
    </cfRule>
    <cfRule type="cellIs" dxfId="55" priority="102" operator="equal">
      <formula>"avoir"</formula>
    </cfRule>
    <cfRule type="cellIs" dxfId="54" priority="103" operator="equal">
      <formula>"envoyé"</formula>
    </cfRule>
    <cfRule type="cellIs" dxfId="53" priority="104" operator="equal">
      <formula>"payé"</formula>
    </cfRule>
  </conditionalFormatting>
  <conditionalFormatting sqref="P101:P103">
    <cfRule type="cellIs" dxfId="52" priority="93" operator="equal">
      <formula>"a envoyé"</formula>
    </cfRule>
    <cfRule type="cellIs" dxfId="51" priority="94" operator="equal">
      <formula>"avoir"</formula>
    </cfRule>
    <cfRule type="cellIs" dxfId="50" priority="95" operator="equal">
      <formula>"envoyé"</formula>
    </cfRule>
    <cfRule type="cellIs" dxfId="49" priority="96" operator="equal">
      <formula>"payé"</formula>
    </cfRule>
  </conditionalFormatting>
  <conditionalFormatting sqref="P107:P108">
    <cfRule type="cellIs" dxfId="48" priority="89" operator="equal">
      <formula>"a envoyé"</formula>
    </cfRule>
    <cfRule type="cellIs" dxfId="47" priority="90" operator="equal">
      <formula>"avoir"</formula>
    </cfRule>
    <cfRule type="cellIs" dxfId="46" priority="91" operator="equal">
      <formula>"envoyé"</formula>
    </cfRule>
    <cfRule type="cellIs" dxfId="45" priority="92" operator="equal">
      <formula>"payé"</formula>
    </cfRule>
  </conditionalFormatting>
  <conditionalFormatting sqref="P113">
    <cfRule type="cellIs" dxfId="44" priority="69" operator="equal">
      <formula>"a envoyé"</formula>
    </cfRule>
    <cfRule type="cellIs" dxfId="43" priority="70" operator="equal">
      <formula>"avoir"</formula>
    </cfRule>
    <cfRule type="cellIs" dxfId="42" priority="71" operator="equal">
      <formula>"envoyé"</formula>
    </cfRule>
    <cfRule type="cellIs" dxfId="41" priority="72" operator="equal">
      <formula>"payé"</formula>
    </cfRule>
  </conditionalFormatting>
  <conditionalFormatting sqref="P114">
    <cfRule type="cellIs" dxfId="40" priority="65" operator="equal">
      <formula>"a envoyé"</formula>
    </cfRule>
    <cfRule type="cellIs" dxfId="39" priority="66" operator="equal">
      <formula>"avoir"</formula>
    </cfRule>
    <cfRule type="cellIs" dxfId="38" priority="67" operator="equal">
      <formula>"envoyé"</formula>
    </cfRule>
    <cfRule type="cellIs" dxfId="37" priority="68" operator="equal">
      <formula>"payé"</formula>
    </cfRule>
  </conditionalFormatting>
  <conditionalFormatting sqref="P117">
    <cfRule type="cellIs" dxfId="36" priority="61" operator="equal">
      <formula>"a envoyé"</formula>
    </cfRule>
    <cfRule type="cellIs" dxfId="35" priority="62" operator="equal">
      <formula>"avoir"</formula>
    </cfRule>
    <cfRule type="cellIs" dxfId="34" priority="63" operator="equal">
      <formula>"envoyé"</formula>
    </cfRule>
    <cfRule type="cellIs" dxfId="33" priority="64" operator="equal">
      <formula>"payé"</formula>
    </cfRule>
  </conditionalFormatting>
  <conditionalFormatting sqref="P112">
    <cfRule type="cellIs" dxfId="32" priority="57" operator="equal">
      <formula>"a envoyé"</formula>
    </cfRule>
    <cfRule type="cellIs" dxfId="31" priority="58" operator="equal">
      <formula>"avoir"</formula>
    </cfRule>
    <cfRule type="cellIs" dxfId="30" priority="59" operator="equal">
      <formula>"envoyé"</formula>
    </cfRule>
    <cfRule type="cellIs" dxfId="29" priority="60" operator="equal">
      <formula>"payé"</formula>
    </cfRule>
  </conditionalFormatting>
  <conditionalFormatting sqref="P124">
    <cfRule type="cellIs" dxfId="28" priority="53" operator="equal">
      <formula>"a envoyé"</formula>
    </cfRule>
    <cfRule type="cellIs" dxfId="27" priority="54" operator="equal">
      <formula>"avoir"</formula>
    </cfRule>
    <cfRule type="cellIs" dxfId="26" priority="55" operator="equal">
      <formula>"envoyé"</formula>
    </cfRule>
    <cfRule type="cellIs" dxfId="25" priority="56" operator="equal">
      <formula>"payé"</formula>
    </cfRule>
  </conditionalFormatting>
  <conditionalFormatting sqref="P125:P127">
    <cfRule type="cellIs" dxfId="24" priority="49" operator="equal">
      <formula>"a envoyé"</formula>
    </cfRule>
    <cfRule type="cellIs" dxfId="23" priority="50" operator="equal">
      <formula>"avoir"</formula>
    </cfRule>
    <cfRule type="cellIs" dxfId="22" priority="51" operator="equal">
      <formula>"envoyé"</formula>
    </cfRule>
    <cfRule type="cellIs" dxfId="21" priority="52" operator="equal">
      <formula>"payé"</formula>
    </cfRule>
  </conditionalFormatting>
  <conditionalFormatting sqref="P139">
    <cfRule type="cellIs" dxfId="20" priority="45" operator="equal">
      <formula>"a envoyé"</formula>
    </cfRule>
    <cfRule type="cellIs" dxfId="19" priority="46" operator="equal">
      <formula>"avoir"</formula>
    </cfRule>
    <cfRule type="cellIs" dxfId="18" priority="47" operator="equal">
      <formula>"envoyé"</formula>
    </cfRule>
    <cfRule type="cellIs" dxfId="17" priority="48" operator="equal">
      <formula>"payé"</formula>
    </cfRule>
  </conditionalFormatting>
  <conditionalFormatting sqref="P147">
    <cfRule type="cellIs" dxfId="16" priority="33" operator="equal">
      <formula>"a envoyé"</formula>
    </cfRule>
    <cfRule type="cellIs" dxfId="15" priority="34" operator="equal">
      <formula>"avoir"</formula>
    </cfRule>
    <cfRule type="cellIs" dxfId="14" priority="35" operator="equal">
      <formula>"envoyé"</formula>
    </cfRule>
    <cfRule type="cellIs" dxfId="13" priority="36" operator="equal">
      <formula>"payé"</formula>
    </cfRule>
  </conditionalFormatting>
  <conditionalFormatting sqref="P148:P149">
    <cfRule type="cellIs" dxfId="12" priority="17" operator="equal">
      <formula>"a envoyé"</formula>
    </cfRule>
    <cfRule type="cellIs" dxfId="11" priority="18" operator="equal">
      <formula>"avoir"</formula>
    </cfRule>
    <cfRule type="cellIs" dxfId="10" priority="19" operator="equal">
      <formula>"envoyé"</formula>
    </cfRule>
    <cfRule type="cellIs" dxfId="9" priority="20" operator="equal">
      <formula>"payé"</formula>
    </cfRule>
  </conditionalFormatting>
  <conditionalFormatting sqref="P157">
    <cfRule type="cellIs" dxfId="8" priority="13" operator="equal">
      <formula>"a envoyé"</formula>
    </cfRule>
    <cfRule type="cellIs" dxfId="7" priority="14" operator="equal">
      <formula>"avoir"</formula>
    </cfRule>
    <cfRule type="cellIs" dxfId="6" priority="15" operator="equal">
      <formula>"envoyé"</formula>
    </cfRule>
    <cfRule type="cellIs" dxfId="5" priority="16" operator="equal">
      <formula>"payé"</formula>
    </cfRule>
  </conditionalFormatting>
  <dataValidations count="1">
    <dataValidation type="list" allowBlank="1" showInputMessage="1" showErrorMessage="1" sqref="P71:P372 P10:P69" xr:uid="{00000000-0002-0000-0100-000000000000}">
      <formula1>"payé, envoyé, a envoyé, avoir"</formula1>
    </dataValidation>
  </dataValidations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3:M125"/>
  <sheetViews>
    <sheetView workbookViewId="0">
      <selection activeCell="G16" sqref="G16"/>
    </sheetView>
  </sheetViews>
  <sheetFormatPr baseColWidth="10" defaultColWidth="11.44140625" defaultRowHeight="14.4" x14ac:dyDescent="0.3"/>
  <cols>
    <col min="1" max="1" width="17.44140625" style="9" customWidth="1"/>
    <col min="2" max="2" width="14.6640625" style="9" customWidth="1"/>
    <col min="3" max="4" width="11.44140625" style="9"/>
    <col min="5" max="5" width="16.44140625" style="9" customWidth="1"/>
    <col min="6" max="16384" width="11.44140625" style="9"/>
  </cols>
  <sheetData>
    <row r="3" spans="1:13" ht="28.8" x14ac:dyDescent="0.55000000000000004">
      <c r="A3" s="194" t="s">
        <v>598</v>
      </c>
      <c r="B3" s="195"/>
      <c r="C3" s="195"/>
      <c r="D3" s="195"/>
      <c r="E3" s="195"/>
      <c r="F3" s="195"/>
      <c r="G3" s="195"/>
      <c r="H3" s="195"/>
      <c r="I3" s="195"/>
      <c r="J3" s="195"/>
      <c r="K3" s="195"/>
      <c r="L3" s="195"/>
    </row>
    <row r="4" spans="1:13" ht="21" x14ac:dyDescent="0.4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</row>
    <row r="7" spans="1:13" x14ac:dyDescent="0.3">
      <c r="A7" s="11" t="s">
        <v>0</v>
      </c>
      <c r="B7" s="11" t="s">
        <v>1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19</v>
      </c>
      <c r="I7" s="11" t="s">
        <v>20</v>
      </c>
      <c r="J7" s="11" t="s">
        <v>7</v>
      </c>
      <c r="K7" s="11" t="s">
        <v>8</v>
      </c>
      <c r="L7" s="11" t="s">
        <v>9</v>
      </c>
      <c r="M7" s="11" t="s">
        <v>11</v>
      </c>
    </row>
    <row r="8" spans="1:13" ht="21.75" customHeight="1" x14ac:dyDescent="0.3">
      <c r="A8" s="12" t="s">
        <v>597</v>
      </c>
      <c r="B8" s="13" t="s">
        <v>964</v>
      </c>
      <c r="C8" s="69" t="s">
        <v>966</v>
      </c>
      <c r="D8" s="15" t="s">
        <v>965</v>
      </c>
      <c r="E8" s="69" t="s">
        <v>967</v>
      </c>
      <c r="F8" s="69" t="s">
        <v>968</v>
      </c>
      <c r="G8" s="16">
        <v>2120</v>
      </c>
      <c r="H8" s="16">
        <f t="shared" ref="H8:H18" si="0">SUM(G8*0.2)</f>
        <v>424</v>
      </c>
      <c r="I8" s="16">
        <f t="shared" ref="I8:I18" si="1">SUM(G8+H8)</f>
        <v>2544</v>
      </c>
      <c r="J8" s="17"/>
      <c r="K8" s="18">
        <v>43480</v>
      </c>
      <c r="L8" s="19" t="s">
        <v>1300</v>
      </c>
      <c r="M8" s="20">
        <v>43525</v>
      </c>
    </row>
    <row r="9" spans="1:13" ht="21.75" customHeight="1" x14ac:dyDescent="0.3">
      <c r="A9" s="12" t="s">
        <v>599</v>
      </c>
      <c r="B9" s="13" t="s">
        <v>1299</v>
      </c>
      <c r="C9" s="123" t="s">
        <v>1254</v>
      </c>
      <c r="D9" s="15" t="s">
        <v>1256</v>
      </c>
      <c r="E9" s="123" t="s">
        <v>1255</v>
      </c>
      <c r="F9" s="69" t="s">
        <v>968</v>
      </c>
      <c r="G9" s="16">
        <v>4725</v>
      </c>
      <c r="H9" s="16">
        <f t="shared" si="0"/>
        <v>945</v>
      </c>
      <c r="I9" s="16">
        <f t="shared" si="1"/>
        <v>5670</v>
      </c>
      <c r="J9" s="21"/>
      <c r="K9" s="18">
        <v>43571</v>
      </c>
      <c r="L9" s="19" t="s">
        <v>1300</v>
      </c>
      <c r="M9" s="20">
        <v>43632</v>
      </c>
    </row>
    <row r="10" spans="1:13" ht="21.75" customHeight="1" x14ac:dyDescent="0.3">
      <c r="A10" s="12" t="s">
        <v>600</v>
      </c>
      <c r="B10" s="13" t="s">
        <v>1546</v>
      </c>
      <c r="C10" s="14" t="s">
        <v>1031</v>
      </c>
      <c r="D10" s="15" t="s">
        <v>1544</v>
      </c>
      <c r="E10" s="14" t="s">
        <v>1547</v>
      </c>
      <c r="F10" s="14" t="s">
        <v>1548</v>
      </c>
      <c r="G10" s="16">
        <v>125</v>
      </c>
      <c r="H10" s="16">
        <f t="shared" si="0"/>
        <v>25</v>
      </c>
      <c r="I10" s="16">
        <f t="shared" si="1"/>
        <v>150</v>
      </c>
      <c r="J10" s="21"/>
      <c r="K10" s="18">
        <v>43657</v>
      </c>
      <c r="L10" s="19" t="s">
        <v>1300</v>
      </c>
      <c r="M10" s="20">
        <v>43658</v>
      </c>
    </row>
    <row r="11" spans="1:13" ht="21.75" customHeight="1" x14ac:dyDescent="0.3">
      <c r="A11" s="12" t="s">
        <v>601</v>
      </c>
      <c r="B11" s="13" t="s">
        <v>1546</v>
      </c>
      <c r="C11" s="14" t="s">
        <v>976</v>
      </c>
      <c r="D11" s="14" t="s">
        <v>893</v>
      </c>
      <c r="E11" s="19" t="s">
        <v>1606</v>
      </c>
      <c r="F11" s="14" t="s">
        <v>1548</v>
      </c>
      <c r="G11" s="16">
        <v>700</v>
      </c>
      <c r="H11" s="16">
        <f t="shared" si="0"/>
        <v>140</v>
      </c>
      <c r="I11" s="16">
        <f t="shared" si="1"/>
        <v>840</v>
      </c>
      <c r="J11" s="21"/>
      <c r="K11" s="18">
        <v>43684</v>
      </c>
      <c r="L11" s="19" t="s">
        <v>1300</v>
      </c>
      <c r="M11" s="20">
        <v>43724</v>
      </c>
    </row>
    <row r="12" spans="1:13" ht="21.75" customHeight="1" x14ac:dyDescent="0.3">
      <c r="A12" s="12" t="s">
        <v>602</v>
      </c>
      <c r="B12" s="13" t="s">
        <v>1299</v>
      </c>
      <c r="C12" s="123" t="s">
        <v>1590</v>
      </c>
      <c r="D12" s="15" t="s">
        <v>965</v>
      </c>
      <c r="E12" s="123" t="s">
        <v>1604</v>
      </c>
      <c r="F12" s="69" t="s">
        <v>968</v>
      </c>
      <c r="G12" s="16">
        <v>1350</v>
      </c>
      <c r="H12" s="16">
        <f t="shared" si="0"/>
        <v>270</v>
      </c>
      <c r="I12" s="16">
        <f t="shared" si="1"/>
        <v>1620</v>
      </c>
      <c r="J12" s="19"/>
      <c r="K12" s="18">
        <v>43689</v>
      </c>
      <c r="L12" s="19" t="s">
        <v>1300</v>
      </c>
      <c r="M12" s="20">
        <v>43720</v>
      </c>
    </row>
    <row r="13" spans="1:13" ht="26.25" customHeight="1" x14ac:dyDescent="0.3">
      <c r="A13" s="12" t="s">
        <v>603</v>
      </c>
      <c r="B13" s="14" t="s">
        <v>1299</v>
      </c>
      <c r="C13" s="14" t="s">
        <v>1636</v>
      </c>
      <c r="D13" s="14" t="s">
        <v>893</v>
      </c>
      <c r="E13" s="19" t="s">
        <v>1637</v>
      </c>
      <c r="F13" s="14" t="s">
        <v>968</v>
      </c>
      <c r="G13" s="22">
        <v>1350</v>
      </c>
      <c r="H13" s="16">
        <v>270</v>
      </c>
      <c r="I13" s="16">
        <v>1620</v>
      </c>
      <c r="J13" s="19"/>
      <c r="K13" s="20">
        <v>43704</v>
      </c>
      <c r="L13" s="19" t="s">
        <v>1300</v>
      </c>
      <c r="M13" s="20">
        <v>43723</v>
      </c>
    </row>
    <row r="14" spans="1:13" ht="27" customHeight="1" x14ac:dyDescent="0.3">
      <c r="A14" s="12" t="s">
        <v>604</v>
      </c>
      <c r="B14" s="14" t="s">
        <v>1299</v>
      </c>
      <c r="C14" s="14" t="s">
        <v>1752</v>
      </c>
      <c r="D14" s="14" t="s">
        <v>893</v>
      </c>
      <c r="E14" s="19" t="s">
        <v>1794</v>
      </c>
      <c r="F14" s="14" t="s">
        <v>968</v>
      </c>
      <c r="G14" s="22">
        <v>1080</v>
      </c>
      <c r="H14" s="16">
        <f t="shared" si="0"/>
        <v>216</v>
      </c>
      <c r="I14" s="16">
        <f t="shared" si="1"/>
        <v>1296</v>
      </c>
      <c r="J14" s="19"/>
      <c r="K14" s="20">
        <v>43759</v>
      </c>
      <c r="L14" s="19" t="s">
        <v>1300</v>
      </c>
      <c r="M14" s="20">
        <v>43790</v>
      </c>
    </row>
    <row r="15" spans="1:13" ht="21.75" customHeight="1" x14ac:dyDescent="0.3">
      <c r="A15" s="12" t="s">
        <v>605</v>
      </c>
      <c r="B15" s="14" t="s">
        <v>1299</v>
      </c>
      <c r="C15" s="14" t="s">
        <v>1841</v>
      </c>
      <c r="D15" s="14" t="s">
        <v>893</v>
      </c>
      <c r="E15" s="19" t="s">
        <v>1842</v>
      </c>
      <c r="F15" s="14" t="s">
        <v>968</v>
      </c>
      <c r="G15" s="22">
        <v>1080</v>
      </c>
      <c r="H15" s="16">
        <f t="shared" si="0"/>
        <v>216</v>
      </c>
      <c r="I15" s="16">
        <f t="shared" si="1"/>
        <v>1296</v>
      </c>
      <c r="J15" s="19"/>
      <c r="K15" s="20">
        <v>43760</v>
      </c>
      <c r="L15" s="19" t="s">
        <v>1300</v>
      </c>
      <c r="M15" s="20">
        <v>43808</v>
      </c>
    </row>
    <row r="16" spans="1:13" ht="21.75" customHeight="1" x14ac:dyDescent="0.3">
      <c r="A16" s="12" t="s">
        <v>606</v>
      </c>
      <c r="B16" s="14" t="s">
        <v>1299</v>
      </c>
      <c r="C16" s="69" t="s">
        <v>884</v>
      </c>
      <c r="D16" s="13" t="s">
        <v>1663</v>
      </c>
      <c r="E16" s="68" t="s">
        <v>866</v>
      </c>
      <c r="F16" s="14" t="s">
        <v>968</v>
      </c>
      <c r="G16" s="16">
        <v>1080</v>
      </c>
      <c r="H16" s="16">
        <f t="shared" si="0"/>
        <v>216</v>
      </c>
      <c r="I16" s="16">
        <f t="shared" si="1"/>
        <v>1296</v>
      </c>
      <c r="J16" s="19"/>
      <c r="K16" s="175">
        <v>43784</v>
      </c>
      <c r="L16" s="176" t="s">
        <v>1300</v>
      </c>
      <c r="M16" s="175" t="s">
        <v>1916</v>
      </c>
    </row>
    <row r="17" spans="1:13" ht="25.5" customHeight="1" x14ac:dyDescent="0.3">
      <c r="A17" s="12" t="s">
        <v>607</v>
      </c>
      <c r="B17" s="68"/>
      <c r="C17" s="69"/>
      <c r="D17" s="69"/>
      <c r="E17" s="69"/>
      <c r="F17" s="14"/>
      <c r="G17" s="22"/>
      <c r="H17" s="16">
        <f t="shared" si="0"/>
        <v>0</v>
      </c>
      <c r="I17" s="16">
        <f t="shared" si="1"/>
        <v>0</v>
      </c>
      <c r="J17" s="19"/>
      <c r="K17" s="20"/>
      <c r="L17" s="19"/>
      <c r="M17" s="20"/>
    </row>
    <row r="18" spans="1:13" ht="21.75" customHeight="1" x14ac:dyDescent="0.3">
      <c r="A18" s="12" t="s">
        <v>608</v>
      </c>
      <c r="B18" s="68"/>
      <c r="C18" s="69"/>
      <c r="D18" s="69"/>
      <c r="E18" s="68"/>
      <c r="F18" s="14"/>
      <c r="G18" s="22"/>
      <c r="H18" s="16">
        <f t="shared" si="0"/>
        <v>0</v>
      </c>
      <c r="I18" s="16">
        <f t="shared" si="1"/>
        <v>0</v>
      </c>
      <c r="J18" s="19"/>
      <c r="K18" s="20"/>
      <c r="L18" s="19"/>
      <c r="M18" s="20"/>
    </row>
    <row r="19" spans="1:13" ht="21.75" customHeight="1" x14ac:dyDescent="0.3">
      <c r="A19" s="12" t="s">
        <v>609</v>
      </c>
      <c r="B19" s="19"/>
      <c r="C19" s="14"/>
      <c r="D19" s="14"/>
      <c r="E19" s="14"/>
      <c r="F19" s="14"/>
      <c r="G19" s="16"/>
      <c r="H19" s="16">
        <f t="shared" ref="H19:H72" si="2">SUM(G19*0.2)</f>
        <v>0</v>
      </c>
      <c r="I19" s="16">
        <f t="shared" ref="I19:I72" si="3">SUM(G19+H19)</f>
        <v>0</v>
      </c>
      <c r="J19" s="19"/>
      <c r="K19" s="20"/>
      <c r="L19" s="19"/>
      <c r="M19" s="20"/>
    </row>
    <row r="20" spans="1:13" ht="21.75" customHeight="1" x14ac:dyDescent="0.3">
      <c r="A20" s="12" t="s">
        <v>610</v>
      </c>
      <c r="B20" s="14"/>
      <c r="C20" s="14"/>
      <c r="D20" s="14"/>
      <c r="E20" s="19"/>
      <c r="F20" s="23"/>
      <c r="G20" s="24"/>
      <c r="H20" s="16">
        <f t="shared" si="2"/>
        <v>0</v>
      </c>
      <c r="I20" s="16">
        <f t="shared" si="3"/>
        <v>0</v>
      </c>
      <c r="J20" s="23"/>
      <c r="K20" s="20"/>
      <c r="L20" s="19"/>
      <c r="M20" s="20"/>
    </row>
    <row r="21" spans="1:13" ht="21.75" customHeight="1" x14ac:dyDescent="0.3">
      <c r="A21" s="12" t="s">
        <v>611</v>
      </c>
      <c r="B21" s="19"/>
      <c r="C21" s="14"/>
      <c r="D21" s="13"/>
      <c r="E21" s="19"/>
      <c r="F21" s="14"/>
      <c r="G21" s="16"/>
      <c r="H21" s="16">
        <f t="shared" si="2"/>
        <v>0</v>
      </c>
      <c r="I21" s="16">
        <f t="shared" si="3"/>
        <v>0</v>
      </c>
      <c r="J21" s="19"/>
      <c r="K21" s="20"/>
      <c r="L21" s="19"/>
      <c r="M21" s="20"/>
    </row>
    <row r="22" spans="1:13" ht="21.75" customHeight="1" x14ac:dyDescent="0.3">
      <c r="A22" s="12" t="s">
        <v>612</v>
      </c>
      <c r="B22" s="23"/>
      <c r="C22" s="23"/>
      <c r="D22" s="23"/>
      <c r="E22" s="23"/>
      <c r="F22" s="23"/>
      <c r="G22" s="23"/>
      <c r="H22" s="16">
        <f t="shared" si="2"/>
        <v>0</v>
      </c>
      <c r="I22" s="16">
        <f t="shared" si="3"/>
        <v>0</v>
      </c>
      <c r="J22" s="23"/>
      <c r="K22" s="23"/>
      <c r="L22" s="23"/>
      <c r="M22" s="25"/>
    </row>
    <row r="23" spans="1:13" ht="21.75" customHeight="1" x14ac:dyDescent="0.3">
      <c r="A23" s="12" t="s">
        <v>613</v>
      </c>
      <c r="B23" s="14"/>
      <c r="C23" s="19"/>
      <c r="D23" s="19"/>
      <c r="E23" s="19"/>
      <c r="F23" s="19"/>
      <c r="G23" s="26"/>
      <c r="H23" s="16">
        <f t="shared" si="2"/>
        <v>0</v>
      </c>
      <c r="I23" s="16">
        <f t="shared" si="3"/>
        <v>0</v>
      </c>
      <c r="J23" s="19"/>
      <c r="K23" s="20"/>
      <c r="L23" s="19"/>
      <c r="M23" s="20"/>
    </row>
    <row r="24" spans="1:13" ht="21.75" customHeight="1" x14ac:dyDescent="0.3">
      <c r="A24" s="12" t="s">
        <v>614</v>
      </c>
      <c r="B24" s="19"/>
      <c r="C24" s="19"/>
      <c r="D24" s="19"/>
      <c r="E24" s="19"/>
      <c r="F24" s="19"/>
      <c r="G24" s="19"/>
      <c r="H24" s="16">
        <f t="shared" si="2"/>
        <v>0</v>
      </c>
      <c r="I24" s="16">
        <f t="shared" si="3"/>
        <v>0</v>
      </c>
      <c r="J24" s="19"/>
      <c r="K24" s="19"/>
      <c r="L24" s="19"/>
      <c r="M24" s="20"/>
    </row>
    <row r="25" spans="1:13" ht="21.75" customHeight="1" x14ac:dyDescent="0.3">
      <c r="A25" s="12" t="s">
        <v>615</v>
      </c>
      <c r="B25" s="19"/>
      <c r="C25" s="19"/>
      <c r="D25" s="19"/>
      <c r="E25" s="19"/>
      <c r="F25" s="19"/>
      <c r="G25" s="19"/>
      <c r="H25" s="16">
        <f t="shared" si="2"/>
        <v>0</v>
      </c>
      <c r="I25" s="16">
        <f t="shared" si="3"/>
        <v>0</v>
      </c>
      <c r="J25" s="19"/>
      <c r="K25" s="19"/>
      <c r="L25" s="19"/>
      <c r="M25" s="20"/>
    </row>
    <row r="26" spans="1:13" ht="21.75" customHeight="1" x14ac:dyDescent="0.3">
      <c r="A26" s="12" t="s">
        <v>616</v>
      </c>
      <c r="B26" s="19"/>
      <c r="C26" s="27"/>
      <c r="D26" s="19"/>
      <c r="E26" s="19"/>
      <c r="F26" s="19"/>
      <c r="G26" s="19"/>
      <c r="H26" s="16">
        <f t="shared" si="2"/>
        <v>0</v>
      </c>
      <c r="I26" s="16">
        <f t="shared" si="3"/>
        <v>0</v>
      </c>
      <c r="J26" s="19"/>
      <c r="K26" s="19"/>
      <c r="L26" s="19"/>
      <c r="M26" s="20"/>
    </row>
    <row r="27" spans="1:13" ht="21.75" customHeight="1" x14ac:dyDescent="0.3">
      <c r="A27" s="12" t="s">
        <v>617</v>
      </c>
      <c r="B27" s="19"/>
      <c r="C27" s="19"/>
      <c r="D27" s="19"/>
      <c r="E27" s="19"/>
      <c r="F27" s="19"/>
      <c r="G27" s="19"/>
      <c r="H27" s="16">
        <f t="shared" si="2"/>
        <v>0</v>
      </c>
      <c r="I27" s="16">
        <f t="shared" si="3"/>
        <v>0</v>
      </c>
      <c r="J27" s="19"/>
      <c r="K27" s="19"/>
      <c r="L27" s="19"/>
      <c r="M27" s="20"/>
    </row>
    <row r="28" spans="1:13" ht="21.75" customHeight="1" x14ac:dyDescent="0.3">
      <c r="A28" s="12" t="s">
        <v>618</v>
      </c>
      <c r="B28" s="19"/>
      <c r="C28" s="19"/>
      <c r="D28" s="19"/>
      <c r="E28" s="19"/>
      <c r="F28" s="19"/>
      <c r="G28" s="19"/>
      <c r="H28" s="16">
        <f t="shared" si="2"/>
        <v>0</v>
      </c>
      <c r="I28" s="16">
        <f t="shared" si="3"/>
        <v>0</v>
      </c>
      <c r="J28" s="19"/>
      <c r="K28" s="19"/>
      <c r="L28" s="19"/>
      <c r="M28" s="20"/>
    </row>
    <row r="29" spans="1:13" ht="21.75" customHeight="1" x14ac:dyDescent="0.3">
      <c r="A29" s="12" t="s">
        <v>619</v>
      </c>
      <c r="B29" s="19"/>
      <c r="C29" s="19"/>
      <c r="D29" s="19"/>
      <c r="E29" s="19"/>
      <c r="F29" s="19"/>
      <c r="G29" s="19"/>
      <c r="H29" s="16">
        <f t="shared" si="2"/>
        <v>0</v>
      </c>
      <c r="I29" s="16">
        <f t="shared" si="3"/>
        <v>0</v>
      </c>
      <c r="J29" s="19"/>
      <c r="K29" s="19"/>
      <c r="L29" s="19"/>
      <c r="M29" s="20"/>
    </row>
    <row r="30" spans="1:13" ht="21.75" customHeight="1" x14ac:dyDescent="0.3">
      <c r="A30" s="12" t="s">
        <v>620</v>
      </c>
      <c r="B30" s="19"/>
      <c r="C30" s="19"/>
      <c r="D30" s="19"/>
      <c r="E30" s="19"/>
      <c r="F30" s="19"/>
      <c r="G30" s="19"/>
      <c r="H30" s="16">
        <f t="shared" si="2"/>
        <v>0</v>
      </c>
      <c r="I30" s="16">
        <f t="shared" si="3"/>
        <v>0</v>
      </c>
      <c r="J30" s="19"/>
      <c r="K30" s="19"/>
      <c r="L30" s="19"/>
      <c r="M30" s="20"/>
    </row>
    <row r="31" spans="1:13" ht="21.75" customHeight="1" x14ac:dyDescent="0.3">
      <c r="A31" s="12" t="s">
        <v>621</v>
      </c>
      <c r="B31" s="19"/>
      <c r="C31" s="19"/>
      <c r="D31" s="19"/>
      <c r="E31" s="19"/>
      <c r="F31" s="19"/>
      <c r="G31" s="19"/>
      <c r="H31" s="16">
        <f t="shared" si="2"/>
        <v>0</v>
      </c>
      <c r="I31" s="16">
        <f t="shared" si="3"/>
        <v>0</v>
      </c>
      <c r="J31" s="19"/>
      <c r="K31" s="19"/>
      <c r="L31" s="19"/>
      <c r="M31" s="20"/>
    </row>
    <row r="32" spans="1:13" ht="21.75" customHeight="1" x14ac:dyDescent="0.3">
      <c r="A32" s="12" t="s">
        <v>622</v>
      </c>
      <c r="B32" s="19"/>
      <c r="C32" s="19"/>
      <c r="D32" s="19"/>
      <c r="E32" s="19"/>
      <c r="F32" s="19"/>
      <c r="G32" s="19"/>
      <c r="H32" s="16">
        <f t="shared" si="2"/>
        <v>0</v>
      </c>
      <c r="I32" s="16">
        <f t="shared" si="3"/>
        <v>0</v>
      </c>
      <c r="J32" s="19"/>
      <c r="K32" s="19"/>
      <c r="L32" s="19"/>
      <c r="M32" s="20"/>
    </row>
    <row r="33" spans="1:13" ht="21.75" customHeight="1" x14ac:dyDescent="0.3">
      <c r="A33" s="12" t="s">
        <v>623</v>
      </c>
      <c r="B33" s="19"/>
      <c r="C33" s="19"/>
      <c r="D33" s="19"/>
      <c r="E33" s="19"/>
      <c r="F33" s="19"/>
      <c r="G33" s="19"/>
      <c r="H33" s="16">
        <f t="shared" si="2"/>
        <v>0</v>
      </c>
      <c r="I33" s="16">
        <f t="shared" si="3"/>
        <v>0</v>
      </c>
      <c r="J33" s="19"/>
      <c r="K33" s="19"/>
      <c r="L33" s="19"/>
      <c r="M33" s="20"/>
    </row>
    <row r="34" spans="1:13" ht="21.75" customHeight="1" x14ac:dyDescent="0.3">
      <c r="A34" s="12" t="s">
        <v>624</v>
      </c>
      <c r="B34" s="19"/>
      <c r="C34" s="19"/>
      <c r="D34" s="19"/>
      <c r="E34" s="19"/>
      <c r="F34" s="19"/>
      <c r="G34" s="19"/>
      <c r="H34" s="16">
        <f t="shared" si="2"/>
        <v>0</v>
      </c>
      <c r="I34" s="16">
        <f t="shared" si="3"/>
        <v>0</v>
      </c>
      <c r="J34" s="19"/>
      <c r="K34" s="19"/>
      <c r="L34" s="19"/>
      <c r="M34" s="20"/>
    </row>
    <row r="35" spans="1:13" ht="21.75" customHeight="1" x14ac:dyDescent="0.3">
      <c r="A35" s="12" t="s">
        <v>625</v>
      </c>
      <c r="B35" s="19"/>
      <c r="C35" s="19"/>
      <c r="D35" s="19"/>
      <c r="E35" s="19"/>
      <c r="F35" s="19"/>
      <c r="G35" s="19"/>
      <c r="H35" s="16">
        <f t="shared" si="2"/>
        <v>0</v>
      </c>
      <c r="I35" s="16">
        <f t="shared" si="3"/>
        <v>0</v>
      </c>
      <c r="J35" s="19"/>
      <c r="K35" s="19"/>
      <c r="L35" s="19"/>
      <c r="M35" s="20"/>
    </row>
    <row r="36" spans="1:13" ht="21.75" customHeight="1" x14ac:dyDescent="0.3">
      <c r="A36" s="12" t="s">
        <v>626</v>
      </c>
      <c r="B36" s="19"/>
      <c r="C36" s="19"/>
      <c r="D36" s="19"/>
      <c r="E36" s="19"/>
      <c r="F36" s="19"/>
      <c r="G36" s="19"/>
      <c r="H36" s="16">
        <f t="shared" si="2"/>
        <v>0</v>
      </c>
      <c r="I36" s="16">
        <f t="shared" si="3"/>
        <v>0</v>
      </c>
      <c r="J36" s="19"/>
      <c r="K36" s="19"/>
      <c r="L36" s="19"/>
      <c r="M36" s="20"/>
    </row>
    <row r="37" spans="1:13" ht="21.75" customHeight="1" x14ac:dyDescent="0.3">
      <c r="A37" s="12" t="s">
        <v>627</v>
      </c>
      <c r="B37" s="19"/>
      <c r="C37" s="19"/>
      <c r="D37" s="19"/>
      <c r="E37" s="19"/>
      <c r="F37" s="19"/>
      <c r="G37" s="19"/>
      <c r="H37" s="16">
        <f t="shared" si="2"/>
        <v>0</v>
      </c>
      <c r="I37" s="16">
        <f t="shared" si="3"/>
        <v>0</v>
      </c>
      <c r="J37" s="19"/>
      <c r="K37" s="19"/>
      <c r="L37" s="19"/>
      <c r="M37" s="20"/>
    </row>
    <row r="38" spans="1:13" x14ac:dyDescent="0.3">
      <c r="A38" s="12" t="s">
        <v>628</v>
      </c>
      <c r="B38" s="19"/>
      <c r="C38" s="19"/>
      <c r="D38" s="19"/>
      <c r="E38" s="19"/>
      <c r="F38" s="19"/>
      <c r="G38" s="19"/>
      <c r="H38" s="16">
        <f t="shared" si="2"/>
        <v>0</v>
      </c>
      <c r="I38" s="16">
        <f t="shared" si="3"/>
        <v>0</v>
      </c>
      <c r="J38" s="19"/>
      <c r="K38" s="19"/>
      <c r="L38" s="19"/>
      <c r="M38" s="20"/>
    </row>
    <row r="39" spans="1:13" x14ac:dyDescent="0.3">
      <c r="A39" s="12" t="s">
        <v>629</v>
      </c>
      <c r="B39" s="19"/>
      <c r="C39" s="19"/>
      <c r="D39" s="19"/>
      <c r="E39" s="19"/>
      <c r="F39" s="19"/>
      <c r="G39" s="19"/>
      <c r="H39" s="16">
        <f t="shared" si="2"/>
        <v>0</v>
      </c>
      <c r="I39" s="16">
        <f t="shared" si="3"/>
        <v>0</v>
      </c>
      <c r="J39" s="19"/>
      <c r="K39" s="19"/>
      <c r="L39" s="19"/>
      <c r="M39" s="20"/>
    </row>
    <row r="40" spans="1:13" x14ac:dyDescent="0.3">
      <c r="A40" s="12" t="s">
        <v>630</v>
      </c>
      <c r="B40" s="19"/>
      <c r="C40" s="19"/>
      <c r="D40" s="19"/>
      <c r="E40" s="19"/>
      <c r="F40" s="19"/>
      <c r="G40" s="19"/>
      <c r="H40" s="16">
        <f t="shared" si="2"/>
        <v>0</v>
      </c>
      <c r="I40" s="16">
        <f t="shared" si="3"/>
        <v>0</v>
      </c>
      <c r="J40" s="19"/>
      <c r="K40" s="19"/>
      <c r="L40" s="19"/>
      <c r="M40" s="20"/>
    </row>
    <row r="41" spans="1:13" x14ac:dyDescent="0.3">
      <c r="A41" s="12" t="s">
        <v>631</v>
      </c>
      <c r="B41" s="19"/>
      <c r="C41" s="19"/>
      <c r="D41" s="19"/>
      <c r="E41" s="19"/>
      <c r="F41" s="19"/>
      <c r="G41" s="19"/>
      <c r="H41" s="16">
        <f t="shared" si="2"/>
        <v>0</v>
      </c>
      <c r="I41" s="16">
        <f t="shared" si="3"/>
        <v>0</v>
      </c>
      <c r="J41" s="19"/>
      <c r="K41" s="19"/>
      <c r="L41" s="19"/>
      <c r="M41" s="20"/>
    </row>
    <row r="42" spans="1:13" x14ac:dyDescent="0.3">
      <c r="A42" s="12" t="s">
        <v>632</v>
      </c>
      <c r="B42" s="19"/>
      <c r="C42" s="19"/>
      <c r="D42" s="19"/>
      <c r="E42" s="19"/>
      <c r="F42" s="19"/>
      <c r="G42" s="19"/>
      <c r="H42" s="16">
        <f t="shared" si="2"/>
        <v>0</v>
      </c>
      <c r="I42" s="16">
        <f t="shared" si="3"/>
        <v>0</v>
      </c>
      <c r="J42" s="19"/>
      <c r="K42" s="19"/>
      <c r="L42" s="19"/>
      <c r="M42" s="20"/>
    </row>
    <row r="43" spans="1:13" x14ac:dyDescent="0.3">
      <c r="A43" s="12" t="s">
        <v>633</v>
      </c>
      <c r="B43" s="19"/>
      <c r="C43" s="19"/>
      <c r="D43" s="19"/>
      <c r="E43" s="19"/>
      <c r="F43" s="19"/>
      <c r="G43" s="19"/>
      <c r="H43" s="16">
        <f t="shared" si="2"/>
        <v>0</v>
      </c>
      <c r="I43" s="16">
        <f t="shared" si="3"/>
        <v>0</v>
      </c>
      <c r="J43" s="19"/>
      <c r="K43" s="19"/>
      <c r="L43" s="19"/>
      <c r="M43" s="20"/>
    </row>
    <row r="44" spans="1:13" x14ac:dyDescent="0.3">
      <c r="A44" s="12" t="s">
        <v>634</v>
      </c>
      <c r="B44" s="19"/>
      <c r="C44" s="19"/>
      <c r="D44" s="19"/>
      <c r="E44" s="19"/>
      <c r="F44" s="19"/>
      <c r="G44" s="19"/>
      <c r="H44" s="16">
        <f t="shared" si="2"/>
        <v>0</v>
      </c>
      <c r="I44" s="16">
        <f t="shared" si="3"/>
        <v>0</v>
      </c>
      <c r="J44" s="19"/>
      <c r="K44" s="19"/>
      <c r="L44" s="19"/>
      <c r="M44" s="20"/>
    </row>
    <row r="45" spans="1:13" x14ac:dyDescent="0.3">
      <c r="A45" s="12" t="s">
        <v>635</v>
      </c>
      <c r="B45" s="19"/>
      <c r="C45" s="19"/>
      <c r="D45" s="19"/>
      <c r="E45" s="19"/>
      <c r="F45" s="19"/>
      <c r="G45" s="19"/>
      <c r="H45" s="16">
        <f t="shared" si="2"/>
        <v>0</v>
      </c>
      <c r="I45" s="16">
        <f t="shared" si="3"/>
        <v>0</v>
      </c>
      <c r="J45" s="19"/>
      <c r="K45" s="19"/>
      <c r="L45" s="19"/>
      <c r="M45" s="20"/>
    </row>
    <row r="46" spans="1:13" x14ac:dyDescent="0.3">
      <c r="A46" s="12" t="s">
        <v>636</v>
      </c>
      <c r="B46" s="19"/>
      <c r="C46" s="19"/>
      <c r="D46" s="19"/>
      <c r="E46" s="19"/>
      <c r="F46" s="19"/>
      <c r="G46" s="19"/>
      <c r="H46" s="16">
        <f t="shared" si="2"/>
        <v>0</v>
      </c>
      <c r="I46" s="16">
        <f t="shared" si="3"/>
        <v>0</v>
      </c>
      <c r="J46" s="19"/>
      <c r="K46" s="19"/>
      <c r="L46" s="19"/>
      <c r="M46" s="20"/>
    </row>
    <row r="47" spans="1:13" x14ac:dyDescent="0.3">
      <c r="A47" s="12" t="s">
        <v>637</v>
      </c>
      <c r="B47" s="19"/>
      <c r="C47" s="19"/>
      <c r="D47" s="19"/>
      <c r="E47" s="19"/>
      <c r="F47" s="19"/>
      <c r="G47" s="19"/>
      <c r="H47" s="16">
        <f t="shared" si="2"/>
        <v>0</v>
      </c>
      <c r="I47" s="16">
        <f t="shared" si="3"/>
        <v>0</v>
      </c>
      <c r="J47" s="19"/>
      <c r="K47" s="19"/>
      <c r="L47" s="19"/>
      <c r="M47" s="20"/>
    </row>
    <row r="48" spans="1:13" x14ac:dyDescent="0.3">
      <c r="A48" s="12" t="s">
        <v>638</v>
      </c>
      <c r="B48" s="19"/>
      <c r="C48" s="19"/>
      <c r="D48" s="19"/>
      <c r="E48" s="19"/>
      <c r="F48" s="19"/>
      <c r="G48" s="19"/>
      <c r="H48" s="16">
        <f t="shared" si="2"/>
        <v>0</v>
      </c>
      <c r="I48" s="16">
        <f t="shared" si="3"/>
        <v>0</v>
      </c>
      <c r="J48" s="19"/>
      <c r="K48" s="19"/>
      <c r="L48" s="19"/>
      <c r="M48" s="20"/>
    </row>
    <row r="49" spans="1:13" x14ac:dyDescent="0.3">
      <c r="A49" s="12" t="s">
        <v>639</v>
      </c>
      <c r="B49" s="19"/>
      <c r="C49" s="19"/>
      <c r="D49" s="19"/>
      <c r="E49" s="19"/>
      <c r="F49" s="19"/>
      <c r="G49" s="19"/>
      <c r="H49" s="16">
        <f t="shared" si="2"/>
        <v>0</v>
      </c>
      <c r="I49" s="16">
        <f t="shared" si="3"/>
        <v>0</v>
      </c>
      <c r="J49" s="19"/>
      <c r="K49" s="19"/>
      <c r="L49" s="19"/>
      <c r="M49" s="20"/>
    </row>
    <row r="50" spans="1:13" x14ac:dyDescent="0.3">
      <c r="A50" s="12" t="s">
        <v>640</v>
      </c>
      <c r="B50" s="19"/>
      <c r="C50" s="19"/>
      <c r="D50" s="19"/>
      <c r="E50" s="19"/>
      <c r="F50" s="19"/>
      <c r="G50" s="19"/>
      <c r="H50" s="16">
        <f t="shared" si="2"/>
        <v>0</v>
      </c>
      <c r="I50" s="16">
        <f t="shared" si="3"/>
        <v>0</v>
      </c>
      <c r="J50" s="19"/>
      <c r="K50" s="19"/>
      <c r="L50" s="19"/>
      <c r="M50" s="20"/>
    </row>
    <row r="51" spans="1:13" x14ac:dyDescent="0.3">
      <c r="A51" s="12" t="s">
        <v>641</v>
      </c>
      <c r="B51" s="19"/>
      <c r="C51" s="19"/>
      <c r="D51" s="19"/>
      <c r="E51" s="19"/>
      <c r="F51" s="19"/>
      <c r="G51" s="19"/>
      <c r="H51" s="16">
        <f t="shared" si="2"/>
        <v>0</v>
      </c>
      <c r="I51" s="16">
        <f t="shared" si="3"/>
        <v>0</v>
      </c>
      <c r="J51" s="19"/>
      <c r="K51" s="19"/>
      <c r="L51" s="19"/>
      <c r="M51" s="20"/>
    </row>
    <row r="52" spans="1:13" x14ac:dyDescent="0.3">
      <c r="A52" s="12" t="s">
        <v>642</v>
      </c>
      <c r="B52" s="19"/>
      <c r="C52" s="19"/>
      <c r="D52" s="19"/>
      <c r="E52" s="19"/>
      <c r="F52" s="19"/>
      <c r="G52" s="19"/>
      <c r="H52" s="16">
        <f t="shared" si="2"/>
        <v>0</v>
      </c>
      <c r="I52" s="16">
        <f t="shared" si="3"/>
        <v>0</v>
      </c>
      <c r="J52" s="19"/>
      <c r="K52" s="19"/>
      <c r="L52" s="19"/>
      <c r="M52" s="20"/>
    </row>
    <row r="53" spans="1:13" x14ac:dyDescent="0.3">
      <c r="A53" s="12" t="s">
        <v>643</v>
      </c>
      <c r="B53" s="19"/>
      <c r="C53" s="19"/>
      <c r="D53" s="19"/>
      <c r="E53" s="19"/>
      <c r="F53" s="19"/>
      <c r="G53" s="19"/>
      <c r="H53" s="16">
        <f t="shared" si="2"/>
        <v>0</v>
      </c>
      <c r="I53" s="16">
        <f t="shared" si="3"/>
        <v>0</v>
      </c>
      <c r="J53" s="19"/>
      <c r="K53" s="19"/>
      <c r="L53" s="19"/>
      <c r="M53" s="20"/>
    </row>
    <row r="54" spans="1:13" x14ac:dyDescent="0.3">
      <c r="A54" s="12" t="s">
        <v>644</v>
      </c>
      <c r="B54" s="19"/>
      <c r="C54" s="19"/>
      <c r="D54" s="19"/>
      <c r="E54" s="19"/>
      <c r="F54" s="19"/>
      <c r="G54" s="19"/>
      <c r="H54" s="16">
        <f t="shared" si="2"/>
        <v>0</v>
      </c>
      <c r="I54" s="16">
        <f t="shared" si="3"/>
        <v>0</v>
      </c>
      <c r="J54" s="19"/>
      <c r="K54" s="19"/>
      <c r="L54" s="19"/>
      <c r="M54" s="20"/>
    </row>
    <row r="55" spans="1:13" x14ac:dyDescent="0.3">
      <c r="A55" s="12" t="s">
        <v>645</v>
      </c>
      <c r="B55" s="19"/>
      <c r="C55" s="19"/>
      <c r="D55" s="19"/>
      <c r="E55" s="19"/>
      <c r="F55" s="19"/>
      <c r="G55" s="19"/>
      <c r="H55" s="16">
        <f t="shared" si="2"/>
        <v>0</v>
      </c>
      <c r="I55" s="16">
        <f t="shared" si="3"/>
        <v>0</v>
      </c>
      <c r="J55" s="19"/>
      <c r="K55" s="19"/>
      <c r="L55" s="19"/>
      <c r="M55" s="20"/>
    </row>
    <row r="56" spans="1:13" x14ac:dyDescent="0.3">
      <c r="A56" s="12" t="s">
        <v>646</v>
      </c>
      <c r="B56" s="19"/>
      <c r="C56" s="19"/>
      <c r="D56" s="19"/>
      <c r="E56" s="19"/>
      <c r="F56" s="19"/>
      <c r="G56" s="19"/>
      <c r="H56" s="16">
        <f t="shared" si="2"/>
        <v>0</v>
      </c>
      <c r="I56" s="16">
        <f t="shared" si="3"/>
        <v>0</v>
      </c>
      <c r="J56" s="19"/>
      <c r="K56" s="19"/>
      <c r="L56" s="19"/>
      <c r="M56" s="20"/>
    </row>
    <row r="57" spans="1:13" x14ac:dyDescent="0.3">
      <c r="A57" s="12" t="s">
        <v>647</v>
      </c>
      <c r="B57" s="19"/>
      <c r="C57" s="19"/>
      <c r="D57" s="19"/>
      <c r="E57" s="19"/>
      <c r="F57" s="19"/>
      <c r="G57" s="19"/>
      <c r="H57" s="16">
        <f t="shared" si="2"/>
        <v>0</v>
      </c>
      <c r="I57" s="16">
        <f t="shared" si="3"/>
        <v>0</v>
      </c>
      <c r="J57" s="19"/>
      <c r="K57" s="19"/>
      <c r="L57" s="19"/>
      <c r="M57" s="20"/>
    </row>
    <row r="58" spans="1:13" x14ac:dyDescent="0.3">
      <c r="A58" s="12" t="s">
        <v>648</v>
      </c>
      <c r="B58" s="19"/>
      <c r="C58" s="19"/>
      <c r="D58" s="19"/>
      <c r="E58" s="19"/>
      <c r="F58" s="19"/>
      <c r="G58" s="19"/>
      <c r="H58" s="16">
        <f t="shared" si="2"/>
        <v>0</v>
      </c>
      <c r="I58" s="16">
        <f t="shared" si="3"/>
        <v>0</v>
      </c>
      <c r="J58" s="19"/>
      <c r="K58" s="19"/>
      <c r="L58" s="19"/>
      <c r="M58" s="20"/>
    </row>
    <row r="59" spans="1:13" x14ac:dyDescent="0.3">
      <c r="A59" s="12" t="s">
        <v>649</v>
      </c>
      <c r="B59" s="19"/>
      <c r="C59" s="19"/>
      <c r="D59" s="19"/>
      <c r="E59" s="19"/>
      <c r="F59" s="19"/>
      <c r="G59" s="19"/>
      <c r="H59" s="16">
        <f t="shared" si="2"/>
        <v>0</v>
      </c>
      <c r="I59" s="16">
        <f t="shared" si="3"/>
        <v>0</v>
      </c>
      <c r="J59" s="19"/>
      <c r="K59" s="19"/>
      <c r="L59" s="19"/>
      <c r="M59" s="20"/>
    </row>
    <row r="60" spans="1:13" x14ac:dyDescent="0.3">
      <c r="A60" s="12" t="s">
        <v>650</v>
      </c>
      <c r="B60" s="19"/>
      <c r="C60" s="19"/>
      <c r="D60" s="19"/>
      <c r="E60" s="19"/>
      <c r="F60" s="19"/>
      <c r="G60" s="19"/>
      <c r="H60" s="16">
        <f t="shared" si="2"/>
        <v>0</v>
      </c>
      <c r="I60" s="16">
        <f t="shared" si="3"/>
        <v>0</v>
      </c>
      <c r="J60" s="19"/>
      <c r="K60" s="19"/>
      <c r="L60" s="19"/>
      <c r="M60" s="20"/>
    </row>
    <row r="61" spans="1:13" x14ac:dyDescent="0.3">
      <c r="A61" s="12" t="s">
        <v>651</v>
      </c>
      <c r="B61" s="19"/>
      <c r="C61" s="19"/>
      <c r="D61" s="19"/>
      <c r="E61" s="19"/>
      <c r="F61" s="19"/>
      <c r="G61" s="19"/>
      <c r="H61" s="16">
        <f t="shared" si="2"/>
        <v>0</v>
      </c>
      <c r="I61" s="16">
        <f t="shared" si="3"/>
        <v>0</v>
      </c>
      <c r="J61" s="19"/>
      <c r="K61" s="19"/>
      <c r="L61" s="19"/>
      <c r="M61" s="20"/>
    </row>
    <row r="62" spans="1:13" x14ac:dyDescent="0.3">
      <c r="A62" s="12" t="s">
        <v>652</v>
      </c>
      <c r="B62" s="19"/>
      <c r="C62" s="19"/>
      <c r="D62" s="19"/>
      <c r="E62" s="19"/>
      <c r="F62" s="19"/>
      <c r="G62" s="19"/>
      <c r="H62" s="16">
        <f t="shared" si="2"/>
        <v>0</v>
      </c>
      <c r="I62" s="16">
        <f t="shared" si="3"/>
        <v>0</v>
      </c>
      <c r="J62" s="19"/>
      <c r="K62" s="19"/>
      <c r="L62" s="19"/>
      <c r="M62" s="20"/>
    </row>
    <row r="63" spans="1:13" x14ac:dyDescent="0.3">
      <c r="A63" s="12" t="s">
        <v>653</v>
      </c>
      <c r="B63" s="19"/>
      <c r="C63" s="19"/>
      <c r="D63" s="19"/>
      <c r="E63" s="19"/>
      <c r="F63" s="19"/>
      <c r="G63" s="19"/>
      <c r="H63" s="16">
        <f t="shared" si="2"/>
        <v>0</v>
      </c>
      <c r="I63" s="16">
        <f t="shared" si="3"/>
        <v>0</v>
      </c>
      <c r="J63" s="19"/>
      <c r="K63" s="19"/>
      <c r="L63" s="19"/>
      <c r="M63" s="20"/>
    </row>
    <row r="64" spans="1:13" x14ac:dyDescent="0.3">
      <c r="A64" s="12" t="s">
        <v>654</v>
      </c>
      <c r="B64" s="19"/>
      <c r="C64" s="19"/>
      <c r="D64" s="19"/>
      <c r="E64" s="19"/>
      <c r="F64" s="19"/>
      <c r="G64" s="19"/>
      <c r="H64" s="16">
        <f t="shared" si="2"/>
        <v>0</v>
      </c>
      <c r="I64" s="16">
        <f t="shared" si="3"/>
        <v>0</v>
      </c>
      <c r="J64" s="19"/>
      <c r="K64" s="19"/>
      <c r="L64" s="19"/>
      <c r="M64" s="20"/>
    </row>
    <row r="65" spans="1:13" x14ac:dyDescent="0.3">
      <c r="A65" s="12" t="s">
        <v>655</v>
      </c>
      <c r="B65" s="19"/>
      <c r="C65" s="19"/>
      <c r="D65" s="19"/>
      <c r="E65" s="19"/>
      <c r="F65" s="19"/>
      <c r="G65" s="19"/>
      <c r="H65" s="16">
        <f t="shared" si="2"/>
        <v>0</v>
      </c>
      <c r="I65" s="16">
        <f t="shared" si="3"/>
        <v>0</v>
      </c>
      <c r="J65" s="19"/>
      <c r="K65" s="19"/>
      <c r="L65" s="19"/>
      <c r="M65" s="20"/>
    </row>
    <row r="66" spans="1:13" x14ac:dyDescent="0.3">
      <c r="A66" s="12" t="s">
        <v>656</v>
      </c>
      <c r="B66" s="19"/>
      <c r="C66" s="19"/>
      <c r="D66" s="19"/>
      <c r="E66" s="19"/>
      <c r="F66" s="19"/>
      <c r="G66" s="19"/>
      <c r="H66" s="16">
        <f t="shared" si="2"/>
        <v>0</v>
      </c>
      <c r="I66" s="16">
        <f t="shared" si="3"/>
        <v>0</v>
      </c>
      <c r="J66" s="19"/>
      <c r="K66" s="19"/>
      <c r="L66" s="19"/>
      <c r="M66" s="20"/>
    </row>
    <row r="67" spans="1:13" x14ac:dyDescent="0.3">
      <c r="A67" s="12" t="s">
        <v>657</v>
      </c>
      <c r="B67" s="19"/>
      <c r="C67" s="19"/>
      <c r="D67" s="19"/>
      <c r="E67" s="19"/>
      <c r="F67" s="19"/>
      <c r="G67" s="19"/>
      <c r="H67" s="16">
        <f t="shared" si="2"/>
        <v>0</v>
      </c>
      <c r="I67" s="16">
        <f t="shared" si="3"/>
        <v>0</v>
      </c>
      <c r="J67" s="19"/>
      <c r="K67" s="19"/>
      <c r="L67" s="19"/>
      <c r="M67" s="20"/>
    </row>
    <row r="68" spans="1:13" x14ac:dyDescent="0.3">
      <c r="A68" s="12" t="s">
        <v>658</v>
      </c>
      <c r="B68" s="19"/>
      <c r="C68" s="19"/>
      <c r="D68" s="19"/>
      <c r="E68" s="19"/>
      <c r="F68" s="19"/>
      <c r="G68" s="19"/>
      <c r="H68" s="16">
        <f t="shared" si="2"/>
        <v>0</v>
      </c>
      <c r="I68" s="16">
        <f t="shared" si="3"/>
        <v>0</v>
      </c>
      <c r="J68" s="19"/>
      <c r="K68" s="19"/>
      <c r="L68" s="19"/>
      <c r="M68" s="20"/>
    </row>
    <row r="69" spans="1:13" x14ac:dyDescent="0.3">
      <c r="A69" s="12" t="s">
        <v>659</v>
      </c>
      <c r="B69" s="19"/>
      <c r="C69" s="19"/>
      <c r="D69" s="19"/>
      <c r="E69" s="19"/>
      <c r="F69" s="19"/>
      <c r="G69" s="19"/>
      <c r="H69" s="16">
        <f t="shared" si="2"/>
        <v>0</v>
      </c>
      <c r="I69" s="16">
        <f t="shared" si="3"/>
        <v>0</v>
      </c>
      <c r="J69" s="19"/>
      <c r="K69" s="19"/>
      <c r="L69" s="19"/>
      <c r="M69" s="20"/>
    </row>
    <row r="70" spans="1:13" x14ac:dyDescent="0.3">
      <c r="A70" s="12" t="s">
        <v>660</v>
      </c>
      <c r="B70" s="19"/>
      <c r="C70" s="19"/>
      <c r="D70" s="19"/>
      <c r="E70" s="19"/>
      <c r="F70" s="19"/>
      <c r="G70" s="19"/>
      <c r="H70" s="16">
        <f t="shared" si="2"/>
        <v>0</v>
      </c>
      <c r="I70" s="16">
        <f t="shared" si="3"/>
        <v>0</v>
      </c>
      <c r="J70" s="19"/>
      <c r="K70" s="19"/>
      <c r="L70" s="19"/>
      <c r="M70" s="20"/>
    </row>
    <row r="71" spans="1:13" x14ac:dyDescent="0.3">
      <c r="A71" s="12" t="s">
        <v>661</v>
      </c>
      <c r="B71" s="19"/>
      <c r="C71" s="19"/>
      <c r="D71" s="19"/>
      <c r="E71" s="19"/>
      <c r="F71" s="19"/>
      <c r="G71" s="19"/>
      <c r="H71" s="16">
        <f t="shared" si="2"/>
        <v>0</v>
      </c>
      <c r="I71" s="16">
        <f t="shared" si="3"/>
        <v>0</v>
      </c>
      <c r="J71" s="19"/>
      <c r="K71" s="19"/>
      <c r="L71" s="19"/>
      <c r="M71" s="20"/>
    </row>
    <row r="72" spans="1:13" x14ac:dyDescent="0.3">
      <c r="A72" s="12" t="s">
        <v>662</v>
      </c>
      <c r="B72" s="19"/>
      <c r="C72" s="19"/>
      <c r="D72" s="19"/>
      <c r="E72" s="19"/>
      <c r="F72" s="19"/>
      <c r="G72" s="19"/>
      <c r="H72" s="16">
        <f t="shared" si="2"/>
        <v>0</v>
      </c>
      <c r="I72" s="16">
        <f t="shared" si="3"/>
        <v>0</v>
      </c>
      <c r="J72" s="19"/>
      <c r="K72" s="19"/>
      <c r="L72" s="19"/>
      <c r="M72" s="20"/>
    </row>
    <row r="73" spans="1:13" x14ac:dyDescent="0.3">
      <c r="A73" s="12" t="s">
        <v>663</v>
      </c>
      <c r="B73" s="19"/>
      <c r="C73" s="19"/>
      <c r="D73" s="19"/>
      <c r="E73" s="19"/>
      <c r="F73" s="19"/>
      <c r="G73" s="19"/>
      <c r="H73" s="16">
        <f t="shared" ref="H73:H125" si="4">SUM(G73*0.2)</f>
        <v>0</v>
      </c>
      <c r="I73" s="16">
        <f t="shared" ref="I73:I125" si="5">SUM(G73+H73)</f>
        <v>0</v>
      </c>
      <c r="J73" s="19"/>
      <c r="K73" s="19"/>
      <c r="L73" s="19"/>
      <c r="M73" s="20"/>
    </row>
    <row r="74" spans="1:13" x14ac:dyDescent="0.3">
      <c r="A74" s="12" t="s">
        <v>664</v>
      </c>
      <c r="B74" s="19"/>
      <c r="C74" s="19"/>
      <c r="D74" s="19"/>
      <c r="E74" s="19"/>
      <c r="F74" s="19"/>
      <c r="G74" s="19"/>
      <c r="H74" s="16">
        <f t="shared" si="4"/>
        <v>0</v>
      </c>
      <c r="I74" s="16">
        <f t="shared" si="5"/>
        <v>0</v>
      </c>
      <c r="J74" s="19"/>
      <c r="K74" s="19"/>
      <c r="L74" s="19"/>
      <c r="M74" s="20"/>
    </row>
    <row r="75" spans="1:13" x14ac:dyDescent="0.3">
      <c r="A75" s="12" t="s">
        <v>665</v>
      </c>
      <c r="B75" s="19"/>
      <c r="C75" s="19"/>
      <c r="D75" s="19"/>
      <c r="E75" s="19"/>
      <c r="F75" s="19"/>
      <c r="G75" s="19"/>
      <c r="H75" s="16">
        <f t="shared" si="4"/>
        <v>0</v>
      </c>
      <c r="I75" s="16">
        <f t="shared" si="5"/>
        <v>0</v>
      </c>
      <c r="J75" s="19"/>
      <c r="K75" s="19"/>
      <c r="L75" s="19"/>
      <c r="M75" s="20"/>
    </row>
    <row r="76" spans="1:13" x14ac:dyDescent="0.3">
      <c r="A76" s="12" t="s">
        <v>666</v>
      </c>
      <c r="B76" s="19"/>
      <c r="C76" s="19"/>
      <c r="D76" s="19"/>
      <c r="E76" s="19"/>
      <c r="F76" s="19"/>
      <c r="G76" s="19"/>
      <c r="H76" s="16">
        <f t="shared" si="4"/>
        <v>0</v>
      </c>
      <c r="I76" s="16">
        <f t="shared" si="5"/>
        <v>0</v>
      </c>
      <c r="J76" s="19"/>
      <c r="K76" s="19"/>
      <c r="L76" s="19"/>
      <c r="M76" s="20"/>
    </row>
    <row r="77" spans="1:13" x14ac:dyDescent="0.3">
      <c r="A77" s="12" t="s">
        <v>667</v>
      </c>
      <c r="B77" s="19"/>
      <c r="C77" s="19"/>
      <c r="D77" s="19"/>
      <c r="E77" s="19"/>
      <c r="F77" s="19"/>
      <c r="G77" s="19"/>
      <c r="H77" s="16">
        <f t="shared" si="4"/>
        <v>0</v>
      </c>
      <c r="I77" s="16">
        <f t="shared" si="5"/>
        <v>0</v>
      </c>
      <c r="J77" s="19"/>
      <c r="K77" s="19"/>
      <c r="L77" s="19"/>
      <c r="M77" s="20"/>
    </row>
    <row r="78" spans="1:13" x14ac:dyDescent="0.3">
      <c r="A78" s="12" t="s">
        <v>668</v>
      </c>
      <c r="B78" s="19"/>
      <c r="C78" s="19"/>
      <c r="D78" s="19"/>
      <c r="E78" s="19"/>
      <c r="F78" s="19"/>
      <c r="G78" s="19"/>
      <c r="H78" s="16">
        <f t="shared" si="4"/>
        <v>0</v>
      </c>
      <c r="I78" s="16">
        <f t="shared" si="5"/>
        <v>0</v>
      </c>
      <c r="J78" s="19"/>
      <c r="K78" s="19"/>
      <c r="L78" s="19"/>
      <c r="M78" s="20"/>
    </row>
    <row r="79" spans="1:13" x14ac:dyDescent="0.3">
      <c r="A79" s="12" t="s">
        <v>669</v>
      </c>
      <c r="B79" s="19"/>
      <c r="C79" s="19"/>
      <c r="D79" s="19"/>
      <c r="E79" s="19"/>
      <c r="F79" s="19"/>
      <c r="G79" s="19"/>
      <c r="H79" s="16">
        <f t="shared" si="4"/>
        <v>0</v>
      </c>
      <c r="I79" s="16">
        <f t="shared" si="5"/>
        <v>0</v>
      </c>
      <c r="J79" s="19"/>
      <c r="K79" s="19"/>
      <c r="L79" s="19"/>
      <c r="M79" s="20"/>
    </row>
    <row r="80" spans="1:13" x14ac:dyDescent="0.3">
      <c r="A80" s="12" t="s">
        <v>670</v>
      </c>
      <c r="B80" s="19"/>
      <c r="C80" s="19"/>
      <c r="D80" s="19"/>
      <c r="E80" s="19"/>
      <c r="F80" s="19"/>
      <c r="G80" s="19"/>
      <c r="H80" s="16">
        <f t="shared" si="4"/>
        <v>0</v>
      </c>
      <c r="I80" s="16">
        <f t="shared" si="5"/>
        <v>0</v>
      </c>
      <c r="J80" s="19"/>
      <c r="K80" s="19"/>
      <c r="L80" s="19"/>
      <c r="M80" s="20"/>
    </row>
    <row r="81" spans="1:13" x14ac:dyDescent="0.3">
      <c r="A81" s="12" t="s">
        <v>671</v>
      </c>
      <c r="B81" s="19"/>
      <c r="C81" s="19"/>
      <c r="D81" s="19"/>
      <c r="E81" s="19"/>
      <c r="F81" s="19"/>
      <c r="G81" s="19"/>
      <c r="H81" s="16">
        <f t="shared" si="4"/>
        <v>0</v>
      </c>
      <c r="I81" s="16">
        <f t="shared" si="5"/>
        <v>0</v>
      </c>
      <c r="J81" s="19"/>
      <c r="K81" s="19"/>
      <c r="L81" s="19"/>
      <c r="M81" s="19"/>
    </row>
    <row r="82" spans="1:13" x14ac:dyDescent="0.3">
      <c r="A82" s="12" t="s">
        <v>672</v>
      </c>
      <c r="B82" s="28"/>
      <c r="C82" s="28"/>
      <c r="D82" s="28"/>
      <c r="E82" s="28"/>
      <c r="F82" s="28"/>
      <c r="G82" s="28"/>
      <c r="H82" s="16">
        <f t="shared" si="4"/>
        <v>0</v>
      </c>
      <c r="I82" s="16">
        <f t="shared" si="5"/>
        <v>0</v>
      </c>
      <c r="J82" s="28"/>
      <c r="K82" s="28"/>
      <c r="L82" s="28"/>
      <c r="M82" s="28"/>
    </row>
    <row r="83" spans="1:13" x14ac:dyDescent="0.3">
      <c r="A83" s="12" t="s">
        <v>673</v>
      </c>
      <c r="B83" s="28"/>
      <c r="C83" s="28"/>
      <c r="D83" s="28"/>
      <c r="E83" s="28"/>
      <c r="F83" s="28"/>
      <c r="G83" s="28"/>
      <c r="H83" s="16">
        <f t="shared" si="4"/>
        <v>0</v>
      </c>
      <c r="I83" s="16">
        <f t="shared" si="5"/>
        <v>0</v>
      </c>
      <c r="J83" s="28"/>
      <c r="K83" s="28"/>
      <c r="L83" s="28"/>
      <c r="M83" s="28"/>
    </row>
    <row r="84" spans="1:13" x14ac:dyDescent="0.3">
      <c r="A84" s="12" t="s">
        <v>674</v>
      </c>
      <c r="B84" s="28"/>
      <c r="C84" s="28"/>
      <c r="D84" s="28"/>
      <c r="E84" s="28"/>
      <c r="F84" s="28"/>
      <c r="G84" s="28"/>
      <c r="H84" s="16">
        <f t="shared" si="4"/>
        <v>0</v>
      </c>
      <c r="I84" s="16">
        <f t="shared" si="5"/>
        <v>0</v>
      </c>
      <c r="J84" s="28"/>
      <c r="K84" s="28"/>
      <c r="L84" s="28"/>
      <c r="M84" s="28"/>
    </row>
    <row r="85" spans="1:13" x14ac:dyDescent="0.3">
      <c r="A85" s="12" t="s">
        <v>675</v>
      </c>
      <c r="B85" s="28"/>
      <c r="C85" s="28"/>
      <c r="D85" s="28"/>
      <c r="E85" s="28"/>
      <c r="F85" s="28"/>
      <c r="G85" s="28"/>
      <c r="H85" s="16">
        <f t="shared" si="4"/>
        <v>0</v>
      </c>
      <c r="I85" s="16">
        <f t="shared" si="5"/>
        <v>0</v>
      </c>
      <c r="J85" s="28"/>
      <c r="K85" s="28"/>
      <c r="L85" s="28"/>
      <c r="M85" s="28"/>
    </row>
    <row r="86" spans="1:13" x14ac:dyDescent="0.3">
      <c r="A86" s="12" t="s">
        <v>676</v>
      </c>
      <c r="B86" s="28"/>
      <c r="C86" s="28"/>
      <c r="D86" s="28"/>
      <c r="E86" s="28"/>
      <c r="F86" s="28"/>
      <c r="G86" s="28"/>
      <c r="H86" s="16">
        <f t="shared" si="4"/>
        <v>0</v>
      </c>
      <c r="I86" s="16">
        <f t="shared" si="5"/>
        <v>0</v>
      </c>
      <c r="J86" s="28"/>
      <c r="K86" s="28"/>
      <c r="L86" s="28"/>
      <c r="M86" s="28"/>
    </row>
    <row r="87" spans="1:13" x14ac:dyDescent="0.3">
      <c r="A87" s="12" t="s">
        <v>677</v>
      </c>
      <c r="B87" s="28"/>
      <c r="C87" s="28"/>
      <c r="D87" s="28"/>
      <c r="E87" s="28"/>
      <c r="F87" s="28"/>
      <c r="G87" s="28"/>
      <c r="H87" s="16">
        <f t="shared" si="4"/>
        <v>0</v>
      </c>
      <c r="I87" s="16">
        <f t="shared" si="5"/>
        <v>0</v>
      </c>
      <c r="J87" s="28"/>
      <c r="K87" s="28"/>
      <c r="L87" s="28"/>
      <c r="M87" s="28"/>
    </row>
    <row r="88" spans="1:13" x14ac:dyDescent="0.3">
      <c r="A88" s="12" t="s">
        <v>678</v>
      </c>
      <c r="B88" s="28"/>
      <c r="C88" s="28"/>
      <c r="D88" s="28"/>
      <c r="E88" s="28"/>
      <c r="F88" s="28"/>
      <c r="G88" s="28"/>
      <c r="H88" s="16">
        <f t="shared" si="4"/>
        <v>0</v>
      </c>
      <c r="I88" s="16">
        <f t="shared" si="5"/>
        <v>0</v>
      </c>
      <c r="J88" s="28"/>
      <c r="K88" s="28"/>
      <c r="L88" s="28"/>
      <c r="M88" s="28"/>
    </row>
    <row r="89" spans="1:13" x14ac:dyDescent="0.3">
      <c r="A89" s="12" t="s">
        <v>679</v>
      </c>
      <c r="B89" s="28"/>
      <c r="C89" s="28"/>
      <c r="D89" s="28"/>
      <c r="E89" s="28"/>
      <c r="F89" s="28"/>
      <c r="G89" s="28"/>
      <c r="H89" s="16">
        <f t="shared" si="4"/>
        <v>0</v>
      </c>
      <c r="I89" s="16">
        <f t="shared" si="5"/>
        <v>0</v>
      </c>
      <c r="J89" s="28"/>
      <c r="K89" s="28"/>
      <c r="L89" s="28"/>
      <c r="M89" s="28"/>
    </row>
    <row r="90" spans="1:13" x14ac:dyDescent="0.3">
      <c r="A90" s="12" t="s">
        <v>680</v>
      </c>
      <c r="B90" s="28"/>
      <c r="C90" s="28"/>
      <c r="D90" s="28"/>
      <c r="E90" s="28"/>
      <c r="F90" s="28"/>
      <c r="G90" s="28"/>
      <c r="H90" s="16">
        <f t="shared" si="4"/>
        <v>0</v>
      </c>
      <c r="I90" s="16">
        <f t="shared" si="5"/>
        <v>0</v>
      </c>
      <c r="J90" s="28"/>
      <c r="K90" s="28"/>
      <c r="L90" s="28"/>
      <c r="M90" s="28"/>
    </row>
    <row r="91" spans="1:13" x14ac:dyDescent="0.3">
      <c r="A91" s="12" t="s">
        <v>681</v>
      </c>
      <c r="B91" s="28"/>
      <c r="C91" s="28"/>
      <c r="D91" s="28"/>
      <c r="E91" s="28"/>
      <c r="F91" s="28"/>
      <c r="G91" s="28"/>
      <c r="H91" s="16">
        <f t="shared" si="4"/>
        <v>0</v>
      </c>
      <c r="I91" s="16">
        <f t="shared" si="5"/>
        <v>0</v>
      </c>
      <c r="J91" s="28"/>
      <c r="K91" s="28"/>
      <c r="L91" s="28"/>
      <c r="M91" s="28"/>
    </row>
    <row r="92" spans="1:13" x14ac:dyDescent="0.3">
      <c r="A92" s="12" t="s">
        <v>682</v>
      </c>
      <c r="B92" s="28"/>
      <c r="C92" s="28"/>
      <c r="D92" s="28"/>
      <c r="E92" s="28"/>
      <c r="F92" s="28"/>
      <c r="G92" s="28"/>
      <c r="H92" s="16">
        <f t="shared" si="4"/>
        <v>0</v>
      </c>
      <c r="I92" s="16">
        <f t="shared" si="5"/>
        <v>0</v>
      </c>
      <c r="J92" s="28"/>
      <c r="K92" s="28"/>
      <c r="L92" s="28"/>
      <c r="M92" s="28"/>
    </row>
    <row r="93" spans="1:13" x14ac:dyDescent="0.3">
      <c r="A93" s="12" t="s">
        <v>683</v>
      </c>
      <c r="B93" s="28"/>
      <c r="C93" s="28"/>
      <c r="D93" s="28"/>
      <c r="E93" s="28"/>
      <c r="F93" s="28"/>
      <c r="G93" s="28"/>
      <c r="H93" s="16">
        <f t="shared" si="4"/>
        <v>0</v>
      </c>
      <c r="I93" s="16">
        <f t="shared" si="5"/>
        <v>0</v>
      </c>
      <c r="J93" s="28"/>
      <c r="K93" s="28"/>
      <c r="L93" s="28"/>
      <c r="M93" s="28"/>
    </row>
    <row r="94" spans="1:13" x14ac:dyDescent="0.3">
      <c r="A94" s="12" t="s">
        <v>684</v>
      </c>
      <c r="B94" s="28"/>
      <c r="C94" s="28"/>
      <c r="D94" s="28"/>
      <c r="E94" s="28"/>
      <c r="F94" s="28"/>
      <c r="G94" s="28"/>
      <c r="H94" s="16">
        <f t="shared" si="4"/>
        <v>0</v>
      </c>
      <c r="I94" s="16">
        <f t="shared" si="5"/>
        <v>0</v>
      </c>
      <c r="J94" s="28"/>
      <c r="K94" s="28"/>
      <c r="L94" s="28"/>
      <c r="M94" s="28"/>
    </row>
    <row r="95" spans="1:13" x14ac:dyDescent="0.3">
      <c r="A95" s="12" t="s">
        <v>685</v>
      </c>
      <c r="B95" s="28"/>
      <c r="C95" s="28"/>
      <c r="D95" s="28"/>
      <c r="E95" s="28"/>
      <c r="F95" s="28"/>
      <c r="G95" s="28"/>
      <c r="H95" s="16">
        <f t="shared" si="4"/>
        <v>0</v>
      </c>
      <c r="I95" s="16">
        <f t="shared" si="5"/>
        <v>0</v>
      </c>
      <c r="J95" s="28"/>
      <c r="K95" s="28"/>
      <c r="L95" s="28"/>
      <c r="M95" s="28"/>
    </row>
    <row r="96" spans="1:13" x14ac:dyDescent="0.3">
      <c r="A96" s="12" t="s">
        <v>686</v>
      </c>
      <c r="B96" s="28"/>
      <c r="C96" s="28"/>
      <c r="D96" s="28"/>
      <c r="E96" s="28"/>
      <c r="F96" s="28"/>
      <c r="G96" s="28"/>
      <c r="H96" s="16">
        <f t="shared" si="4"/>
        <v>0</v>
      </c>
      <c r="I96" s="16">
        <f t="shared" si="5"/>
        <v>0</v>
      </c>
      <c r="J96" s="28"/>
      <c r="K96" s="28"/>
      <c r="L96" s="28"/>
      <c r="M96" s="28"/>
    </row>
    <row r="97" spans="1:13" x14ac:dyDescent="0.3">
      <c r="A97" s="12" t="s">
        <v>687</v>
      </c>
      <c r="B97" s="28"/>
      <c r="C97" s="28"/>
      <c r="D97" s="28"/>
      <c r="E97" s="28"/>
      <c r="F97" s="28"/>
      <c r="G97" s="28"/>
      <c r="H97" s="16">
        <f t="shared" si="4"/>
        <v>0</v>
      </c>
      <c r="I97" s="16">
        <f t="shared" si="5"/>
        <v>0</v>
      </c>
      <c r="J97" s="28"/>
      <c r="K97" s="28"/>
      <c r="L97" s="28"/>
      <c r="M97" s="28"/>
    </row>
    <row r="98" spans="1:13" x14ac:dyDescent="0.3">
      <c r="A98" s="12" t="s">
        <v>688</v>
      </c>
      <c r="B98" s="28"/>
      <c r="C98" s="28"/>
      <c r="D98" s="28"/>
      <c r="E98" s="28"/>
      <c r="F98" s="28"/>
      <c r="G98" s="28"/>
      <c r="H98" s="16">
        <f t="shared" si="4"/>
        <v>0</v>
      </c>
      <c r="I98" s="16">
        <f t="shared" si="5"/>
        <v>0</v>
      </c>
      <c r="J98" s="28"/>
      <c r="K98" s="28"/>
      <c r="L98" s="28"/>
      <c r="M98" s="28"/>
    </row>
    <row r="99" spans="1:13" x14ac:dyDescent="0.3">
      <c r="A99" s="12" t="s">
        <v>689</v>
      </c>
      <c r="B99" s="28"/>
      <c r="C99" s="28"/>
      <c r="D99" s="28"/>
      <c r="E99" s="28"/>
      <c r="F99" s="28"/>
      <c r="G99" s="28"/>
      <c r="H99" s="16">
        <f t="shared" si="4"/>
        <v>0</v>
      </c>
      <c r="I99" s="16">
        <f t="shared" si="5"/>
        <v>0</v>
      </c>
      <c r="J99" s="28"/>
      <c r="K99" s="28"/>
      <c r="L99" s="28"/>
      <c r="M99" s="28"/>
    </row>
    <row r="100" spans="1:13" x14ac:dyDescent="0.3">
      <c r="A100" s="12" t="s">
        <v>690</v>
      </c>
      <c r="B100" s="28"/>
      <c r="C100" s="28"/>
      <c r="D100" s="28"/>
      <c r="E100" s="28"/>
      <c r="F100" s="28"/>
      <c r="G100" s="28"/>
      <c r="H100" s="16">
        <f t="shared" si="4"/>
        <v>0</v>
      </c>
      <c r="I100" s="16">
        <f t="shared" si="5"/>
        <v>0</v>
      </c>
      <c r="J100" s="28"/>
      <c r="K100" s="28"/>
      <c r="L100" s="28"/>
      <c r="M100" s="28"/>
    </row>
    <row r="101" spans="1:13" x14ac:dyDescent="0.3">
      <c r="A101" s="12" t="s">
        <v>691</v>
      </c>
      <c r="B101" s="28"/>
      <c r="C101" s="28"/>
      <c r="D101" s="28"/>
      <c r="E101" s="28"/>
      <c r="F101" s="28"/>
      <c r="G101" s="28"/>
      <c r="H101" s="16">
        <f t="shared" si="4"/>
        <v>0</v>
      </c>
      <c r="I101" s="16">
        <f t="shared" si="5"/>
        <v>0</v>
      </c>
      <c r="J101" s="28"/>
      <c r="K101" s="28"/>
      <c r="L101" s="28"/>
      <c r="M101" s="28"/>
    </row>
    <row r="102" spans="1:13" x14ac:dyDescent="0.3">
      <c r="A102" s="12" t="s">
        <v>692</v>
      </c>
      <c r="B102" s="28"/>
      <c r="C102" s="28"/>
      <c r="D102" s="28"/>
      <c r="E102" s="28"/>
      <c r="F102" s="28"/>
      <c r="G102" s="28"/>
      <c r="H102" s="16">
        <f t="shared" si="4"/>
        <v>0</v>
      </c>
      <c r="I102" s="16">
        <f t="shared" si="5"/>
        <v>0</v>
      </c>
      <c r="J102" s="28"/>
      <c r="K102" s="28"/>
      <c r="L102" s="28"/>
      <c r="M102" s="28"/>
    </row>
    <row r="103" spans="1:13" x14ac:dyDescent="0.3">
      <c r="A103" s="12" t="s">
        <v>693</v>
      </c>
      <c r="B103" s="28"/>
      <c r="C103" s="28"/>
      <c r="D103" s="28"/>
      <c r="E103" s="28"/>
      <c r="F103" s="28"/>
      <c r="G103" s="28"/>
      <c r="H103" s="16">
        <f t="shared" si="4"/>
        <v>0</v>
      </c>
      <c r="I103" s="16">
        <f t="shared" si="5"/>
        <v>0</v>
      </c>
      <c r="J103" s="28"/>
      <c r="K103" s="28"/>
      <c r="L103" s="28"/>
      <c r="M103" s="28"/>
    </row>
    <row r="104" spans="1:13" x14ac:dyDescent="0.3">
      <c r="A104" s="12" t="s">
        <v>694</v>
      </c>
      <c r="B104" s="28"/>
      <c r="C104" s="28"/>
      <c r="D104" s="28"/>
      <c r="E104" s="28"/>
      <c r="F104" s="28"/>
      <c r="G104" s="28"/>
      <c r="H104" s="16">
        <f t="shared" si="4"/>
        <v>0</v>
      </c>
      <c r="I104" s="16">
        <f t="shared" si="5"/>
        <v>0</v>
      </c>
      <c r="J104" s="28"/>
      <c r="K104" s="28"/>
      <c r="L104" s="28"/>
      <c r="M104" s="28"/>
    </row>
    <row r="105" spans="1:13" x14ac:dyDescent="0.3">
      <c r="A105" s="12" t="s">
        <v>695</v>
      </c>
      <c r="B105" s="28"/>
      <c r="C105" s="28"/>
      <c r="D105" s="28"/>
      <c r="E105" s="28"/>
      <c r="F105" s="28"/>
      <c r="G105" s="28"/>
      <c r="H105" s="16">
        <f t="shared" si="4"/>
        <v>0</v>
      </c>
      <c r="I105" s="16">
        <f t="shared" si="5"/>
        <v>0</v>
      </c>
      <c r="J105" s="28"/>
      <c r="K105" s="28"/>
      <c r="L105" s="28"/>
      <c r="M105" s="28"/>
    </row>
    <row r="106" spans="1:13" x14ac:dyDescent="0.3">
      <c r="A106" s="12" t="s">
        <v>696</v>
      </c>
      <c r="B106" s="28"/>
      <c r="C106" s="28"/>
      <c r="D106" s="28"/>
      <c r="E106" s="28"/>
      <c r="F106" s="28"/>
      <c r="G106" s="28"/>
      <c r="H106" s="16">
        <f t="shared" si="4"/>
        <v>0</v>
      </c>
      <c r="I106" s="16">
        <f t="shared" si="5"/>
        <v>0</v>
      </c>
      <c r="J106" s="28"/>
      <c r="K106" s="28"/>
      <c r="L106" s="28"/>
      <c r="M106" s="28"/>
    </row>
    <row r="107" spans="1:13" x14ac:dyDescent="0.3">
      <c r="A107" s="12" t="s">
        <v>697</v>
      </c>
      <c r="B107" s="28"/>
      <c r="C107" s="28"/>
      <c r="D107" s="28"/>
      <c r="E107" s="28"/>
      <c r="F107" s="28"/>
      <c r="G107" s="28"/>
      <c r="H107" s="16">
        <f t="shared" si="4"/>
        <v>0</v>
      </c>
      <c r="I107" s="16">
        <f t="shared" si="5"/>
        <v>0</v>
      </c>
      <c r="J107" s="28"/>
      <c r="K107" s="28"/>
      <c r="L107" s="28"/>
      <c r="M107" s="28"/>
    </row>
    <row r="108" spans="1:13" x14ac:dyDescent="0.3">
      <c r="A108" s="12" t="s">
        <v>698</v>
      </c>
      <c r="B108" s="28"/>
      <c r="C108" s="28"/>
      <c r="D108" s="28"/>
      <c r="E108" s="28"/>
      <c r="F108" s="28"/>
      <c r="G108" s="28"/>
      <c r="H108" s="16">
        <f t="shared" si="4"/>
        <v>0</v>
      </c>
      <c r="I108" s="16">
        <f t="shared" si="5"/>
        <v>0</v>
      </c>
      <c r="J108" s="28"/>
      <c r="K108" s="28"/>
      <c r="L108" s="28"/>
      <c r="M108" s="28"/>
    </row>
    <row r="109" spans="1:13" x14ac:dyDescent="0.3">
      <c r="A109" s="12" t="s">
        <v>699</v>
      </c>
      <c r="B109" s="28"/>
      <c r="C109" s="28"/>
      <c r="D109" s="28"/>
      <c r="E109" s="28"/>
      <c r="F109" s="28"/>
      <c r="G109" s="28"/>
      <c r="H109" s="16">
        <f t="shared" si="4"/>
        <v>0</v>
      </c>
      <c r="I109" s="16">
        <f t="shared" si="5"/>
        <v>0</v>
      </c>
      <c r="J109" s="28"/>
      <c r="K109" s="28"/>
      <c r="L109" s="28"/>
      <c r="M109" s="28"/>
    </row>
    <row r="110" spans="1:13" x14ac:dyDescent="0.3">
      <c r="A110" s="12" t="s">
        <v>700</v>
      </c>
      <c r="B110" s="28"/>
      <c r="C110" s="28"/>
      <c r="D110" s="28"/>
      <c r="E110" s="28"/>
      <c r="F110" s="28"/>
      <c r="G110" s="28"/>
      <c r="H110" s="16">
        <f t="shared" si="4"/>
        <v>0</v>
      </c>
      <c r="I110" s="16">
        <f t="shared" si="5"/>
        <v>0</v>
      </c>
      <c r="J110" s="28"/>
      <c r="K110" s="28"/>
      <c r="L110" s="28"/>
      <c r="M110" s="28"/>
    </row>
    <row r="111" spans="1:13" x14ac:dyDescent="0.3">
      <c r="A111" s="12" t="s">
        <v>701</v>
      </c>
      <c r="B111" s="28"/>
      <c r="C111" s="28"/>
      <c r="D111" s="28"/>
      <c r="E111" s="28"/>
      <c r="F111" s="28"/>
      <c r="G111" s="28"/>
      <c r="H111" s="16">
        <f t="shared" si="4"/>
        <v>0</v>
      </c>
      <c r="I111" s="16">
        <f t="shared" si="5"/>
        <v>0</v>
      </c>
      <c r="J111" s="28"/>
      <c r="K111" s="28"/>
      <c r="L111" s="28"/>
      <c r="M111" s="28"/>
    </row>
    <row r="112" spans="1:13" x14ac:dyDescent="0.3">
      <c r="A112" s="12" t="s">
        <v>702</v>
      </c>
      <c r="B112" s="28"/>
      <c r="C112" s="28"/>
      <c r="D112" s="28"/>
      <c r="E112" s="28"/>
      <c r="F112" s="28"/>
      <c r="G112" s="28"/>
      <c r="H112" s="16">
        <f t="shared" si="4"/>
        <v>0</v>
      </c>
      <c r="I112" s="16">
        <f t="shared" si="5"/>
        <v>0</v>
      </c>
      <c r="J112" s="28"/>
      <c r="K112" s="28"/>
      <c r="L112" s="28"/>
      <c r="M112" s="28"/>
    </row>
    <row r="113" spans="1:13" x14ac:dyDescent="0.3">
      <c r="A113" s="12" t="s">
        <v>703</v>
      </c>
      <c r="B113" s="28"/>
      <c r="C113" s="28"/>
      <c r="D113" s="28"/>
      <c r="E113" s="28"/>
      <c r="F113" s="28"/>
      <c r="G113" s="28"/>
      <c r="H113" s="16">
        <f t="shared" si="4"/>
        <v>0</v>
      </c>
      <c r="I113" s="16">
        <f t="shared" si="5"/>
        <v>0</v>
      </c>
      <c r="J113" s="28"/>
      <c r="K113" s="28"/>
      <c r="L113" s="28"/>
      <c r="M113" s="28"/>
    </row>
    <row r="114" spans="1:13" x14ac:dyDescent="0.3">
      <c r="A114" s="12" t="s">
        <v>704</v>
      </c>
      <c r="B114" s="28"/>
      <c r="C114" s="28"/>
      <c r="D114" s="28"/>
      <c r="E114" s="28"/>
      <c r="F114" s="28"/>
      <c r="G114" s="28"/>
      <c r="H114" s="16">
        <f t="shared" si="4"/>
        <v>0</v>
      </c>
      <c r="I114" s="16">
        <f t="shared" si="5"/>
        <v>0</v>
      </c>
      <c r="J114" s="28"/>
      <c r="K114" s="28"/>
      <c r="L114" s="28"/>
      <c r="M114" s="28"/>
    </row>
    <row r="115" spans="1:13" x14ac:dyDescent="0.3">
      <c r="A115" s="12" t="s">
        <v>705</v>
      </c>
      <c r="B115" s="28"/>
      <c r="C115" s="28"/>
      <c r="D115" s="28"/>
      <c r="E115" s="28"/>
      <c r="F115" s="28"/>
      <c r="G115" s="28"/>
      <c r="H115" s="16">
        <f t="shared" si="4"/>
        <v>0</v>
      </c>
      <c r="I115" s="16">
        <f t="shared" si="5"/>
        <v>0</v>
      </c>
      <c r="J115" s="28"/>
      <c r="K115" s="28"/>
      <c r="L115" s="28"/>
      <c r="M115" s="28"/>
    </row>
    <row r="116" spans="1:13" x14ac:dyDescent="0.3">
      <c r="A116" s="12" t="s">
        <v>706</v>
      </c>
      <c r="B116" s="28"/>
      <c r="C116" s="28"/>
      <c r="D116" s="28"/>
      <c r="E116" s="28"/>
      <c r="F116" s="28"/>
      <c r="G116" s="28"/>
      <c r="H116" s="16">
        <f t="shared" si="4"/>
        <v>0</v>
      </c>
      <c r="I116" s="16">
        <f t="shared" si="5"/>
        <v>0</v>
      </c>
      <c r="J116" s="28"/>
      <c r="K116" s="28"/>
      <c r="L116" s="28"/>
      <c r="M116" s="28"/>
    </row>
    <row r="117" spans="1:13" x14ac:dyDescent="0.3">
      <c r="A117" s="12" t="s">
        <v>707</v>
      </c>
      <c r="B117" s="28"/>
      <c r="C117" s="28"/>
      <c r="D117" s="28"/>
      <c r="E117" s="28"/>
      <c r="F117" s="28"/>
      <c r="G117" s="28"/>
      <c r="H117" s="16">
        <f t="shared" si="4"/>
        <v>0</v>
      </c>
      <c r="I117" s="16">
        <f t="shared" si="5"/>
        <v>0</v>
      </c>
      <c r="J117" s="28"/>
      <c r="K117" s="28"/>
      <c r="L117" s="28"/>
      <c r="M117" s="28"/>
    </row>
    <row r="118" spans="1:13" x14ac:dyDescent="0.3">
      <c r="A118" s="12" t="s">
        <v>708</v>
      </c>
      <c r="B118" s="28"/>
      <c r="C118" s="28"/>
      <c r="D118" s="28"/>
      <c r="E118" s="28"/>
      <c r="F118" s="28"/>
      <c r="G118" s="28"/>
      <c r="H118" s="16">
        <f t="shared" si="4"/>
        <v>0</v>
      </c>
      <c r="I118" s="16">
        <f t="shared" si="5"/>
        <v>0</v>
      </c>
      <c r="J118" s="28"/>
      <c r="K118" s="28"/>
      <c r="L118" s="28"/>
      <c r="M118" s="28"/>
    </row>
    <row r="119" spans="1:13" x14ac:dyDescent="0.3">
      <c r="A119" s="12" t="s">
        <v>709</v>
      </c>
      <c r="B119" s="28"/>
      <c r="C119" s="28"/>
      <c r="D119" s="28"/>
      <c r="E119" s="28"/>
      <c r="F119" s="28"/>
      <c r="G119" s="28"/>
      <c r="H119" s="16">
        <f t="shared" si="4"/>
        <v>0</v>
      </c>
      <c r="I119" s="16">
        <f t="shared" si="5"/>
        <v>0</v>
      </c>
      <c r="J119" s="28"/>
      <c r="K119" s="28"/>
      <c r="L119" s="28"/>
      <c r="M119" s="28"/>
    </row>
    <row r="120" spans="1:13" x14ac:dyDescent="0.3">
      <c r="A120" s="12" t="s">
        <v>710</v>
      </c>
      <c r="B120" s="28"/>
      <c r="C120" s="28"/>
      <c r="D120" s="28"/>
      <c r="E120" s="28"/>
      <c r="F120" s="28"/>
      <c r="G120" s="28"/>
      <c r="H120" s="16">
        <f t="shared" si="4"/>
        <v>0</v>
      </c>
      <c r="I120" s="16">
        <f t="shared" si="5"/>
        <v>0</v>
      </c>
      <c r="J120" s="28"/>
      <c r="K120" s="28"/>
      <c r="L120" s="28"/>
      <c r="M120" s="28"/>
    </row>
    <row r="121" spans="1:13" x14ac:dyDescent="0.3">
      <c r="A121" s="12" t="s">
        <v>711</v>
      </c>
      <c r="B121" s="28"/>
      <c r="C121" s="28"/>
      <c r="D121" s="28"/>
      <c r="E121" s="28"/>
      <c r="F121" s="28"/>
      <c r="G121" s="28"/>
      <c r="H121" s="16">
        <f t="shared" si="4"/>
        <v>0</v>
      </c>
      <c r="I121" s="16">
        <f t="shared" si="5"/>
        <v>0</v>
      </c>
      <c r="J121" s="28"/>
      <c r="K121" s="28"/>
      <c r="L121" s="28"/>
      <c r="M121" s="28"/>
    </row>
    <row r="122" spans="1:13" x14ac:dyDescent="0.3">
      <c r="A122" s="12" t="s">
        <v>712</v>
      </c>
      <c r="B122" s="28"/>
      <c r="C122" s="28"/>
      <c r="D122" s="28"/>
      <c r="E122" s="28"/>
      <c r="F122" s="28"/>
      <c r="G122" s="28"/>
      <c r="H122" s="16">
        <f t="shared" si="4"/>
        <v>0</v>
      </c>
      <c r="I122" s="16">
        <f t="shared" si="5"/>
        <v>0</v>
      </c>
      <c r="J122" s="28"/>
      <c r="K122" s="28"/>
      <c r="L122" s="28"/>
      <c r="M122" s="28"/>
    </row>
    <row r="123" spans="1:13" x14ac:dyDescent="0.3">
      <c r="A123" s="12" t="s">
        <v>713</v>
      </c>
      <c r="B123" s="28"/>
      <c r="C123" s="28"/>
      <c r="D123" s="28"/>
      <c r="E123" s="28"/>
      <c r="F123" s="28"/>
      <c r="G123" s="28"/>
      <c r="H123" s="16">
        <f t="shared" si="4"/>
        <v>0</v>
      </c>
      <c r="I123" s="16">
        <f t="shared" si="5"/>
        <v>0</v>
      </c>
      <c r="J123" s="28"/>
      <c r="K123" s="28"/>
      <c r="L123" s="28"/>
      <c r="M123" s="28"/>
    </row>
    <row r="124" spans="1:13" x14ac:dyDescent="0.3">
      <c r="A124" s="12" t="s">
        <v>714</v>
      </c>
      <c r="B124" s="28"/>
      <c r="C124" s="28"/>
      <c r="D124" s="28"/>
      <c r="E124" s="28"/>
      <c r="F124" s="28"/>
      <c r="G124" s="28"/>
      <c r="H124" s="16">
        <f t="shared" si="4"/>
        <v>0</v>
      </c>
      <c r="I124" s="16">
        <f t="shared" si="5"/>
        <v>0</v>
      </c>
      <c r="J124" s="28"/>
      <c r="K124" s="28"/>
      <c r="L124" s="28"/>
      <c r="M124" s="28"/>
    </row>
    <row r="125" spans="1:13" x14ac:dyDescent="0.3">
      <c r="A125" s="12" t="s">
        <v>715</v>
      </c>
      <c r="B125" s="28"/>
      <c r="C125" s="28"/>
      <c r="D125" s="28"/>
      <c r="E125" s="28"/>
      <c r="F125" s="28"/>
      <c r="G125" s="28"/>
      <c r="H125" s="16">
        <f t="shared" si="4"/>
        <v>0</v>
      </c>
      <c r="I125" s="16">
        <f t="shared" si="5"/>
        <v>0</v>
      </c>
      <c r="J125" s="28"/>
      <c r="K125" s="28"/>
      <c r="L125" s="28"/>
      <c r="M125" s="28"/>
    </row>
  </sheetData>
  <autoFilter ref="A7:M80" xr:uid="{00000000-0009-0000-0000-000002000000}"/>
  <mergeCells count="1">
    <mergeCell ref="A3:L3"/>
  </mergeCells>
  <dataValidations count="3">
    <dataValidation type="list" allowBlank="1" showInputMessage="1" showErrorMessage="1" sqref="L8:L19" xr:uid="{00000000-0002-0000-0200-000000000000}">
      <formula1>"A faire, Fait, A finaliser, Payé"</formula1>
    </dataValidation>
    <dataValidation type="list" allowBlank="1" showInputMessage="1" showErrorMessage="1" sqref="N8:N125" xr:uid="{00000000-0002-0000-0200-000001000000}">
      <formula1>"Paiement, en cours, annulé"</formula1>
    </dataValidation>
    <dataValidation type="list" allowBlank="1" showInputMessage="1" showErrorMessage="1" sqref="L23:L80 L20:L21" xr:uid="{00000000-0002-0000-0200-000002000000}">
      <formula1>"A faire, Fait, A finaliser, Payer"</formula1>
    </dataValidation>
  </dataValidations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3:I156"/>
  <sheetViews>
    <sheetView topLeftCell="A143" workbookViewId="0">
      <selection activeCell="A8" sqref="A8:A153"/>
    </sheetView>
  </sheetViews>
  <sheetFormatPr baseColWidth="10" defaultColWidth="11.44140625" defaultRowHeight="14.4" x14ac:dyDescent="0.3"/>
  <cols>
    <col min="1" max="1" width="14.6640625" customWidth="1"/>
    <col min="2" max="2" width="27.88671875" customWidth="1"/>
    <col min="3" max="3" width="24.88671875" customWidth="1"/>
    <col min="4" max="4" width="10.6640625" customWidth="1"/>
    <col min="5" max="5" width="14.88671875" customWidth="1"/>
    <col min="6" max="6" width="11.33203125" customWidth="1"/>
    <col min="7" max="7" width="11.44140625" customWidth="1"/>
    <col min="8" max="8" width="12.44140625" customWidth="1"/>
    <col min="9" max="9" width="10.6640625" customWidth="1"/>
  </cols>
  <sheetData>
    <row r="3" spans="1:9" ht="28.8" x14ac:dyDescent="0.55000000000000004">
      <c r="A3" s="194" t="s">
        <v>717</v>
      </c>
      <c r="B3" s="194"/>
      <c r="C3" s="194"/>
      <c r="D3" s="194"/>
      <c r="E3" s="194"/>
      <c r="F3" s="194"/>
      <c r="G3" s="194"/>
      <c r="H3" s="194"/>
      <c r="I3" s="194"/>
    </row>
    <row r="4" spans="1:9" ht="21" x14ac:dyDescent="0.4">
      <c r="A4" s="5"/>
      <c r="B4" s="5"/>
      <c r="C4" s="5"/>
      <c r="D4" s="5"/>
      <c r="E4" s="5"/>
      <c r="F4" s="5"/>
      <c r="G4" s="5"/>
      <c r="H4" s="5"/>
      <c r="I4" s="5"/>
    </row>
    <row r="7" spans="1:9" ht="18.75" customHeight="1" x14ac:dyDescent="0.3">
      <c r="A7" s="7" t="s">
        <v>0</v>
      </c>
      <c r="B7" s="7" t="s">
        <v>1</v>
      </c>
      <c r="C7" s="7" t="s">
        <v>2</v>
      </c>
      <c r="D7" s="7" t="s">
        <v>4</v>
      </c>
      <c r="E7" s="7" t="s">
        <v>5</v>
      </c>
      <c r="F7" s="7" t="s">
        <v>6</v>
      </c>
      <c r="G7" s="7" t="s">
        <v>7</v>
      </c>
      <c r="H7" s="7" t="s">
        <v>8</v>
      </c>
      <c r="I7" s="7" t="s">
        <v>17</v>
      </c>
    </row>
    <row r="8" spans="1:9" ht="45" customHeight="1" x14ac:dyDescent="0.3">
      <c r="A8" s="3" t="s">
        <v>716</v>
      </c>
      <c r="B8" s="4"/>
      <c r="C8" s="4"/>
      <c r="D8" s="4"/>
      <c r="E8" s="4"/>
      <c r="F8" s="6"/>
      <c r="G8" s="6"/>
      <c r="H8" s="8"/>
      <c r="I8" s="3"/>
    </row>
    <row r="9" spans="1:9" ht="45" customHeight="1" x14ac:dyDescent="0.3">
      <c r="A9" s="3" t="s">
        <v>718</v>
      </c>
      <c r="B9" s="4"/>
      <c r="C9" s="4"/>
      <c r="D9" s="4"/>
      <c r="E9" s="4"/>
      <c r="F9" s="6"/>
      <c r="G9" s="6"/>
      <c r="H9" s="8"/>
      <c r="I9" s="3"/>
    </row>
    <row r="10" spans="1:9" ht="45" customHeight="1" x14ac:dyDescent="0.3">
      <c r="A10" s="3" t="s">
        <v>719</v>
      </c>
      <c r="B10" s="4"/>
      <c r="C10" s="3"/>
      <c r="D10" s="3"/>
      <c r="E10" s="3"/>
      <c r="F10" s="6"/>
      <c r="G10" s="3"/>
      <c r="H10" s="6"/>
      <c r="I10" s="3"/>
    </row>
    <row r="11" spans="1:9" ht="45" customHeight="1" x14ac:dyDescent="0.3">
      <c r="A11" s="3" t="s">
        <v>720</v>
      </c>
      <c r="B11" s="3"/>
      <c r="C11" s="3"/>
      <c r="D11" s="3"/>
      <c r="E11" s="4"/>
      <c r="F11" s="3"/>
      <c r="G11" s="3"/>
      <c r="H11" s="8"/>
      <c r="I11" s="3"/>
    </row>
    <row r="12" spans="1:9" ht="45" customHeight="1" x14ac:dyDescent="0.3">
      <c r="A12" s="3" t="s">
        <v>721</v>
      </c>
      <c r="B12" s="3"/>
      <c r="C12" s="3"/>
      <c r="D12" s="3"/>
      <c r="E12" s="4"/>
      <c r="F12" s="3"/>
      <c r="G12" s="3"/>
      <c r="H12" s="8"/>
      <c r="I12" s="3"/>
    </row>
    <row r="13" spans="1:9" ht="45" customHeight="1" x14ac:dyDescent="0.3">
      <c r="A13" s="3" t="s">
        <v>722</v>
      </c>
      <c r="B13" s="3"/>
      <c r="C13" s="3"/>
      <c r="D13" s="3"/>
      <c r="E13" s="3"/>
      <c r="F13" s="3"/>
      <c r="G13" s="3"/>
      <c r="H13" s="4"/>
      <c r="I13" s="3"/>
    </row>
    <row r="14" spans="1:9" ht="45" customHeight="1" x14ac:dyDescent="0.3">
      <c r="A14" s="3" t="s">
        <v>723</v>
      </c>
      <c r="B14" s="3"/>
      <c r="C14" s="3"/>
      <c r="D14" s="3"/>
      <c r="E14" s="3"/>
      <c r="F14" s="3"/>
      <c r="G14" s="3"/>
      <c r="H14" s="8"/>
      <c r="I14" s="3"/>
    </row>
    <row r="15" spans="1:9" ht="45" customHeight="1" x14ac:dyDescent="0.3">
      <c r="A15" s="3" t="s">
        <v>724</v>
      </c>
      <c r="B15" s="3"/>
      <c r="C15" s="3"/>
      <c r="D15" s="3"/>
      <c r="E15" s="3"/>
      <c r="F15" s="3"/>
      <c r="G15" s="3"/>
      <c r="H15" s="8"/>
      <c r="I15" s="3"/>
    </row>
    <row r="16" spans="1:9" ht="45" customHeight="1" x14ac:dyDescent="0.3">
      <c r="A16" s="3" t="s">
        <v>725</v>
      </c>
      <c r="B16" s="4"/>
      <c r="C16" s="3"/>
      <c r="D16" s="3"/>
      <c r="E16" s="3"/>
      <c r="F16" s="2"/>
      <c r="G16" s="3"/>
      <c r="H16" s="8"/>
      <c r="I16" s="3"/>
    </row>
    <row r="17" spans="1:9" ht="45" customHeight="1" x14ac:dyDescent="0.3">
      <c r="A17" s="3" t="s">
        <v>726</v>
      </c>
      <c r="B17" s="3"/>
      <c r="C17" s="3"/>
      <c r="D17" s="3"/>
      <c r="E17" s="3"/>
      <c r="F17" s="3"/>
      <c r="G17" s="3"/>
      <c r="H17" s="1"/>
      <c r="I17" s="3"/>
    </row>
    <row r="18" spans="1:9" ht="45" customHeight="1" x14ac:dyDescent="0.3">
      <c r="A18" s="3" t="s">
        <v>727</v>
      </c>
      <c r="B18" s="3"/>
      <c r="C18" s="3"/>
      <c r="D18" s="3"/>
      <c r="E18" s="3"/>
      <c r="F18" s="3"/>
      <c r="G18" s="3"/>
      <c r="H18" s="1"/>
      <c r="I18" s="3"/>
    </row>
    <row r="19" spans="1:9" ht="45" customHeight="1" x14ac:dyDescent="0.3">
      <c r="A19" s="3" t="s">
        <v>728</v>
      </c>
      <c r="B19" s="3"/>
      <c r="C19" s="3"/>
      <c r="D19" s="3"/>
      <c r="E19" s="3"/>
      <c r="F19" s="2"/>
      <c r="G19" s="3"/>
      <c r="H19" s="1"/>
      <c r="I19" s="3"/>
    </row>
    <row r="20" spans="1:9" ht="45" customHeight="1" x14ac:dyDescent="0.3">
      <c r="A20" s="3" t="s">
        <v>729</v>
      </c>
      <c r="B20" s="3"/>
      <c r="C20" s="3"/>
      <c r="D20" s="3"/>
      <c r="E20" s="3"/>
      <c r="F20" s="3"/>
      <c r="G20" s="3"/>
      <c r="H20" s="3"/>
      <c r="I20" s="3"/>
    </row>
    <row r="21" spans="1:9" ht="45" customHeight="1" x14ac:dyDescent="0.3">
      <c r="A21" s="3" t="s">
        <v>730</v>
      </c>
      <c r="B21" s="3"/>
      <c r="C21" s="3"/>
      <c r="D21" s="3"/>
      <c r="E21" s="3"/>
      <c r="F21" s="3"/>
      <c r="G21" s="3"/>
      <c r="H21" s="3"/>
      <c r="I21" s="3"/>
    </row>
    <row r="22" spans="1:9" ht="45" customHeight="1" x14ac:dyDescent="0.3">
      <c r="A22" s="3" t="s">
        <v>731</v>
      </c>
      <c r="B22" s="3"/>
      <c r="C22" s="3"/>
      <c r="D22" s="3"/>
      <c r="E22" s="3"/>
      <c r="F22" s="3"/>
      <c r="G22" s="3"/>
      <c r="H22" s="3"/>
      <c r="I22" s="3"/>
    </row>
    <row r="23" spans="1:9" ht="45" customHeight="1" x14ac:dyDescent="0.3">
      <c r="A23" s="3" t="s">
        <v>732</v>
      </c>
      <c r="B23" s="3"/>
      <c r="C23" s="3"/>
      <c r="D23" s="3"/>
      <c r="E23" s="3"/>
      <c r="F23" s="3"/>
      <c r="G23" s="3"/>
      <c r="H23" s="3"/>
      <c r="I23" s="3"/>
    </row>
    <row r="24" spans="1:9" ht="45" customHeight="1" x14ac:dyDescent="0.3">
      <c r="A24" s="3" t="s">
        <v>733</v>
      </c>
      <c r="B24" s="3"/>
      <c r="C24" s="3"/>
      <c r="D24" s="3"/>
      <c r="E24" s="3"/>
      <c r="F24" s="3"/>
      <c r="G24" s="3"/>
      <c r="H24" s="3"/>
      <c r="I24" s="3"/>
    </row>
    <row r="25" spans="1:9" ht="45" customHeight="1" x14ac:dyDescent="0.3">
      <c r="A25" s="3" t="s">
        <v>734</v>
      </c>
      <c r="B25" s="3"/>
      <c r="C25" s="3"/>
      <c r="D25" s="3"/>
      <c r="E25" s="3"/>
      <c r="F25" s="3"/>
      <c r="G25" s="3"/>
      <c r="H25" s="3"/>
      <c r="I25" s="3"/>
    </row>
    <row r="26" spans="1:9" ht="45" customHeight="1" x14ac:dyDescent="0.3">
      <c r="A26" s="3" t="s">
        <v>735</v>
      </c>
      <c r="B26" s="3"/>
      <c r="C26" s="3"/>
      <c r="D26" s="3"/>
      <c r="E26" s="3"/>
      <c r="F26" s="3"/>
      <c r="G26" s="3"/>
      <c r="H26" s="3"/>
      <c r="I26" s="3"/>
    </row>
    <row r="27" spans="1:9" ht="45" customHeight="1" x14ac:dyDescent="0.3">
      <c r="A27" s="3" t="s">
        <v>736</v>
      </c>
      <c r="B27" s="3"/>
      <c r="C27" s="3"/>
      <c r="D27" s="3"/>
      <c r="E27" s="3"/>
      <c r="F27" s="3"/>
      <c r="G27" s="3"/>
      <c r="H27" s="3"/>
      <c r="I27" s="3"/>
    </row>
    <row r="28" spans="1:9" ht="45" customHeight="1" x14ac:dyDescent="0.3">
      <c r="A28" s="3" t="s">
        <v>737</v>
      </c>
      <c r="B28" s="3"/>
      <c r="C28" s="3"/>
      <c r="D28" s="3"/>
      <c r="E28" s="3"/>
      <c r="F28" s="3"/>
      <c r="G28" s="3"/>
      <c r="H28" s="3"/>
      <c r="I28" s="3"/>
    </row>
    <row r="29" spans="1:9" ht="45" customHeight="1" x14ac:dyDescent="0.3">
      <c r="A29" s="3" t="s">
        <v>738</v>
      </c>
      <c r="B29" s="3"/>
      <c r="C29" s="3"/>
      <c r="D29" s="3"/>
      <c r="E29" s="3"/>
      <c r="F29" s="3"/>
      <c r="G29" s="3"/>
      <c r="H29" s="3"/>
      <c r="I29" s="3"/>
    </row>
    <row r="30" spans="1:9" ht="45" customHeight="1" x14ac:dyDescent="0.3">
      <c r="A30" s="3" t="s">
        <v>739</v>
      </c>
      <c r="B30" s="3"/>
      <c r="C30" s="3"/>
      <c r="D30" s="3"/>
      <c r="E30" s="3"/>
      <c r="F30" s="3"/>
      <c r="G30" s="3"/>
      <c r="H30" s="3"/>
      <c r="I30" s="3"/>
    </row>
    <row r="31" spans="1:9" ht="45" customHeight="1" x14ac:dyDescent="0.3">
      <c r="A31" s="3" t="s">
        <v>740</v>
      </c>
      <c r="B31" s="3"/>
      <c r="C31" s="3"/>
      <c r="D31" s="3"/>
      <c r="E31" s="3"/>
      <c r="F31" s="3"/>
      <c r="G31" s="3"/>
      <c r="H31" s="3"/>
      <c r="I31" s="3"/>
    </row>
    <row r="32" spans="1:9" ht="45" customHeight="1" x14ac:dyDescent="0.3">
      <c r="A32" s="3" t="s">
        <v>741</v>
      </c>
      <c r="B32" s="3"/>
      <c r="C32" s="3"/>
      <c r="D32" s="3"/>
      <c r="E32" s="3"/>
      <c r="F32" s="3"/>
      <c r="G32" s="3"/>
      <c r="H32" s="3"/>
      <c r="I32" s="3"/>
    </row>
    <row r="33" spans="1:9" ht="45" customHeight="1" x14ac:dyDescent="0.3">
      <c r="A33" s="3" t="s">
        <v>742</v>
      </c>
      <c r="B33" s="3"/>
      <c r="C33" s="3"/>
      <c r="D33" s="3"/>
      <c r="E33" s="3"/>
      <c r="F33" s="3"/>
      <c r="G33" s="3"/>
      <c r="H33" s="3"/>
      <c r="I33" s="3"/>
    </row>
    <row r="34" spans="1:9" ht="45" customHeight="1" x14ac:dyDescent="0.3">
      <c r="A34" s="3" t="s">
        <v>743</v>
      </c>
      <c r="B34" s="3"/>
      <c r="C34" s="3"/>
      <c r="D34" s="3"/>
      <c r="E34" s="3"/>
      <c r="F34" s="3"/>
      <c r="G34" s="3"/>
      <c r="H34" s="3"/>
      <c r="I34" s="3"/>
    </row>
    <row r="35" spans="1:9" ht="45" customHeight="1" x14ac:dyDescent="0.3">
      <c r="A35" s="3" t="s">
        <v>744</v>
      </c>
      <c r="B35" s="3"/>
      <c r="C35" s="3"/>
      <c r="D35" s="3"/>
      <c r="E35" s="3"/>
      <c r="F35" s="3"/>
      <c r="G35" s="3"/>
      <c r="H35" s="3"/>
      <c r="I35" s="3"/>
    </row>
    <row r="36" spans="1:9" ht="45" customHeight="1" x14ac:dyDescent="0.3">
      <c r="A36" s="3" t="s">
        <v>745</v>
      </c>
      <c r="B36" s="3"/>
      <c r="C36" s="3"/>
      <c r="D36" s="3"/>
      <c r="E36" s="3"/>
      <c r="F36" s="3"/>
      <c r="G36" s="3"/>
      <c r="H36" s="3"/>
      <c r="I36" s="3"/>
    </row>
    <row r="37" spans="1:9" ht="45" customHeight="1" x14ac:dyDescent="0.3">
      <c r="A37" s="3" t="s">
        <v>746</v>
      </c>
      <c r="B37" s="3"/>
      <c r="C37" s="3"/>
      <c r="D37" s="3"/>
      <c r="E37" s="3"/>
      <c r="F37" s="3"/>
      <c r="G37" s="3"/>
      <c r="H37" s="3"/>
      <c r="I37" s="3"/>
    </row>
    <row r="38" spans="1:9" ht="45" customHeight="1" x14ac:dyDescent="0.3">
      <c r="A38" s="3" t="s">
        <v>747</v>
      </c>
      <c r="B38" s="3"/>
      <c r="C38" s="3"/>
      <c r="D38" s="3"/>
      <c r="E38" s="3"/>
      <c r="F38" s="3"/>
      <c r="G38" s="3"/>
      <c r="H38" s="3"/>
      <c r="I38" s="3"/>
    </row>
    <row r="39" spans="1:9" ht="45" customHeight="1" x14ac:dyDescent="0.3">
      <c r="A39" s="3" t="s">
        <v>748</v>
      </c>
      <c r="B39" s="3"/>
      <c r="C39" s="3"/>
      <c r="D39" s="3"/>
      <c r="E39" s="3"/>
      <c r="F39" s="3"/>
      <c r="G39" s="3"/>
      <c r="H39" s="3"/>
      <c r="I39" s="3"/>
    </row>
    <row r="40" spans="1:9" ht="45" customHeight="1" x14ac:dyDescent="0.3">
      <c r="A40" s="3" t="s">
        <v>749</v>
      </c>
      <c r="B40" s="3"/>
      <c r="C40" s="3"/>
      <c r="D40" s="3"/>
      <c r="E40" s="3"/>
      <c r="F40" s="3"/>
      <c r="G40" s="3"/>
      <c r="H40" s="3"/>
      <c r="I40" s="3"/>
    </row>
    <row r="41" spans="1:9" ht="45" customHeight="1" x14ac:dyDescent="0.3">
      <c r="A41" s="3" t="s">
        <v>750</v>
      </c>
      <c r="B41" s="3"/>
      <c r="C41" s="3"/>
      <c r="D41" s="3"/>
      <c r="E41" s="3"/>
      <c r="F41" s="3"/>
      <c r="G41" s="3"/>
      <c r="H41" s="3"/>
      <c r="I41" s="3"/>
    </row>
    <row r="42" spans="1:9" ht="45" customHeight="1" x14ac:dyDescent="0.3">
      <c r="A42" s="3" t="s">
        <v>751</v>
      </c>
      <c r="B42" s="3"/>
      <c r="C42" s="3"/>
      <c r="D42" s="3"/>
      <c r="E42" s="3"/>
      <c r="F42" s="3"/>
      <c r="G42" s="3"/>
      <c r="H42" s="3"/>
      <c r="I42" s="3"/>
    </row>
    <row r="43" spans="1:9" ht="45" customHeight="1" x14ac:dyDescent="0.3">
      <c r="A43" s="3" t="s">
        <v>752</v>
      </c>
      <c r="B43" s="3"/>
      <c r="C43" s="3"/>
      <c r="D43" s="3"/>
      <c r="E43" s="3"/>
      <c r="F43" s="3"/>
      <c r="G43" s="3"/>
      <c r="H43" s="3"/>
      <c r="I43" s="3"/>
    </row>
    <row r="44" spans="1:9" ht="45" customHeight="1" x14ac:dyDescent="0.3">
      <c r="A44" s="3" t="s">
        <v>753</v>
      </c>
      <c r="B44" s="3"/>
      <c r="C44" s="3"/>
      <c r="D44" s="3"/>
      <c r="E44" s="3"/>
      <c r="F44" s="3"/>
      <c r="G44" s="3"/>
      <c r="H44" s="3"/>
      <c r="I44" s="3"/>
    </row>
    <row r="45" spans="1:9" ht="45" customHeight="1" x14ac:dyDescent="0.3">
      <c r="A45" s="3" t="s">
        <v>754</v>
      </c>
      <c r="B45" s="3"/>
      <c r="C45" s="3"/>
      <c r="D45" s="3"/>
      <c r="E45" s="3"/>
      <c r="F45" s="3"/>
      <c r="G45" s="3"/>
      <c r="H45" s="3"/>
      <c r="I45" s="3"/>
    </row>
    <row r="46" spans="1:9" ht="45" customHeight="1" x14ac:dyDescent="0.3">
      <c r="A46" s="3" t="s">
        <v>755</v>
      </c>
      <c r="B46" s="3"/>
      <c r="C46" s="3"/>
      <c r="D46" s="3"/>
      <c r="E46" s="3"/>
      <c r="F46" s="3"/>
      <c r="G46" s="3"/>
      <c r="H46" s="3"/>
      <c r="I46" s="3"/>
    </row>
    <row r="47" spans="1:9" ht="45" customHeight="1" x14ac:dyDescent="0.3">
      <c r="A47" s="3" t="s">
        <v>756</v>
      </c>
      <c r="B47" s="3"/>
      <c r="C47" s="3"/>
      <c r="D47" s="3"/>
      <c r="E47" s="3"/>
      <c r="F47" s="3"/>
      <c r="G47" s="3"/>
      <c r="H47" s="3"/>
      <c r="I47" s="3"/>
    </row>
    <row r="48" spans="1:9" ht="45" customHeight="1" x14ac:dyDescent="0.3">
      <c r="A48" s="3" t="s">
        <v>757</v>
      </c>
      <c r="B48" s="3"/>
      <c r="C48" s="3"/>
      <c r="D48" s="3"/>
      <c r="E48" s="3"/>
      <c r="F48" s="3"/>
      <c r="G48" s="3"/>
      <c r="H48" s="3"/>
      <c r="I48" s="3"/>
    </row>
    <row r="49" spans="1:9" ht="45" customHeight="1" x14ac:dyDescent="0.3">
      <c r="A49" s="3" t="s">
        <v>758</v>
      </c>
      <c r="B49" s="3"/>
      <c r="C49" s="3"/>
      <c r="D49" s="3"/>
      <c r="E49" s="3"/>
      <c r="F49" s="3"/>
      <c r="G49" s="3"/>
      <c r="H49" s="3"/>
      <c r="I49" s="3"/>
    </row>
    <row r="50" spans="1:9" ht="45" customHeight="1" x14ac:dyDescent="0.3">
      <c r="A50" s="3" t="s">
        <v>759</v>
      </c>
      <c r="B50" s="3"/>
      <c r="C50" s="3"/>
      <c r="D50" s="3"/>
      <c r="E50" s="3"/>
      <c r="F50" s="3"/>
      <c r="G50" s="3"/>
      <c r="H50" s="3"/>
      <c r="I50" s="3"/>
    </row>
    <row r="51" spans="1:9" ht="45" customHeight="1" x14ac:dyDescent="0.3">
      <c r="A51" s="3" t="s">
        <v>760</v>
      </c>
      <c r="B51" s="3"/>
      <c r="C51" s="3"/>
      <c r="D51" s="3"/>
      <c r="E51" s="3"/>
      <c r="F51" s="3"/>
      <c r="G51" s="3"/>
      <c r="H51" s="3"/>
      <c r="I51" s="3"/>
    </row>
    <row r="52" spans="1:9" ht="45" customHeight="1" x14ac:dyDescent="0.3">
      <c r="A52" s="3" t="s">
        <v>761</v>
      </c>
      <c r="B52" s="3"/>
      <c r="C52" s="3"/>
      <c r="D52" s="3"/>
      <c r="E52" s="3"/>
      <c r="F52" s="3"/>
      <c r="G52" s="3"/>
      <c r="H52" s="3"/>
      <c r="I52" s="3"/>
    </row>
    <row r="53" spans="1:9" ht="45" customHeight="1" x14ac:dyDescent="0.3">
      <c r="A53" s="3" t="s">
        <v>762</v>
      </c>
      <c r="B53" s="3"/>
      <c r="C53" s="3"/>
      <c r="D53" s="3"/>
      <c r="E53" s="3"/>
      <c r="F53" s="3"/>
      <c r="G53" s="3"/>
      <c r="H53" s="3"/>
      <c r="I53" s="3"/>
    </row>
    <row r="54" spans="1:9" ht="45" customHeight="1" x14ac:dyDescent="0.3">
      <c r="A54" s="3" t="s">
        <v>763</v>
      </c>
      <c r="B54" s="3"/>
      <c r="C54" s="3"/>
      <c r="D54" s="3"/>
      <c r="E54" s="3"/>
      <c r="F54" s="3"/>
      <c r="G54" s="3"/>
      <c r="H54" s="3"/>
      <c r="I54" s="3"/>
    </row>
    <row r="55" spans="1:9" ht="45" customHeight="1" x14ac:dyDescent="0.3">
      <c r="A55" s="3" t="s">
        <v>764</v>
      </c>
      <c r="B55" s="3"/>
      <c r="C55" s="3"/>
      <c r="D55" s="3"/>
      <c r="E55" s="3"/>
      <c r="F55" s="3"/>
      <c r="G55" s="3"/>
      <c r="H55" s="3"/>
      <c r="I55" s="3"/>
    </row>
    <row r="56" spans="1:9" ht="45" customHeight="1" x14ac:dyDescent="0.3">
      <c r="A56" s="3" t="s">
        <v>765</v>
      </c>
      <c r="B56" s="3"/>
      <c r="C56" s="3"/>
      <c r="D56" s="3"/>
      <c r="E56" s="3"/>
      <c r="F56" s="3"/>
      <c r="G56" s="3"/>
      <c r="H56" s="3"/>
      <c r="I56" s="3"/>
    </row>
    <row r="57" spans="1:9" ht="45" customHeight="1" x14ac:dyDescent="0.3">
      <c r="A57" s="3" t="s">
        <v>766</v>
      </c>
      <c r="B57" s="3"/>
      <c r="C57" s="3"/>
      <c r="D57" s="3"/>
      <c r="E57" s="3"/>
      <c r="F57" s="3"/>
      <c r="G57" s="3"/>
      <c r="H57" s="3"/>
      <c r="I57" s="3"/>
    </row>
    <row r="58" spans="1:9" ht="45" customHeight="1" x14ac:dyDescent="0.3">
      <c r="A58" s="3" t="s">
        <v>767</v>
      </c>
      <c r="B58" s="3"/>
      <c r="C58" s="3"/>
      <c r="D58" s="3"/>
      <c r="E58" s="3"/>
      <c r="F58" s="3"/>
      <c r="G58" s="3"/>
      <c r="H58" s="3"/>
      <c r="I58" s="3"/>
    </row>
    <row r="59" spans="1:9" ht="45" customHeight="1" x14ac:dyDescent="0.3">
      <c r="A59" s="3" t="s">
        <v>768</v>
      </c>
      <c r="B59" s="3"/>
      <c r="C59" s="3"/>
      <c r="D59" s="3"/>
      <c r="E59" s="3"/>
      <c r="F59" s="3"/>
      <c r="G59" s="3"/>
      <c r="H59" s="3"/>
      <c r="I59" s="3"/>
    </row>
    <row r="60" spans="1:9" ht="45" customHeight="1" x14ac:dyDescent="0.3">
      <c r="A60" s="3" t="s">
        <v>769</v>
      </c>
      <c r="B60" s="3"/>
      <c r="C60" s="3"/>
      <c r="D60" s="3"/>
      <c r="E60" s="3"/>
      <c r="F60" s="3"/>
      <c r="G60" s="3"/>
      <c r="H60" s="3"/>
      <c r="I60" s="3"/>
    </row>
    <row r="61" spans="1:9" ht="45" customHeight="1" x14ac:dyDescent="0.3">
      <c r="A61" s="3" t="s">
        <v>770</v>
      </c>
      <c r="B61" s="3"/>
      <c r="C61" s="3"/>
      <c r="D61" s="3"/>
      <c r="E61" s="3"/>
      <c r="F61" s="3"/>
      <c r="G61" s="3"/>
      <c r="H61" s="3"/>
      <c r="I61" s="3"/>
    </row>
    <row r="62" spans="1:9" ht="45" customHeight="1" x14ac:dyDescent="0.3">
      <c r="A62" s="3" t="s">
        <v>771</v>
      </c>
      <c r="B62" s="3"/>
      <c r="C62" s="3"/>
      <c r="D62" s="3"/>
      <c r="E62" s="3"/>
      <c r="F62" s="3"/>
      <c r="G62" s="3"/>
      <c r="H62" s="3"/>
      <c r="I62" s="3"/>
    </row>
    <row r="63" spans="1:9" ht="45" customHeight="1" x14ac:dyDescent="0.3">
      <c r="A63" s="3" t="s">
        <v>772</v>
      </c>
      <c r="B63" s="3"/>
      <c r="C63" s="3"/>
      <c r="D63" s="3"/>
      <c r="E63" s="3"/>
      <c r="F63" s="3"/>
      <c r="G63" s="3"/>
      <c r="H63" s="3"/>
      <c r="I63" s="3"/>
    </row>
    <row r="64" spans="1:9" ht="45" customHeight="1" x14ac:dyDescent="0.3">
      <c r="A64" s="3" t="s">
        <v>773</v>
      </c>
      <c r="B64" s="3"/>
      <c r="C64" s="3"/>
      <c r="D64" s="3"/>
      <c r="E64" s="3"/>
      <c r="F64" s="3"/>
      <c r="G64" s="3"/>
      <c r="H64" s="3"/>
      <c r="I64" s="3"/>
    </row>
    <row r="65" spans="1:9" ht="45" customHeight="1" x14ac:dyDescent="0.3">
      <c r="A65" s="3" t="s">
        <v>774</v>
      </c>
      <c r="B65" s="3"/>
      <c r="C65" s="3"/>
      <c r="D65" s="3"/>
      <c r="E65" s="3"/>
      <c r="F65" s="3"/>
      <c r="G65" s="3"/>
      <c r="H65" s="3"/>
      <c r="I65" s="3"/>
    </row>
    <row r="66" spans="1:9" ht="45" customHeight="1" x14ac:dyDescent="0.3">
      <c r="A66" s="3" t="s">
        <v>775</v>
      </c>
      <c r="B66" s="3"/>
      <c r="C66" s="3"/>
      <c r="D66" s="3"/>
      <c r="E66" s="3"/>
      <c r="F66" s="3"/>
      <c r="G66" s="3"/>
      <c r="H66" s="3"/>
      <c r="I66" s="3"/>
    </row>
    <row r="67" spans="1:9" ht="45" customHeight="1" x14ac:dyDescent="0.3">
      <c r="A67" s="3" t="s">
        <v>776</v>
      </c>
      <c r="B67" s="3"/>
      <c r="C67" s="3"/>
      <c r="D67" s="3"/>
      <c r="E67" s="3"/>
      <c r="F67" s="3"/>
      <c r="G67" s="3"/>
      <c r="H67" s="3"/>
      <c r="I67" s="3"/>
    </row>
    <row r="68" spans="1:9" ht="45" customHeight="1" x14ac:dyDescent="0.3">
      <c r="A68" s="3" t="s">
        <v>777</v>
      </c>
      <c r="B68" s="3"/>
      <c r="C68" s="3"/>
      <c r="D68" s="3"/>
      <c r="E68" s="3"/>
      <c r="F68" s="3"/>
      <c r="G68" s="3"/>
      <c r="H68" s="3"/>
      <c r="I68" s="3"/>
    </row>
    <row r="69" spans="1:9" ht="45" customHeight="1" x14ac:dyDescent="0.3">
      <c r="A69" s="3" t="s">
        <v>778</v>
      </c>
      <c r="B69" s="3"/>
      <c r="C69" s="3"/>
      <c r="D69" s="3"/>
      <c r="E69" s="3"/>
      <c r="F69" s="3"/>
      <c r="G69" s="3"/>
      <c r="H69" s="3"/>
      <c r="I69" s="3"/>
    </row>
    <row r="70" spans="1:9" ht="45" customHeight="1" x14ac:dyDescent="0.3">
      <c r="A70" s="3" t="s">
        <v>779</v>
      </c>
      <c r="B70" s="3"/>
      <c r="C70" s="3"/>
      <c r="D70" s="3"/>
      <c r="E70" s="3"/>
      <c r="F70" s="3"/>
      <c r="G70" s="3"/>
      <c r="H70" s="3"/>
      <c r="I70" s="3"/>
    </row>
    <row r="71" spans="1:9" ht="45" customHeight="1" x14ac:dyDescent="0.3">
      <c r="A71" s="3" t="s">
        <v>780</v>
      </c>
      <c r="B71" s="3"/>
      <c r="C71" s="3"/>
      <c r="D71" s="3"/>
      <c r="E71" s="3"/>
      <c r="F71" s="3"/>
      <c r="G71" s="3"/>
      <c r="H71" s="3"/>
      <c r="I71" s="3"/>
    </row>
    <row r="72" spans="1:9" ht="45" customHeight="1" x14ac:dyDescent="0.3">
      <c r="A72" s="3" t="s">
        <v>781</v>
      </c>
      <c r="B72" s="3"/>
      <c r="C72" s="3"/>
      <c r="D72" s="3"/>
      <c r="E72" s="3"/>
      <c r="F72" s="3"/>
      <c r="G72" s="3"/>
      <c r="H72" s="3"/>
      <c r="I72" s="3"/>
    </row>
    <row r="73" spans="1:9" ht="45" customHeight="1" x14ac:dyDescent="0.3">
      <c r="A73" s="3" t="s">
        <v>782</v>
      </c>
      <c r="B73" s="3"/>
      <c r="C73" s="3"/>
      <c r="D73" s="3"/>
      <c r="E73" s="3"/>
      <c r="F73" s="3"/>
      <c r="G73" s="3"/>
      <c r="H73" s="3"/>
      <c r="I73" s="3"/>
    </row>
    <row r="74" spans="1:9" ht="45" customHeight="1" x14ac:dyDescent="0.3">
      <c r="A74" s="3" t="s">
        <v>783</v>
      </c>
      <c r="B74" s="3"/>
      <c r="C74" s="3"/>
      <c r="D74" s="3"/>
      <c r="E74" s="3"/>
      <c r="F74" s="3"/>
      <c r="G74" s="3"/>
      <c r="H74" s="3"/>
      <c r="I74" s="3"/>
    </row>
    <row r="75" spans="1:9" ht="45" customHeight="1" x14ac:dyDescent="0.3">
      <c r="A75" s="3" t="s">
        <v>784</v>
      </c>
      <c r="B75" s="3"/>
      <c r="C75" s="3"/>
      <c r="D75" s="3"/>
      <c r="E75" s="3"/>
      <c r="F75" s="3"/>
      <c r="G75" s="3"/>
      <c r="H75" s="3"/>
      <c r="I75" s="3"/>
    </row>
    <row r="76" spans="1:9" ht="45" customHeight="1" x14ac:dyDescent="0.3">
      <c r="A76" s="3" t="s">
        <v>785</v>
      </c>
      <c r="B76" s="3"/>
      <c r="C76" s="3"/>
      <c r="D76" s="3"/>
      <c r="E76" s="3"/>
      <c r="F76" s="3"/>
      <c r="G76" s="3"/>
      <c r="H76" s="3"/>
      <c r="I76" s="3"/>
    </row>
    <row r="77" spans="1:9" ht="45" customHeight="1" x14ac:dyDescent="0.3">
      <c r="A77" s="3" t="s">
        <v>786</v>
      </c>
      <c r="B77" s="3"/>
      <c r="C77" s="3"/>
      <c r="D77" s="3"/>
      <c r="E77" s="3"/>
      <c r="F77" s="3"/>
      <c r="G77" s="3"/>
      <c r="H77" s="3"/>
      <c r="I77" s="3"/>
    </row>
    <row r="78" spans="1:9" ht="45" customHeight="1" x14ac:dyDescent="0.3">
      <c r="A78" s="3" t="s">
        <v>787</v>
      </c>
      <c r="B78" s="3"/>
      <c r="C78" s="3"/>
      <c r="D78" s="3"/>
      <c r="E78" s="3"/>
      <c r="F78" s="3"/>
      <c r="G78" s="3"/>
      <c r="H78" s="3"/>
      <c r="I78" s="3"/>
    </row>
    <row r="79" spans="1:9" ht="45" customHeight="1" x14ac:dyDescent="0.3">
      <c r="A79" s="3" t="s">
        <v>788</v>
      </c>
      <c r="B79" s="3"/>
      <c r="C79" s="3"/>
      <c r="D79" s="3"/>
      <c r="E79" s="3"/>
      <c r="F79" s="3"/>
      <c r="G79" s="3"/>
      <c r="H79" s="3"/>
      <c r="I79" s="3"/>
    </row>
    <row r="80" spans="1:9" ht="45" customHeight="1" x14ac:dyDescent="0.3">
      <c r="A80" s="3" t="s">
        <v>789</v>
      </c>
      <c r="B80" s="3"/>
      <c r="C80" s="3"/>
      <c r="D80" s="3"/>
      <c r="E80" s="3"/>
      <c r="F80" s="3"/>
      <c r="G80" s="3"/>
      <c r="H80" s="3"/>
      <c r="I80" s="3"/>
    </row>
    <row r="81" spans="1:9" ht="45" customHeight="1" x14ac:dyDescent="0.3">
      <c r="A81" s="3" t="s">
        <v>790</v>
      </c>
      <c r="B81" s="3"/>
      <c r="C81" s="3"/>
      <c r="D81" s="3"/>
      <c r="E81" s="3"/>
      <c r="F81" s="3"/>
      <c r="G81" s="3"/>
      <c r="H81" s="3"/>
      <c r="I81" s="3"/>
    </row>
    <row r="82" spans="1:9" ht="45" customHeight="1" x14ac:dyDescent="0.3">
      <c r="A82" s="3" t="s">
        <v>791</v>
      </c>
      <c r="B82" s="3"/>
      <c r="C82" s="3"/>
      <c r="D82" s="3"/>
      <c r="E82" s="3"/>
      <c r="F82" s="3"/>
      <c r="G82" s="3"/>
      <c r="H82" s="3"/>
      <c r="I82" s="3"/>
    </row>
    <row r="83" spans="1:9" ht="45" customHeight="1" x14ac:dyDescent="0.3">
      <c r="A83" s="3" t="s">
        <v>792</v>
      </c>
      <c r="B83" s="3"/>
      <c r="C83" s="3"/>
      <c r="D83" s="3"/>
      <c r="E83" s="3"/>
      <c r="F83" s="3"/>
      <c r="G83" s="3"/>
      <c r="H83" s="3"/>
      <c r="I83" s="3"/>
    </row>
    <row r="84" spans="1:9" ht="45" customHeight="1" x14ac:dyDescent="0.3">
      <c r="A84" s="3" t="s">
        <v>793</v>
      </c>
      <c r="B84" s="3"/>
      <c r="C84" s="3"/>
      <c r="D84" s="3"/>
      <c r="E84" s="3"/>
      <c r="F84" s="3"/>
      <c r="G84" s="3"/>
      <c r="H84" s="3"/>
      <c r="I84" s="3"/>
    </row>
    <row r="85" spans="1:9" ht="45" customHeight="1" x14ac:dyDescent="0.3">
      <c r="A85" s="3" t="s">
        <v>794</v>
      </c>
      <c r="B85" s="3"/>
      <c r="C85" s="3"/>
      <c r="D85" s="3"/>
      <c r="E85" s="3"/>
      <c r="F85" s="3"/>
      <c r="G85" s="3"/>
      <c r="H85" s="3"/>
      <c r="I85" s="3"/>
    </row>
    <row r="86" spans="1:9" ht="45" customHeight="1" x14ac:dyDescent="0.3">
      <c r="A86" s="3" t="s">
        <v>795</v>
      </c>
      <c r="B86" s="3"/>
      <c r="C86" s="3"/>
      <c r="D86" s="3"/>
      <c r="E86" s="3"/>
      <c r="F86" s="3"/>
      <c r="G86" s="3"/>
      <c r="H86" s="3"/>
      <c r="I86" s="3"/>
    </row>
    <row r="87" spans="1:9" ht="45" customHeight="1" x14ac:dyDescent="0.3">
      <c r="A87" s="3" t="s">
        <v>796</v>
      </c>
      <c r="B87" s="3"/>
      <c r="C87" s="3"/>
      <c r="D87" s="3"/>
      <c r="E87" s="3"/>
      <c r="F87" s="3"/>
      <c r="G87" s="3"/>
      <c r="H87" s="3"/>
      <c r="I87" s="3"/>
    </row>
    <row r="88" spans="1:9" ht="45" customHeight="1" x14ac:dyDescent="0.3">
      <c r="A88" s="3" t="s">
        <v>797</v>
      </c>
      <c r="B88" s="3"/>
      <c r="C88" s="3"/>
      <c r="D88" s="3"/>
      <c r="E88" s="3"/>
      <c r="F88" s="3"/>
      <c r="G88" s="3"/>
      <c r="H88" s="3"/>
      <c r="I88" s="3"/>
    </row>
    <row r="89" spans="1:9" ht="45" customHeight="1" x14ac:dyDescent="0.3">
      <c r="A89" s="3" t="s">
        <v>798</v>
      </c>
      <c r="B89" s="3"/>
      <c r="C89" s="3"/>
      <c r="D89" s="3"/>
      <c r="E89" s="3"/>
      <c r="F89" s="3"/>
      <c r="G89" s="3"/>
      <c r="H89" s="3"/>
      <c r="I89" s="3"/>
    </row>
    <row r="90" spans="1:9" ht="45" customHeight="1" x14ac:dyDescent="0.3">
      <c r="A90" s="3" t="s">
        <v>799</v>
      </c>
      <c r="B90" s="3"/>
      <c r="C90" s="3"/>
      <c r="D90" s="3"/>
      <c r="E90" s="3"/>
      <c r="F90" s="3"/>
      <c r="G90" s="3"/>
      <c r="H90" s="3"/>
      <c r="I90" s="3"/>
    </row>
    <row r="91" spans="1:9" ht="45" customHeight="1" x14ac:dyDescent="0.3">
      <c r="A91" s="3" t="s">
        <v>800</v>
      </c>
      <c r="B91" s="3"/>
      <c r="C91" s="3"/>
      <c r="D91" s="3"/>
      <c r="E91" s="3"/>
      <c r="F91" s="3"/>
      <c r="G91" s="3"/>
      <c r="H91" s="3"/>
      <c r="I91" s="3"/>
    </row>
    <row r="92" spans="1:9" ht="45" customHeight="1" x14ac:dyDescent="0.3">
      <c r="A92" s="3" t="s">
        <v>801</v>
      </c>
      <c r="B92" s="3"/>
      <c r="C92" s="3"/>
      <c r="D92" s="3"/>
      <c r="E92" s="3"/>
      <c r="F92" s="3"/>
      <c r="G92" s="3"/>
      <c r="H92" s="3"/>
      <c r="I92" s="3"/>
    </row>
    <row r="93" spans="1:9" ht="45" customHeight="1" x14ac:dyDescent="0.3">
      <c r="A93" s="3" t="s">
        <v>802</v>
      </c>
      <c r="B93" s="3"/>
      <c r="C93" s="3"/>
      <c r="D93" s="3"/>
      <c r="E93" s="3"/>
      <c r="F93" s="3"/>
      <c r="G93" s="3"/>
      <c r="H93" s="3"/>
      <c r="I93" s="3"/>
    </row>
    <row r="94" spans="1:9" ht="45" customHeight="1" x14ac:dyDescent="0.3">
      <c r="A94" s="3" t="s">
        <v>803</v>
      </c>
      <c r="B94" s="3"/>
      <c r="C94" s="3"/>
      <c r="D94" s="3"/>
      <c r="E94" s="3"/>
      <c r="F94" s="3"/>
      <c r="G94" s="3"/>
      <c r="H94" s="3"/>
      <c r="I94" s="3"/>
    </row>
    <row r="95" spans="1:9" ht="45" customHeight="1" x14ac:dyDescent="0.3">
      <c r="A95" s="3" t="s">
        <v>804</v>
      </c>
      <c r="B95" s="3"/>
      <c r="C95" s="3"/>
      <c r="D95" s="3"/>
      <c r="E95" s="3"/>
      <c r="F95" s="3"/>
      <c r="G95" s="3"/>
      <c r="H95" s="3"/>
      <c r="I95" s="3"/>
    </row>
    <row r="96" spans="1:9" ht="45" customHeight="1" x14ac:dyDescent="0.3">
      <c r="A96" s="3" t="s">
        <v>805</v>
      </c>
      <c r="B96" s="3"/>
      <c r="C96" s="3"/>
      <c r="D96" s="3"/>
      <c r="E96" s="3"/>
      <c r="F96" s="3"/>
      <c r="G96" s="3"/>
      <c r="H96" s="3"/>
      <c r="I96" s="3"/>
    </row>
    <row r="97" spans="1:9" ht="45" customHeight="1" x14ac:dyDescent="0.3">
      <c r="A97" s="3" t="s">
        <v>806</v>
      </c>
      <c r="B97" s="3"/>
      <c r="C97" s="3"/>
      <c r="D97" s="3"/>
      <c r="E97" s="3"/>
      <c r="F97" s="3"/>
      <c r="G97" s="3"/>
      <c r="H97" s="3"/>
      <c r="I97" s="3"/>
    </row>
    <row r="98" spans="1:9" ht="45" customHeight="1" x14ac:dyDescent="0.3">
      <c r="A98" s="3" t="s">
        <v>807</v>
      </c>
      <c r="B98" s="3"/>
      <c r="C98" s="3"/>
      <c r="D98" s="3"/>
      <c r="E98" s="3"/>
      <c r="F98" s="3"/>
      <c r="G98" s="3"/>
      <c r="H98" s="3"/>
      <c r="I98" s="3"/>
    </row>
    <row r="99" spans="1:9" ht="45" customHeight="1" x14ac:dyDescent="0.3">
      <c r="A99" s="3" t="s">
        <v>808</v>
      </c>
      <c r="B99" s="3"/>
      <c r="C99" s="3"/>
      <c r="D99" s="3"/>
      <c r="E99" s="3"/>
      <c r="F99" s="3"/>
      <c r="G99" s="3"/>
      <c r="H99" s="3"/>
      <c r="I99" s="3"/>
    </row>
    <row r="100" spans="1:9" ht="45" customHeight="1" x14ac:dyDescent="0.3">
      <c r="A100" s="3" t="s">
        <v>809</v>
      </c>
      <c r="B100" s="3"/>
      <c r="C100" s="3"/>
      <c r="D100" s="3"/>
      <c r="E100" s="3"/>
      <c r="F100" s="3"/>
      <c r="G100" s="3"/>
      <c r="H100" s="3"/>
      <c r="I100" s="3"/>
    </row>
    <row r="101" spans="1:9" ht="45" customHeight="1" x14ac:dyDescent="0.3">
      <c r="A101" s="3" t="s">
        <v>810</v>
      </c>
      <c r="B101" s="3"/>
      <c r="C101" s="3"/>
      <c r="D101" s="3"/>
      <c r="E101" s="3"/>
      <c r="F101" s="3"/>
      <c r="G101" s="3"/>
      <c r="H101" s="3"/>
      <c r="I101" s="3"/>
    </row>
    <row r="102" spans="1:9" ht="45" customHeight="1" x14ac:dyDescent="0.3">
      <c r="A102" s="3" t="s">
        <v>811</v>
      </c>
      <c r="B102" s="3"/>
      <c r="C102" s="3"/>
      <c r="D102" s="3"/>
      <c r="E102" s="3"/>
      <c r="F102" s="3"/>
      <c r="G102" s="3"/>
      <c r="H102" s="3"/>
      <c r="I102" s="3"/>
    </row>
    <row r="103" spans="1:9" ht="45" customHeight="1" x14ac:dyDescent="0.3">
      <c r="A103" s="3" t="s">
        <v>812</v>
      </c>
      <c r="B103" s="3"/>
      <c r="C103" s="3"/>
      <c r="D103" s="3"/>
      <c r="E103" s="3"/>
      <c r="F103" s="3"/>
      <c r="G103" s="3"/>
      <c r="H103" s="3"/>
      <c r="I103" s="3"/>
    </row>
    <row r="104" spans="1:9" ht="45" customHeight="1" x14ac:dyDescent="0.3">
      <c r="A104" s="3" t="s">
        <v>813</v>
      </c>
      <c r="B104" s="3"/>
      <c r="C104" s="3"/>
      <c r="D104" s="3"/>
      <c r="E104" s="3"/>
      <c r="F104" s="3"/>
      <c r="G104" s="3"/>
      <c r="H104" s="3"/>
      <c r="I104" s="3"/>
    </row>
    <row r="105" spans="1:9" ht="45" customHeight="1" x14ac:dyDescent="0.3">
      <c r="A105" s="3" t="s">
        <v>814</v>
      </c>
      <c r="B105" s="3"/>
      <c r="C105" s="3"/>
      <c r="D105" s="3"/>
      <c r="E105" s="3"/>
      <c r="F105" s="3"/>
      <c r="G105" s="3"/>
      <c r="H105" s="3"/>
      <c r="I105" s="3"/>
    </row>
    <row r="106" spans="1:9" ht="45" customHeight="1" x14ac:dyDescent="0.3">
      <c r="A106" s="3" t="s">
        <v>815</v>
      </c>
      <c r="B106" s="3"/>
      <c r="C106" s="3"/>
      <c r="D106" s="3"/>
      <c r="E106" s="3"/>
      <c r="F106" s="3"/>
      <c r="G106" s="3"/>
      <c r="H106" s="3"/>
      <c r="I106" s="3"/>
    </row>
    <row r="107" spans="1:9" ht="45" customHeight="1" x14ac:dyDescent="0.3">
      <c r="A107" s="3" t="s">
        <v>816</v>
      </c>
      <c r="B107" s="3"/>
      <c r="C107" s="3"/>
      <c r="D107" s="3"/>
      <c r="E107" s="3"/>
      <c r="F107" s="3"/>
      <c r="G107" s="3"/>
      <c r="H107" s="3"/>
      <c r="I107" s="3"/>
    </row>
    <row r="108" spans="1:9" ht="45" customHeight="1" x14ac:dyDescent="0.3">
      <c r="A108" s="3" t="s">
        <v>817</v>
      </c>
      <c r="B108" s="3"/>
      <c r="C108" s="3"/>
      <c r="D108" s="3"/>
      <c r="E108" s="3"/>
      <c r="F108" s="3"/>
      <c r="G108" s="3"/>
      <c r="H108" s="3"/>
      <c r="I108" s="3"/>
    </row>
    <row r="109" spans="1:9" ht="45" customHeight="1" x14ac:dyDescent="0.3">
      <c r="A109" s="3" t="s">
        <v>818</v>
      </c>
      <c r="B109" s="3"/>
      <c r="C109" s="3"/>
      <c r="D109" s="3"/>
      <c r="E109" s="3"/>
      <c r="F109" s="3"/>
      <c r="G109" s="3"/>
      <c r="H109" s="3"/>
      <c r="I109" s="3"/>
    </row>
    <row r="110" spans="1:9" ht="45" customHeight="1" x14ac:dyDescent="0.3">
      <c r="A110" s="3" t="s">
        <v>819</v>
      </c>
      <c r="B110" s="3"/>
      <c r="C110" s="3"/>
      <c r="D110" s="3"/>
      <c r="E110" s="3"/>
      <c r="F110" s="3"/>
      <c r="G110" s="3"/>
      <c r="H110" s="3"/>
      <c r="I110" s="3"/>
    </row>
    <row r="111" spans="1:9" ht="45" customHeight="1" x14ac:dyDescent="0.3">
      <c r="A111" s="3" t="s">
        <v>820</v>
      </c>
      <c r="B111" s="3"/>
      <c r="C111" s="3"/>
      <c r="D111" s="3"/>
      <c r="E111" s="3"/>
      <c r="F111" s="3"/>
      <c r="G111" s="3"/>
      <c r="H111" s="3"/>
      <c r="I111" s="3"/>
    </row>
    <row r="112" spans="1:9" ht="45" customHeight="1" x14ac:dyDescent="0.3">
      <c r="A112" s="3" t="s">
        <v>821</v>
      </c>
      <c r="B112" s="3"/>
      <c r="C112" s="3"/>
      <c r="D112" s="3"/>
      <c r="E112" s="3"/>
      <c r="F112" s="3"/>
      <c r="G112" s="3"/>
      <c r="H112" s="3"/>
      <c r="I112" s="3"/>
    </row>
    <row r="113" spans="1:9" ht="45" customHeight="1" x14ac:dyDescent="0.3">
      <c r="A113" s="3" t="s">
        <v>822</v>
      </c>
      <c r="B113" s="3"/>
      <c r="C113" s="3"/>
      <c r="D113" s="3"/>
      <c r="E113" s="3"/>
      <c r="F113" s="3"/>
      <c r="G113" s="3"/>
      <c r="H113" s="3"/>
      <c r="I113" s="3"/>
    </row>
    <row r="114" spans="1:9" ht="45" customHeight="1" x14ac:dyDescent="0.3">
      <c r="A114" s="3" t="s">
        <v>823</v>
      </c>
      <c r="B114" s="3"/>
      <c r="C114" s="3"/>
      <c r="D114" s="3"/>
      <c r="E114" s="3"/>
      <c r="F114" s="3"/>
      <c r="G114" s="3"/>
      <c r="H114" s="3"/>
      <c r="I114" s="3"/>
    </row>
    <row r="115" spans="1:9" ht="45" customHeight="1" x14ac:dyDescent="0.3">
      <c r="A115" s="3" t="s">
        <v>824</v>
      </c>
      <c r="B115" s="3"/>
      <c r="C115" s="3"/>
      <c r="D115" s="3"/>
      <c r="E115" s="3"/>
      <c r="F115" s="3"/>
      <c r="G115" s="3"/>
      <c r="H115" s="3"/>
      <c r="I115" s="3"/>
    </row>
    <row r="116" spans="1:9" ht="45" customHeight="1" x14ac:dyDescent="0.3">
      <c r="A116" s="3" t="s">
        <v>825</v>
      </c>
      <c r="B116" s="3"/>
      <c r="C116" s="3"/>
      <c r="D116" s="3"/>
      <c r="E116" s="3"/>
      <c r="F116" s="3"/>
      <c r="G116" s="3"/>
      <c r="H116" s="3"/>
      <c r="I116" s="3"/>
    </row>
    <row r="117" spans="1:9" ht="45" customHeight="1" x14ac:dyDescent="0.3">
      <c r="A117" s="3" t="s">
        <v>826</v>
      </c>
      <c r="B117" s="3"/>
      <c r="C117" s="3"/>
      <c r="D117" s="3"/>
      <c r="E117" s="3"/>
      <c r="F117" s="3"/>
      <c r="G117" s="3"/>
      <c r="H117" s="3"/>
      <c r="I117" s="3"/>
    </row>
    <row r="118" spans="1:9" ht="45" customHeight="1" x14ac:dyDescent="0.3">
      <c r="A118" s="3" t="s">
        <v>827</v>
      </c>
      <c r="B118" s="3"/>
      <c r="C118" s="3"/>
      <c r="D118" s="3"/>
      <c r="E118" s="3"/>
      <c r="F118" s="3"/>
      <c r="G118" s="3"/>
      <c r="H118" s="3"/>
      <c r="I118" s="3"/>
    </row>
    <row r="119" spans="1:9" ht="45" customHeight="1" x14ac:dyDescent="0.3">
      <c r="A119" s="3" t="s">
        <v>828</v>
      </c>
      <c r="B119" s="3"/>
      <c r="C119" s="3"/>
      <c r="D119" s="3"/>
      <c r="E119" s="3"/>
      <c r="F119" s="3"/>
      <c r="G119" s="3"/>
      <c r="H119" s="3"/>
      <c r="I119" s="3"/>
    </row>
    <row r="120" spans="1:9" ht="45" customHeight="1" x14ac:dyDescent="0.3">
      <c r="A120" s="3" t="s">
        <v>829</v>
      </c>
      <c r="B120" s="3"/>
      <c r="C120" s="3"/>
      <c r="D120" s="3"/>
      <c r="E120" s="3"/>
      <c r="F120" s="3"/>
      <c r="G120" s="3"/>
      <c r="H120" s="3"/>
      <c r="I120" s="3"/>
    </row>
    <row r="121" spans="1:9" ht="45" customHeight="1" x14ac:dyDescent="0.3">
      <c r="A121" s="3" t="s">
        <v>830</v>
      </c>
      <c r="B121" s="3"/>
      <c r="C121" s="3"/>
      <c r="D121" s="3"/>
      <c r="E121" s="3"/>
      <c r="F121" s="3"/>
      <c r="G121" s="3"/>
      <c r="H121" s="3"/>
      <c r="I121" s="3"/>
    </row>
    <row r="122" spans="1:9" ht="45" customHeight="1" x14ac:dyDescent="0.3">
      <c r="A122" s="3" t="s">
        <v>831</v>
      </c>
      <c r="B122" s="3"/>
      <c r="C122" s="3"/>
      <c r="D122" s="3"/>
      <c r="E122" s="3"/>
      <c r="F122" s="3"/>
      <c r="G122" s="3"/>
      <c r="H122" s="3"/>
      <c r="I122" s="3"/>
    </row>
    <row r="123" spans="1:9" ht="45" customHeight="1" x14ac:dyDescent="0.3">
      <c r="A123" s="3" t="s">
        <v>832</v>
      </c>
      <c r="B123" s="3"/>
      <c r="C123" s="3"/>
      <c r="D123" s="3"/>
      <c r="E123" s="3"/>
      <c r="F123" s="3"/>
      <c r="G123" s="3"/>
      <c r="H123" s="3"/>
      <c r="I123" s="3"/>
    </row>
    <row r="124" spans="1:9" ht="45" customHeight="1" x14ac:dyDescent="0.3">
      <c r="A124" s="3" t="s">
        <v>833</v>
      </c>
      <c r="B124" s="3"/>
      <c r="C124" s="3"/>
      <c r="D124" s="3"/>
      <c r="E124" s="3"/>
      <c r="F124" s="3"/>
      <c r="G124" s="3"/>
      <c r="H124" s="3"/>
      <c r="I124" s="3"/>
    </row>
    <row r="125" spans="1:9" ht="45" customHeight="1" x14ac:dyDescent="0.3">
      <c r="A125" s="3" t="s">
        <v>834</v>
      </c>
      <c r="B125" s="3"/>
      <c r="C125" s="3"/>
      <c r="D125" s="3"/>
      <c r="E125" s="3"/>
      <c r="F125" s="3"/>
      <c r="G125" s="3"/>
      <c r="H125" s="3"/>
      <c r="I125" s="3"/>
    </row>
    <row r="126" spans="1:9" ht="45" customHeight="1" x14ac:dyDescent="0.3">
      <c r="A126" s="3" t="s">
        <v>835</v>
      </c>
      <c r="B126" s="3"/>
      <c r="C126" s="3"/>
      <c r="D126" s="3"/>
      <c r="E126" s="3"/>
      <c r="F126" s="3"/>
      <c r="G126" s="3"/>
      <c r="H126" s="3"/>
      <c r="I126" s="3"/>
    </row>
    <row r="127" spans="1:9" ht="45" customHeight="1" x14ac:dyDescent="0.3">
      <c r="A127" s="3" t="s">
        <v>836</v>
      </c>
      <c r="B127" s="3"/>
      <c r="C127" s="3"/>
      <c r="D127" s="3"/>
      <c r="E127" s="3"/>
      <c r="F127" s="3"/>
      <c r="G127" s="3"/>
      <c r="H127" s="3"/>
      <c r="I127" s="3"/>
    </row>
    <row r="128" spans="1:9" ht="45" customHeight="1" x14ac:dyDescent="0.3">
      <c r="A128" s="3" t="s">
        <v>837</v>
      </c>
      <c r="B128" s="3"/>
      <c r="C128" s="3"/>
      <c r="D128" s="3"/>
      <c r="E128" s="3"/>
      <c r="F128" s="3"/>
      <c r="G128" s="3"/>
      <c r="H128" s="3"/>
      <c r="I128" s="3"/>
    </row>
    <row r="129" spans="1:9" ht="45" customHeight="1" x14ac:dyDescent="0.3">
      <c r="A129" s="3" t="s">
        <v>838</v>
      </c>
      <c r="B129" s="3"/>
      <c r="C129" s="3"/>
      <c r="D129" s="3"/>
      <c r="E129" s="3"/>
      <c r="F129" s="3"/>
      <c r="G129" s="3"/>
      <c r="H129" s="3"/>
      <c r="I129" s="3"/>
    </row>
    <row r="130" spans="1:9" ht="45" customHeight="1" x14ac:dyDescent="0.3">
      <c r="A130" s="3" t="s">
        <v>839</v>
      </c>
      <c r="B130" s="3"/>
      <c r="C130" s="3"/>
      <c r="D130" s="3"/>
      <c r="E130" s="3"/>
      <c r="F130" s="3"/>
      <c r="G130" s="3"/>
      <c r="H130" s="3"/>
      <c r="I130" s="3"/>
    </row>
    <row r="131" spans="1:9" ht="45" customHeight="1" x14ac:dyDescent="0.3">
      <c r="A131" s="3" t="s">
        <v>840</v>
      </c>
      <c r="B131" s="3"/>
      <c r="C131" s="3"/>
      <c r="D131" s="3"/>
      <c r="E131" s="3"/>
      <c r="F131" s="3"/>
      <c r="G131" s="3"/>
      <c r="H131" s="3"/>
      <c r="I131" s="3"/>
    </row>
    <row r="132" spans="1:9" ht="45" customHeight="1" x14ac:dyDescent="0.3">
      <c r="A132" s="3" t="s">
        <v>841</v>
      </c>
      <c r="B132" s="3"/>
      <c r="C132" s="3"/>
      <c r="D132" s="3"/>
      <c r="E132" s="3"/>
      <c r="F132" s="3"/>
      <c r="G132" s="3"/>
      <c r="H132" s="3"/>
      <c r="I132" s="3"/>
    </row>
    <row r="133" spans="1:9" ht="45" customHeight="1" x14ac:dyDescent="0.3">
      <c r="A133" s="3" t="s">
        <v>842</v>
      </c>
      <c r="B133" s="3"/>
      <c r="C133" s="3"/>
      <c r="D133" s="3"/>
      <c r="E133" s="3"/>
      <c r="F133" s="3"/>
      <c r="G133" s="3"/>
      <c r="H133" s="3"/>
      <c r="I133" s="3"/>
    </row>
    <row r="134" spans="1:9" ht="45" customHeight="1" x14ac:dyDescent="0.3">
      <c r="A134" s="3" t="s">
        <v>843</v>
      </c>
      <c r="B134" s="3"/>
      <c r="C134" s="3"/>
      <c r="D134" s="3"/>
      <c r="E134" s="3"/>
      <c r="F134" s="3"/>
      <c r="G134" s="3"/>
      <c r="H134" s="3"/>
      <c r="I134" s="3"/>
    </row>
    <row r="135" spans="1:9" ht="45" customHeight="1" x14ac:dyDescent="0.3">
      <c r="A135" s="3" t="s">
        <v>844</v>
      </c>
      <c r="B135" s="3"/>
      <c r="C135" s="3"/>
      <c r="D135" s="3"/>
      <c r="E135" s="3"/>
      <c r="F135" s="3"/>
      <c r="G135" s="3"/>
      <c r="H135" s="3"/>
      <c r="I135" s="3"/>
    </row>
    <row r="136" spans="1:9" ht="45" customHeight="1" x14ac:dyDescent="0.3">
      <c r="A136" s="3" t="s">
        <v>845</v>
      </c>
      <c r="B136" s="3"/>
      <c r="C136" s="3"/>
      <c r="D136" s="3"/>
      <c r="E136" s="3"/>
      <c r="F136" s="3"/>
      <c r="G136" s="3"/>
      <c r="H136" s="3"/>
      <c r="I136" s="3"/>
    </row>
    <row r="137" spans="1:9" ht="45" customHeight="1" x14ac:dyDescent="0.3">
      <c r="A137" s="3" t="s">
        <v>846</v>
      </c>
      <c r="B137" s="3"/>
      <c r="C137" s="3"/>
      <c r="D137" s="3"/>
      <c r="E137" s="3"/>
      <c r="F137" s="3"/>
      <c r="G137" s="3"/>
      <c r="H137" s="3"/>
      <c r="I137" s="3"/>
    </row>
    <row r="138" spans="1:9" ht="45" customHeight="1" x14ac:dyDescent="0.3">
      <c r="A138" s="3" t="s">
        <v>847</v>
      </c>
      <c r="B138" s="3"/>
      <c r="C138" s="3"/>
      <c r="D138" s="3"/>
      <c r="E138" s="3"/>
      <c r="F138" s="3"/>
      <c r="G138" s="3"/>
      <c r="H138" s="3"/>
      <c r="I138" s="3"/>
    </row>
    <row r="139" spans="1:9" ht="45" customHeight="1" x14ac:dyDescent="0.3">
      <c r="A139" s="3" t="s">
        <v>848</v>
      </c>
      <c r="B139" s="3"/>
      <c r="C139" s="3"/>
      <c r="D139" s="3"/>
      <c r="E139" s="3"/>
      <c r="F139" s="3"/>
      <c r="G139" s="3"/>
      <c r="H139" s="3"/>
      <c r="I139" s="3"/>
    </row>
    <row r="140" spans="1:9" ht="45" customHeight="1" x14ac:dyDescent="0.3">
      <c r="A140" s="3" t="s">
        <v>849</v>
      </c>
      <c r="B140" s="3"/>
      <c r="C140" s="3"/>
      <c r="D140" s="3"/>
      <c r="E140" s="3"/>
      <c r="F140" s="3"/>
      <c r="G140" s="3"/>
      <c r="H140" s="3"/>
      <c r="I140" s="3"/>
    </row>
    <row r="141" spans="1:9" ht="45" customHeight="1" x14ac:dyDescent="0.3">
      <c r="A141" s="3" t="s">
        <v>850</v>
      </c>
      <c r="B141" s="3"/>
      <c r="C141" s="3"/>
      <c r="D141" s="3"/>
      <c r="E141" s="3"/>
      <c r="F141" s="3"/>
      <c r="G141" s="3"/>
      <c r="H141" s="3"/>
      <c r="I141" s="3"/>
    </row>
    <row r="142" spans="1:9" ht="45" customHeight="1" x14ac:dyDescent="0.3">
      <c r="A142" s="3" t="s">
        <v>851</v>
      </c>
      <c r="B142" s="3"/>
      <c r="C142" s="3"/>
      <c r="D142" s="3"/>
      <c r="E142" s="3"/>
      <c r="F142" s="3"/>
      <c r="G142" s="3"/>
      <c r="H142" s="3"/>
      <c r="I142" s="3"/>
    </row>
    <row r="143" spans="1:9" ht="45" customHeight="1" x14ac:dyDescent="0.3">
      <c r="A143" s="3" t="s">
        <v>852</v>
      </c>
      <c r="B143" s="3"/>
      <c r="C143" s="3"/>
      <c r="D143" s="3"/>
      <c r="E143" s="3"/>
      <c r="F143" s="3"/>
      <c r="G143" s="3"/>
      <c r="H143" s="3"/>
      <c r="I143" s="3"/>
    </row>
    <row r="144" spans="1:9" ht="45" customHeight="1" x14ac:dyDescent="0.3">
      <c r="A144" s="3" t="s">
        <v>853</v>
      </c>
      <c r="B144" s="3"/>
      <c r="C144" s="3"/>
      <c r="D144" s="3"/>
      <c r="E144" s="3"/>
      <c r="F144" s="3"/>
      <c r="G144" s="3"/>
      <c r="H144" s="3"/>
      <c r="I144" s="3"/>
    </row>
    <row r="145" spans="1:9" ht="45" customHeight="1" x14ac:dyDescent="0.3">
      <c r="A145" s="3" t="s">
        <v>854</v>
      </c>
      <c r="B145" s="3"/>
      <c r="C145" s="3"/>
      <c r="D145" s="3"/>
      <c r="E145" s="3"/>
      <c r="F145" s="3"/>
      <c r="G145" s="3"/>
      <c r="H145" s="3"/>
      <c r="I145" s="3"/>
    </row>
    <row r="146" spans="1:9" ht="45" customHeight="1" x14ac:dyDescent="0.3">
      <c r="A146" s="3" t="s">
        <v>855</v>
      </c>
      <c r="B146" s="3"/>
      <c r="C146" s="3"/>
      <c r="D146" s="3"/>
      <c r="E146" s="3"/>
      <c r="F146" s="3"/>
      <c r="G146" s="3"/>
      <c r="H146" s="3"/>
      <c r="I146" s="3"/>
    </row>
    <row r="147" spans="1:9" ht="45" customHeight="1" x14ac:dyDescent="0.3">
      <c r="A147" s="3" t="s">
        <v>856</v>
      </c>
      <c r="B147" s="3"/>
      <c r="C147" s="3"/>
      <c r="D147" s="3"/>
      <c r="E147" s="3"/>
      <c r="F147" s="3"/>
      <c r="G147" s="3"/>
      <c r="H147" s="3"/>
      <c r="I147" s="3"/>
    </row>
    <row r="148" spans="1:9" ht="45" customHeight="1" x14ac:dyDescent="0.3">
      <c r="A148" s="3" t="s">
        <v>857</v>
      </c>
      <c r="B148" s="3"/>
      <c r="C148" s="3"/>
      <c r="D148" s="3"/>
      <c r="E148" s="3"/>
      <c r="F148" s="3"/>
      <c r="G148" s="3"/>
      <c r="H148" s="3"/>
      <c r="I148" s="3"/>
    </row>
    <row r="149" spans="1:9" ht="45" customHeight="1" x14ac:dyDescent="0.3">
      <c r="A149" s="3" t="s">
        <v>858</v>
      </c>
      <c r="B149" s="3"/>
      <c r="C149" s="3"/>
      <c r="D149" s="3"/>
      <c r="E149" s="3"/>
      <c r="F149" s="3"/>
      <c r="G149" s="3"/>
      <c r="H149" s="3"/>
      <c r="I149" s="3"/>
    </row>
    <row r="150" spans="1:9" ht="45" customHeight="1" x14ac:dyDescent="0.3">
      <c r="A150" s="3" t="s">
        <v>859</v>
      </c>
      <c r="B150" s="3"/>
      <c r="C150" s="3"/>
      <c r="D150" s="3"/>
      <c r="E150" s="3"/>
      <c r="F150" s="3"/>
      <c r="G150" s="3"/>
      <c r="H150" s="3"/>
      <c r="I150" s="3"/>
    </row>
    <row r="151" spans="1:9" ht="45" customHeight="1" x14ac:dyDescent="0.3">
      <c r="A151" s="3" t="s">
        <v>860</v>
      </c>
      <c r="B151" s="3"/>
      <c r="C151" s="3"/>
      <c r="D151" s="3"/>
      <c r="E151" s="3"/>
      <c r="F151" s="3"/>
      <c r="G151" s="3"/>
      <c r="H151" s="3"/>
      <c r="I151" s="3"/>
    </row>
    <row r="152" spans="1:9" ht="45" customHeight="1" x14ac:dyDescent="0.3">
      <c r="A152" s="3" t="s">
        <v>861</v>
      </c>
      <c r="B152" s="3"/>
      <c r="C152" s="3"/>
      <c r="D152" s="3"/>
      <c r="E152" s="3"/>
      <c r="F152" s="3"/>
      <c r="G152" s="3"/>
      <c r="H152" s="3"/>
      <c r="I152" s="3"/>
    </row>
    <row r="153" spans="1:9" ht="45" customHeight="1" x14ac:dyDescent="0.3">
      <c r="A153" s="3" t="s">
        <v>862</v>
      </c>
      <c r="B153" s="3"/>
      <c r="C153" s="3"/>
      <c r="D153" s="3"/>
      <c r="E153" s="3"/>
      <c r="F153" s="3"/>
      <c r="G153" s="3"/>
      <c r="H153" s="3"/>
      <c r="I153" s="3"/>
    </row>
    <row r="154" spans="1:9" ht="45" customHeight="1" x14ac:dyDescent="0.3">
      <c r="A154" s="3"/>
      <c r="B154" s="3"/>
      <c r="C154" s="3"/>
      <c r="D154" s="3"/>
      <c r="E154" s="3"/>
      <c r="F154" s="3"/>
      <c r="G154" s="3"/>
      <c r="H154" s="3"/>
      <c r="I154" s="3"/>
    </row>
    <row r="155" spans="1:9" ht="45" customHeight="1" x14ac:dyDescent="0.3">
      <c r="A155" s="3"/>
      <c r="B155" s="3"/>
      <c r="C155" s="3"/>
      <c r="D155" s="3"/>
      <c r="E155" s="3"/>
      <c r="F155" s="3"/>
      <c r="G155" s="3"/>
      <c r="H155" s="3"/>
      <c r="I155" s="3"/>
    </row>
    <row r="156" spans="1:9" ht="4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</row>
  </sheetData>
  <mergeCells count="1">
    <mergeCell ref="A3:I3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Devis</vt:lpstr>
      <vt:lpstr>Facture</vt:lpstr>
      <vt:lpstr>Commande ST</vt:lpstr>
      <vt:lpstr>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ISINGRINI</dc:creator>
  <cp:lastModifiedBy>kevin.ghafari@outlook.fr</cp:lastModifiedBy>
  <cp:lastPrinted>2015-03-02T10:28:25Z</cp:lastPrinted>
  <dcterms:created xsi:type="dcterms:W3CDTF">2014-10-29T10:10:41Z</dcterms:created>
  <dcterms:modified xsi:type="dcterms:W3CDTF">2021-03-22T19:16:07Z</dcterms:modified>
</cp:coreProperties>
</file>