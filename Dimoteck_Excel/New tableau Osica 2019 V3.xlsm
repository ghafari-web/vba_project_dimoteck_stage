
<file path=[Content_Types].xml><?xml version="1.0" encoding="utf-8"?>
<Types xmlns="http://schemas.openxmlformats.org/package/2006/content-types">
  <Default Extension="bin" ContentType="application/vnd.openxmlformats-officedocument.spreadsheetml.printerSettings"/>
  <Default Extension="jpe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tables/table1.xml" ContentType="application/vnd.openxmlformats-officedocument.spreadsheetml.table+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tables/table7.xml" ContentType="application/vnd.openxmlformats-officedocument.spreadsheetml.table+xml"/>
  <Override PartName="/xl/tables/table8.xml" ContentType="application/vnd.openxmlformats-officedocument.spreadsheetml.table+xml"/>
  <Override PartName="/xl/tables/table9.xml" ContentType="application/vnd.openxmlformats-officedocument.spreadsheetml.table+xml"/>
  <Override PartName="/xl/comments1.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3801" codeName="{4D1C537B-E38A-612A-F078-A93A15B4B7F4}"/>
  <workbookPr showInkAnnotation="0" codeName="ThisWorkbook" defaultThemeVersion="166925"/>
  <mc:AlternateContent xmlns:mc="http://schemas.openxmlformats.org/markup-compatibility/2006">
    <mc:Choice Requires="x15">
      <x15ac:absPath xmlns:x15ac="http://schemas.microsoft.com/office/spreadsheetml/2010/11/ac" url="C:\Users\kevin\OneDrive\Bureau\Stage 2020-2021  Dimoteck\Dimoteck_Excel\"/>
    </mc:Choice>
  </mc:AlternateContent>
  <xr:revisionPtr revIDLastSave="0" documentId="13_ncr:1_{08230A83-2217-4EA9-A594-765815B327E2}" xr6:coauthVersionLast="46" xr6:coauthVersionMax="46" xr10:uidLastSave="{00000000-0000-0000-0000-000000000000}"/>
  <bookViews>
    <workbookView xWindow="-108" yWindow="-108" windowWidth="23256" windowHeight="12576" tabRatio="591" xr2:uid="{00000000-000D-0000-FFFF-FFFF00000000}"/>
  </bookViews>
  <sheets>
    <sheet name="Tableau de suivi" sheetId="2" r:id="rId1"/>
    <sheet name="Générer factures" sheetId="7" r:id="rId2"/>
    <sheet name="modele_facture" sheetId="5" r:id="rId3"/>
    <sheet name="Paramètres" sheetId="6" r:id="rId4"/>
  </sheets>
  <definedNames>
    <definedName name="analyses">DT_analyses[DT Analyses]</definedName>
    <definedName name="DT_prestation_amiante">presta_amiante1[DT Prestation Amiante 1]</definedName>
    <definedName name="etat">Etat_facture[Etat]</definedName>
    <definedName name="mission">lliste_mission[Mission]</definedName>
    <definedName name="prefix">Tableau6[Préfix Numéro de Facture]</definedName>
    <definedName name="prestation_amiante_1">presta_amiante1[DT Prestation Amiante 1]</definedName>
    <definedName name="prestation_amiante_2">presta_amiante2[DT Prestation Amiante 2]</definedName>
    <definedName name="prestation_gaz">presta_gaz[DT Prestation Gaz]</definedName>
    <definedName name="_xlnm.Print_Area" localSheetId="2">modele_facture!$A$3:$M$76</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W3" i="2" l="1"/>
  <c r="AA126" i="2" l="1"/>
  <c r="AA128" i="2"/>
  <c r="AE287" i="2" l="1"/>
  <c r="W270" i="2" l="1"/>
  <c r="Y270" i="2"/>
  <c r="AA270" i="2"/>
  <c r="W269" i="2"/>
  <c r="Y269" i="2"/>
  <c r="Y210" i="2" l="1"/>
  <c r="AA210" i="2"/>
  <c r="AE210" i="2"/>
  <c r="AF210" i="2" l="1"/>
  <c r="W152" i="2"/>
  <c r="Y152" i="2"/>
  <c r="AD152" i="2"/>
  <c r="AD44" i="2" l="1"/>
  <c r="AD85" i="2" l="1"/>
  <c r="AD42" i="2" l="1"/>
  <c r="AD77" i="2" l="1"/>
  <c r="AE77" i="2" s="1"/>
  <c r="AD47" i="2"/>
  <c r="AE47" i="2" s="1"/>
  <c r="AD45" i="2"/>
  <c r="AE45" i="2" s="1"/>
  <c r="AD51" i="2"/>
  <c r="AE51" i="2" s="1"/>
  <c r="AD50" i="2"/>
  <c r="AE50" i="2" s="1"/>
  <c r="AD49" i="2"/>
  <c r="AE49" i="2" s="1"/>
  <c r="AD53" i="2"/>
  <c r="AE53" i="2" s="1"/>
  <c r="AD46" i="2"/>
  <c r="AE46" i="2" s="1"/>
  <c r="AD71" i="2"/>
  <c r="AE71" i="2" s="1"/>
  <c r="AD164" i="2"/>
  <c r="AE164" i="2" s="1"/>
  <c r="AD72" i="2"/>
  <c r="AE72" i="2" s="1"/>
  <c r="AD41" i="2"/>
  <c r="AE41" i="2" s="1"/>
  <c r="AD48" i="2"/>
  <c r="AE48" i="2" s="1"/>
  <c r="W43" i="2"/>
  <c r="AA48" i="2"/>
  <c r="Y48" i="2"/>
  <c r="W48" i="2"/>
  <c r="W11" i="2"/>
  <c r="Y11" i="2"/>
  <c r="AA11" i="2"/>
  <c r="AD11" i="2"/>
  <c r="AE11" i="2" s="1"/>
  <c r="AE158" i="2"/>
  <c r="AD154" i="2"/>
  <c r="AE154" i="2" s="1"/>
  <c r="W154" i="2"/>
  <c r="W101" i="2"/>
  <c r="Y101" i="2"/>
  <c r="AA101" i="2"/>
  <c r="AD101" i="2"/>
  <c r="AE101" i="2" s="1"/>
  <c r="W105" i="2"/>
  <c r="Y105" i="2"/>
  <c r="AA105" i="2"/>
  <c r="AD105" i="2"/>
  <c r="AE105" i="2" s="1"/>
  <c r="W130" i="2"/>
  <c r="Y130" i="2"/>
  <c r="AA130" i="2"/>
  <c r="AD130" i="2"/>
  <c r="AE130" i="2" s="1"/>
  <c r="W112" i="2"/>
  <c r="Y112" i="2"/>
  <c r="AA112" i="2"/>
  <c r="AD112" i="2"/>
  <c r="AE112" i="2" s="1"/>
  <c r="W106" i="2"/>
  <c r="Y106" i="2"/>
  <c r="AA106" i="2"/>
  <c r="AD106" i="2"/>
  <c r="AE106" i="2" s="1"/>
  <c r="W102" i="2"/>
  <c r="AE102" i="2"/>
  <c r="W170" i="2"/>
  <c r="Y170" i="2"/>
  <c r="AA170" i="2"/>
  <c r="AD170" i="2"/>
  <c r="AE170" i="2" s="1"/>
  <c r="W103" i="2"/>
  <c r="Y103" i="2"/>
  <c r="AA103" i="2"/>
  <c r="AD103" i="2"/>
  <c r="AE103" i="2" s="1"/>
  <c r="W104" i="2"/>
  <c r="Y104" i="2"/>
  <c r="AA104" i="2"/>
  <c r="AD104" i="2"/>
  <c r="AE104" i="2" s="1"/>
  <c r="W115" i="2"/>
  <c r="Y115" i="2"/>
  <c r="AA115" i="2"/>
  <c r="AD115" i="2"/>
  <c r="AE115" i="2" s="1"/>
  <c r="W4" i="2"/>
  <c r="Y4" i="2"/>
  <c r="AA4" i="2"/>
  <c r="AD4" i="2"/>
  <c r="AE4" i="2" s="1"/>
  <c r="W159" i="2"/>
  <c r="Y159" i="2"/>
  <c r="AA159" i="2"/>
  <c r="AD159" i="2"/>
  <c r="AE159" i="2" s="1"/>
  <c r="W5" i="2"/>
  <c r="Y5" i="2"/>
  <c r="AA5" i="2"/>
  <c r="AD5" i="2"/>
  <c r="AE5" i="2" s="1"/>
  <c r="W6" i="2"/>
  <c r="Y6" i="2"/>
  <c r="AA6" i="2"/>
  <c r="AD6" i="2"/>
  <c r="AE6" i="2" s="1"/>
  <c r="W7" i="2"/>
  <c r="Y7" i="2"/>
  <c r="AA7" i="2"/>
  <c r="AD7" i="2"/>
  <c r="AE7" i="2" s="1"/>
  <c r="W9" i="2"/>
  <c r="Y9" i="2"/>
  <c r="AA9" i="2"/>
  <c r="AD9" i="2"/>
  <c r="AE9" i="2" s="1"/>
  <c r="W8" i="2"/>
  <c r="Y8" i="2"/>
  <c r="AA8" i="2"/>
  <c r="AD8" i="2"/>
  <c r="AE8" i="2" s="1"/>
  <c r="W15" i="2"/>
  <c r="Y15" i="2"/>
  <c r="AA15" i="2"/>
  <c r="AD15" i="2"/>
  <c r="AE15" i="2" s="1"/>
  <c r="W12" i="2"/>
  <c r="Y12" i="2"/>
  <c r="AA12" i="2"/>
  <c r="AD12" i="2"/>
  <c r="AE12" i="2" s="1"/>
  <c r="W13" i="2"/>
  <c r="Y13" i="2"/>
  <c r="AA13" i="2"/>
  <c r="AD13" i="2"/>
  <c r="AE13" i="2" s="1"/>
  <c r="W14" i="2"/>
  <c r="Y14" i="2"/>
  <c r="AA14" i="2"/>
  <c r="AD14" i="2"/>
  <c r="AE14" i="2" s="1"/>
  <c r="W10" i="2"/>
  <c r="Y10" i="2"/>
  <c r="AA10" i="2"/>
  <c r="AD10" i="2"/>
  <c r="AE10" i="2" s="1"/>
  <c r="Y3" i="2"/>
  <c r="AA3" i="2"/>
  <c r="AD3" i="2"/>
  <c r="AE3" i="2" s="1"/>
  <c r="W2" i="2"/>
  <c r="Y2" i="2"/>
  <c r="AA2" i="2"/>
  <c r="AD2" i="2"/>
  <c r="AE2" i="2" s="1"/>
  <c r="W16" i="2"/>
  <c r="Y16" i="2"/>
  <c r="AA16" i="2"/>
  <c r="AD16" i="2"/>
  <c r="AE16" i="2" s="1"/>
  <c r="W17" i="2"/>
  <c r="Y17" i="2"/>
  <c r="AA17" i="2"/>
  <c r="AD17" i="2"/>
  <c r="AE17" i="2" s="1"/>
  <c r="W19" i="2"/>
  <c r="Y19" i="2"/>
  <c r="AA19" i="2"/>
  <c r="AD19" i="2"/>
  <c r="AE19" i="2" s="1"/>
  <c r="W18" i="2"/>
  <c r="Y18" i="2"/>
  <c r="AA18" i="2"/>
  <c r="AD18" i="2"/>
  <c r="AE18" i="2" s="1"/>
  <c r="W160" i="2"/>
  <c r="Y160" i="2"/>
  <c r="AA160" i="2"/>
  <c r="AD160" i="2"/>
  <c r="AE160" i="2" s="1"/>
  <c r="W20" i="2"/>
  <c r="Y20" i="2"/>
  <c r="AA20" i="2"/>
  <c r="AD20" i="2"/>
  <c r="AE20" i="2" s="1"/>
  <c r="W161" i="2"/>
  <c r="Y161" i="2"/>
  <c r="AA161" i="2"/>
  <c r="AD161" i="2"/>
  <c r="AE161" i="2" s="1"/>
  <c r="W22" i="2"/>
  <c r="Y22" i="2"/>
  <c r="AA22" i="2"/>
  <c r="AD22" i="2"/>
  <c r="AE22" i="2" s="1"/>
  <c r="W21" i="2"/>
  <c r="Y21" i="2"/>
  <c r="AA21" i="2"/>
  <c r="AD21" i="2"/>
  <c r="AE21" i="2" s="1"/>
  <c r="Y26" i="2"/>
  <c r="AA26" i="2"/>
  <c r="AE26" i="2"/>
  <c r="W162" i="2"/>
  <c r="Y162" i="2"/>
  <c r="AA162" i="2"/>
  <c r="AD162" i="2"/>
  <c r="AE162" i="2" s="1"/>
  <c r="W23" i="2"/>
  <c r="Y23" i="2"/>
  <c r="AA23" i="2"/>
  <c r="AD23" i="2"/>
  <c r="AE23" i="2" s="1"/>
  <c r="W24" i="2"/>
  <c r="Y24" i="2"/>
  <c r="AA24" i="2"/>
  <c r="AD24" i="2"/>
  <c r="AE24" i="2" s="1"/>
  <c r="W25" i="2"/>
  <c r="Y25" i="2"/>
  <c r="AA25" i="2"/>
  <c r="AD25" i="2"/>
  <c r="AE25" i="2" s="1"/>
  <c r="W27" i="2"/>
  <c r="Y27" i="2"/>
  <c r="AA27" i="2"/>
  <c r="AD27" i="2"/>
  <c r="AE27" i="2" s="1"/>
  <c r="W28" i="2"/>
  <c r="Y28" i="2"/>
  <c r="AA28" i="2"/>
  <c r="AD28" i="2"/>
  <c r="AE28" i="2" s="1"/>
  <c r="W163" i="2"/>
  <c r="Y163" i="2"/>
  <c r="AA163" i="2"/>
  <c r="AD163" i="2"/>
  <c r="AE163" i="2" s="1"/>
  <c r="W30" i="2"/>
  <c r="Y30" i="2"/>
  <c r="AA30" i="2"/>
  <c r="AD30" i="2"/>
  <c r="AE30" i="2" s="1"/>
  <c r="W31" i="2"/>
  <c r="Y31" i="2"/>
  <c r="AA31" i="2"/>
  <c r="AD31" i="2"/>
  <c r="AE31" i="2" s="1"/>
  <c r="W32" i="2"/>
  <c r="Y32" i="2"/>
  <c r="AA32" i="2"/>
  <c r="AD32" i="2"/>
  <c r="AE32" i="2" s="1"/>
  <c r="W29" i="2"/>
  <c r="Y29" i="2"/>
  <c r="AA29" i="2"/>
  <c r="AD29" i="2"/>
  <c r="AE29" i="2" s="1"/>
  <c r="W52" i="2"/>
  <c r="Y52" i="2"/>
  <c r="AA52" i="2"/>
  <c r="AD52" i="2"/>
  <c r="AE52" i="2" s="1"/>
  <c r="W33" i="2"/>
  <c r="Y33" i="2"/>
  <c r="AA33" i="2"/>
  <c r="AD33" i="2"/>
  <c r="AE33" i="2" s="1"/>
  <c r="W34" i="2"/>
  <c r="Y34" i="2"/>
  <c r="AA34" i="2"/>
  <c r="AD34" i="2"/>
  <c r="AE34" i="2" s="1"/>
  <c r="W35" i="2"/>
  <c r="Y35" i="2"/>
  <c r="AA35" i="2"/>
  <c r="AD35" i="2"/>
  <c r="AE35" i="2" s="1"/>
  <c r="W36" i="2"/>
  <c r="Y36" i="2"/>
  <c r="AA36" i="2"/>
  <c r="AD36" i="2"/>
  <c r="AE36" i="2" s="1"/>
  <c r="W37" i="2"/>
  <c r="Y37" i="2"/>
  <c r="AA37" i="2"/>
  <c r="AD37" i="2"/>
  <c r="AE37" i="2" s="1"/>
  <c r="W38" i="2"/>
  <c r="Y38" i="2"/>
  <c r="AA38" i="2"/>
  <c r="AD38" i="2"/>
  <c r="AE38" i="2" s="1"/>
  <c r="Y43" i="2"/>
  <c r="AA43" i="2"/>
  <c r="AD43" i="2"/>
  <c r="AE43" i="2" s="1"/>
  <c r="W39" i="2"/>
  <c r="Y39" i="2"/>
  <c r="AA39" i="2"/>
  <c r="AD39" i="2"/>
  <c r="AE39" i="2" s="1"/>
  <c r="W40" i="2"/>
  <c r="Y40" i="2"/>
  <c r="AA40" i="2"/>
  <c r="AD40" i="2"/>
  <c r="AE40" i="2" s="1"/>
  <c r="W41" i="2"/>
  <c r="Y41" i="2"/>
  <c r="AA41" i="2"/>
  <c r="W42" i="2"/>
  <c r="Y42" i="2"/>
  <c r="AA42" i="2"/>
  <c r="AD59" i="2"/>
  <c r="AE59" i="2" s="1"/>
  <c r="AE42" i="2"/>
  <c r="W44" i="2"/>
  <c r="Y44" i="2"/>
  <c r="AA44" i="2"/>
  <c r="AD54" i="2"/>
  <c r="AE54" i="2" s="1"/>
  <c r="AE44" i="2"/>
  <c r="W85" i="2"/>
  <c r="Y85" i="2"/>
  <c r="AA85" i="2"/>
  <c r="AD55" i="2"/>
  <c r="AE55" i="2" s="1"/>
  <c r="AE85" i="2"/>
  <c r="W71" i="2"/>
  <c r="Y71" i="2"/>
  <c r="AA71" i="2"/>
  <c r="AD165" i="2"/>
  <c r="AE165" i="2" s="1"/>
  <c r="W49" i="2"/>
  <c r="Y49" i="2"/>
  <c r="AA49" i="2"/>
  <c r="AD56" i="2"/>
  <c r="AE56" i="2" s="1"/>
  <c r="W50" i="2"/>
  <c r="Y50" i="2"/>
  <c r="AA50" i="2"/>
  <c r="AD57" i="2"/>
  <c r="AE57" i="2" s="1"/>
  <c r="W51" i="2"/>
  <c r="Y51" i="2"/>
  <c r="AA51" i="2"/>
  <c r="AD166" i="2"/>
  <c r="AE166" i="2" s="1"/>
  <c r="W45" i="2"/>
  <c r="Y45" i="2"/>
  <c r="AA45" i="2"/>
  <c r="AD60" i="2"/>
  <c r="AE60" i="2" s="1"/>
  <c r="W47" i="2"/>
  <c r="Y47" i="2"/>
  <c r="AA47" i="2"/>
  <c r="AD61" i="2"/>
  <c r="AE61" i="2" s="1"/>
  <c r="W164" i="2"/>
  <c r="Y164" i="2"/>
  <c r="AA164" i="2"/>
  <c r="AD58" i="2"/>
  <c r="AE58" i="2" s="1"/>
  <c r="W46" i="2"/>
  <c r="Y46" i="2"/>
  <c r="AA46" i="2"/>
  <c r="AD62" i="2"/>
  <c r="AE62" i="2" s="1"/>
  <c r="W53" i="2"/>
  <c r="Y53" i="2"/>
  <c r="AA53" i="2"/>
  <c r="AD64" i="2"/>
  <c r="AE64" i="2" s="1"/>
  <c r="W72" i="2"/>
  <c r="Y72" i="2"/>
  <c r="AA72" i="2"/>
  <c r="AD167" i="2"/>
  <c r="AE167" i="2" s="1"/>
  <c r="W77" i="2"/>
  <c r="Y77" i="2"/>
  <c r="AA77" i="2"/>
  <c r="AD65" i="2"/>
  <c r="AE65" i="2" s="1"/>
  <c r="W59" i="2"/>
  <c r="Y59" i="2"/>
  <c r="AA59" i="2"/>
  <c r="W54" i="2"/>
  <c r="Y54" i="2"/>
  <c r="AA54" i="2"/>
  <c r="W55" i="2"/>
  <c r="Y55" i="2"/>
  <c r="AA55" i="2"/>
  <c r="W165" i="2"/>
  <c r="Y165" i="2"/>
  <c r="AA165" i="2"/>
  <c r="W56" i="2"/>
  <c r="Y56" i="2"/>
  <c r="AA56" i="2"/>
  <c r="W57" i="2"/>
  <c r="Y57" i="2"/>
  <c r="AA57" i="2"/>
  <c r="W166" i="2"/>
  <c r="Y166" i="2"/>
  <c r="AA166" i="2"/>
  <c r="W60" i="2"/>
  <c r="Y60" i="2"/>
  <c r="AA60" i="2"/>
  <c r="W61" i="2"/>
  <c r="Y61" i="2"/>
  <c r="AA61" i="2"/>
  <c r="W58" i="2"/>
  <c r="Y58" i="2"/>
  <c r="AA58" i="2"/>
  <c r="W62" i="2"/>
  <c r="Y62" i="2"/>
  <c r="AA62" i="2"/>
  <c r="W64" i="2"/>
  <c r="Y64" i="2"/>
  <c r="AA64" i="2"/>
  <c r="W167" i="2"/>
  <c r="Y167" i="2"/>
  <c r="AA167" i="2"/>
  <c r="W65" i="2"/>
  <c r="Y65" i="2"/>
  <c r="AA65" i="2"/>
  <c r="W66" i="2"/>
  <c r="Y66" i="2"/>
  <c r="AA66" i="2"/>
  <c r="AD66" i="2"/>
  <c r="AE66" i="2" s="1"/>
  <c r="W63" i="2"/>
  <c r="Y63" i="2"/>
  <c r="AA63" i="2"/>
  <c r="AD63" i="2"/>
  <c r="AE63" i="2" s="1"/>
  <c r="W67" i="2"/>
  <c r="Y67" i="2"/>
  <c r="AA67" i="2"/>
  <c r="AD67" i="2"/>
  <c r="AE67" i="2" s="1"/>
  <c r="W68" i="2"/>
  <c r="Y68" i="2"/>
  <c r="AA68" i="2"/>
  <c r="AD68" i="2"/>
  <c r="AE68" i="2" s="1"/>
  <c r="W69" i="2"/>
  <c r="Y69" i="2"/>
  <c r="AA69" i="2"/>
  <c r="AD69" i="2"/>
  <c r="AE69" i="2" s="1"/>
  <c r="W73" i="2"/>
  <c r="Y73" i="2"/>
  <c r="AA73" i="2"/>
  <c r="AD73" i="2"/>
  <c r="AE73" i="2" s="1"/>
  <c r="W86" i="2"/>
  <c r="Y86" i="2"/>
  <c r="AA86" i="2"/>
  <c r="AD86" i="2"/>
  <c r="AE86" i="2" s="1"/>
  <c r="W74" i="2"/>
  <c r="Y74" i="2"/>
  <c r="AA74" i="2"/>
  <c r="AD74" i="2"/>
  <c r="AE74" i="2" s="1"/>
  <c r="W70" i="2"/>
  <c r="Y70" i="2"/>
  <c r="AA70" i="2"/>
  <c r="AD70" i="2"/>
  <c r="AE70" i="2" s="1"/>
  <c r="W91" i="2"/>
  <c r="Y91" i="2"/>
  <c r="AA91" i="2"/>
  <c r="AD91" i="2"/>
  <c r="AE91" i="2" s="1"/>
  <c r="W92" i="2"/>
  <c r="Y92" i="2"/>
  <c r="AA92" i="2"/>
  <c r="AD92" i="2"/>
  <c r="AE92" i="2" s="1"/>
  <c r="W75" i="2"/>
  <c r="Y75" i="2"/>
  <c r="AA75" i="2"/>
  <c r="AD75" i="2"/>
  <c r="AE75" i="2" s="1"/>
  <c r="W76" i="2"/>
  <c r="Y76" i="2"/>
  <c r="AA76" i="2"/>
  <c r="AD76" i="2"/>
  <c r="AE76" i="2" s="1"/>
  <c r="W78" i="2"/>
  <c r="Y78" i="2"/>
  <c r="AA78" i="2"/>
  <c r="AD78" i="2"/>
  <c r="AE78" i="2" s="1"/>
  <c r="W79" i="2"/>
  <c r="Y79" i="2"/>
  <c r="AA79" i="2"/>
  <c r="AD79" i="2"/>
  <c r="AE79" i="2" s="1"/>
  <c r="W80" i="2"/>
  <c r="Y80" i="2"/>
  <c r="AA80" i="2"/>
  <c r="AD80" i="2"/>
  <c r="AE80" i="2" s="1"/>
  <c r="W81" i="2"/>
  <c r="Y81" i="2"/>
  <c r="AA81" i="2"/>
  <c r="AD81" i="2"/>
  <c r="AE81" i="2" s="1"/>
  <c r="W82" i="2"/>
  <c r="Y82" i="2"/>
  <c r="AA82" i="2"/>
  <c r="AD82" i="2"/>
  <c r="AE82" i="2" s="1"/>
  <c r="W83" i="2"/>
  <c r="Y83" i="2"/>
  <c r="AA83" i="2"/>
  <c r="AD83" i="2"/>
  <c r="AE83" i="2" s="1"/>
  <c r="W84" i="2"/>
  <c r="Y84" i="2"/>
  <c r="AA84" i="2"/>
  <c r="AD84" i="2"/>
  <c r="AE84" i="2" s="1"/>
  <c r="W87" i="2"/>
  <c r="Y87" i="2"/>
  <c r="AA87" i="2"/>
  <c r="AD87" i="2"/>
  <c r="AE87" i="2" s="1"/>
  <c r="W88" i="2"/>
  <c r="Y88" i="2"/>
  <c r="AA88" i="2"/>
  <c r="AD88" i="2"/>
  <c r="AE88" i="2" s="1"/>
  <c r="W93" i="2"/>
  <c r="Y93" i="2"/>
  <c r="AA93" i="2"/>
  <c r="AD93" i="2"/>
  <c r="AE93" i="2" s="1"/>
  <c r="W89" i="2"/>
  <c r="Y89" i="2"/>
  <c r="AA89" i="2"/>
  <c r="AD89" i="2"/>
  <c r="AE89" i="2" s="1"/>
  <c r="W90" i="2"/>
  <c r="Y90" i="2"/>
  <c r="AA90" i="2"/>
  <c r="AD90" i="2"/>
  <c r="AE90" i="2" s="1"/>
  <c r="W168" i="2"/>
  <c r="Y168" i="2"/>
  <c r="AA168" i="2"/>
  <c r="AD168" i="2"/>
  <c r="AE168" i="2" s="1"/>
  <c r="W95" i="2"/>
  <c r="Y95" i="2"/>
  <c r="AA95" i="2"/>
  <c r="AD95" i="2"/>
  <c r="AE95" i="2" s="1"/>
  <c r="W99" i="2"/>
  <c r="Y99" i="2"/>
  <c r="AA99" i="2"/>
  <c r="AD99" i="2"/>
  <c r="AE99" i="2" s="1"/>
  <c r="W96" i="2"/>
  <c r="Y96" i="2"/>
  <c r="AA96" i="2"/>
  <c r="AD96" i="2"/>
  <c r="AE96" i="2" s="1"/>
  <c r="W169" i="2"/>
  <c r="Y169" i="2"/>
  <c r="AA169" i="2"/>
  <c r="AD169" i="2"/>
  <c r="AE169" i="2" s="1"/>
  <c r="W97" i="2"/>
  <c r="Y97" i="2"/>
  <c r="AA97" i="2"/>
  <c r="AD97" i="2"/>
  <c r="AE97" i="2" s="1"/>
  <c r="W98" i="2"/>
  <c r="Y98" i="2"/>
  <c r="AA98" i="2"/>
  <c r="AD98" i="2"/>
  <c r="AE98" i="2" s="1"/>
  <c r="W100" i="2"/>
  <c r="Y100" i="2"/>
  <c r="AA100" i="2"/>
  <c r="AD100" i="2"/>
  <c r="AE100" i="2" s="1"/>
  <c r="W94" i="2"/>
  <c r="Y94" i="2"/>
  <c r="AA94" i="2"/>
  <c r="AD94" i="2"/>
  <c r="AE94" i="2" s="1"/>
  <c r="W110" i="2"/>
  <c r="Y110" i="2"/>
  <c r="AA110" i="2"/>
  <c r="AD110" i="2"/>
  <c r="AE110" i="2" s="1"/>
  <c r="W107" i="2"/>
  <c r="Y107" i="2"/>
  <c r="AA107" i="2"/>
  <c r="AD107" i="2"/>
  <c r="AE107" i="2" s="1"/>
  <c r="W108" i="2"/>
  <c r="Y108" i="2"/>
  <c r="AA108" i="2"/>
  <c r="AD108" i="2"/>
  <c r="AE108" i="2" s="1"/>
  <c r="W109" i="2"/>
  <c r="Y109" i="2"/>
  <c r="AA109" i="2"/>
  <c r="AD109" i="2"/>
  <c r="AE109" i="2" s="1"/>
  <c r="W111" i="2"/>
  <c r="Y111" i="2"/>
  <c r="AA111" i="2"/>
  <c r="AD111" i="2"/>
  <c r="AE111" i="2" s="1"/>
  <c r="W122" i="2"/>
  <c r="Y122" i="2"/>
  <c r="AA122" i="2"/>
  <c r="AD122" i="2"/>
  <c r="AE122" i="2" s="1"/>
  <c r="W116" i="2"/>
  <c r="Y116" i="2"/>
  <c r="AA116" i="2"/>
  <c r="AD116" i="2"/>
  <c r="AE116" i="2" s="1"/>
  <c r="W117" i="2"/>
  <c r="Y117" i="2"/>
  <c r="AA117" i="2"/>
  <c r="AD117" i="2"/>
  <c r="AE117" i="2" s="1"/>
  <c r="W138" i="2"/>
  <c r="Y138" i="2"/>
  <c r="AA138" i="2"/>
  <c r="AD138" i="2"/>
  <c r="AE138" i="2" s="1"/>
  <c r="W118" i="2"/>
  <c r="Y118" i="2"/>
  <c r="AA118" i="2"/>
  <c r="AD118" i="2"/>
  <c r="AE118" i="2" s="1"/>
  <c r="W171" i="2"/>
  <c r="Y171" i="2"/>
  <c r="AA171" i="2"/>
  <c r="AD171" i="2"/>
  <c r="AE171" i="2" s="1"/>
  <c r="W121" i="2"/>
  <c r="Y121" i="2"/>
  <c r="AA121" i="2"/>
  <c r="AD121" i="2"/>
  <c r="AE121" i="2" s="1"/>
  <c r="W113" i="2"/>
  <c r="Y113" i="2"/>
  <c r="AA113" i="2"/>
  <c r="AD113" i="2"/>
  <c r="AE113" i="2" s="1"/>
  <c r="W114" i="2"/>
  <c r="Y114" i="2"/>
  <c r="AA114" i="2"/>
  <c r="AD114" i="2"/>
  <c r="AE114" i="2" s="1"/>
  <c r="W120" i="2"/>
  <c r="Y120" i="2"/>
  <c r="AA120" i="2"/>
  <c r="AD120" i="2"/>
  <c r="AE120" i="2" s="1"/>
  <c r="W119" i="2"/>
  <c r="Y119" i="2"/>
  <c r="AA119" i="2"/>
  <c r="AD119" i="2"/>
  <c r="AE119" i="2" s="1"/>
  <c r="W123" i="2"/>
  <c r="Y123" i="2"/>
  <c r="AA123" i="2"/>
  <c r="AD123" i="2"/>
  <c r="AE123" i="2" s="1"/>
  <c r="W139" i="2"/>
  <c r="Y139" i="2"/>
  <c r="AA139" i="2"/>
  <c r="AD139" i="2"/>
  <c r="AE139" i="2" s="1"/>
  <c r="W124" i="2"/>
  <c r="Y124" i="2"/>
  <c r="AA124" i="2"/>
  <c r="AD124" i="2"/>
  <c r="AE124" i="2" s="1"/>
  <c r="W129" i="2"/>
  <c r="Y129" i="2"/>
  <c r="AA129" i="2"/>
  <c r="AD129" i="2"/>
  <c r="AE129" i="2" s="1"/>
  <c r="W125" i="2"/>
  <c r="Y125" i="2"/>
  <c r="AA125" i="2"/>
  <c r="AD125" i="2"/>
  <c r="AE125" i="2" s="1"/>
  <c r="W140" i="2"/>
  <c r="Y140" i="2"/>
  <c r="AA140" i="2"/>
  <c r="AD140" i="2"/>
  <c r="AE140" i="2" s="1"/>
  <c r="W157" i="2"/>
  <c r="Y157" i="2"/>
  <c r="AA157" i="2"/>
  <c r="AD157" i="2"/>
  <c r="AE157" i="2" s="1"/>
  <c r="W126" i="2"/>
  <c r="Y126" i="2"/>
  <c r="AD126" i="2"/>
  <c r="AE126" i="2" s="1"/>
  <c r="AA127" i="2"/>
  <c r="AE127" i="2"/>
  <c r="W128" i="2"/>
  <c r="Y128" i="2"/>
  <c r="AD128" i="2"/>
  <c r="AE128" i="2" s="1"/>
  <c r="W172" i="2"/>
  <c r="Y172" i="2"/>
  <c r="AA172" i="2"/>
  <c r="AD172" i="2"/>
  <c r="AE172" i="2" s="1"/>
  <c r="W131" i="2"/>
  <c r="Y131" i="2"/>
  <c r="AA131" i="2"/>
  <c r="AD131" i="2"/>
  <c r="AE131" i="2" s="1"/>
  <c r="W132" i="2"/>
  <c r="Y132" i="2"/>
  <c r="AA132" i="2"/>
  <c r="AD132" i="2"/>
  <c r="AE132" i="2" s="1"/>
  <c r="W133" i="2"/>
  <c r="Y133" i="2"/>
  <c r="AA133" i="2"/>
  <c r="AD133" i="2"/>
  <c r="AE133" i="2" s="1"/>
  <c r="W141" i="2"/>
  <c r="Y141" i="2"/>
  <c r="AA141" i="2"/>
  <c r="AD141" i="2"/>
  <c r="AE141" i="2" s="1"/>
  <c r="W142" i="2"/>
  <c r="Y142" i="2"/>
  <c r="AA142" i="2"/>
  <c r="AD142" i="2"/>
  <c r="AE142" i="2" s="1"/>
  <c r="W143" i="2"/>
  <c r="Y143" i="2"/>
  <c r="AA143" i="2"/>
  <c r="AD143" i="2"/>
  <c r="AE143" i="2" s="1"/>
  <c r="Y147" i="2"/>
  <c r="AE147" i="2"/>
  <c r="W134" i="2"/>
  <c r="Y134" i="2"/>
  <c r="AA134" i="2"/>
  <c r="AD134" i="2"/>
  <c r="AE134" i="2" s="1"/>
  <c r="AE135" i="2"/>
  <c r="Y137" i="2"/>
  <c r="AA137" i="2"/>
  <c r="AE137" i="2"/>
  <c r="W144" i="2"/>
  <c r="Y144" i="2"/>
  <c r="AA144" i="2"/>
  <c r="AD144" i="2"/>
  <c r="AE144" i="2" s="1"/>
  <c r="AE155" i="2"/>
  <c r="AE156" i="2"/>
  <c r="AE153" i="2"/>
  <c r="W145" i="2"/>
  <c r="Y145" i="2"/>
  <c r="AA145" i="2"/>
  <c r="AD145" i="2"/>
  <c r="AE145" i="2" s="1"/>
  <c r="W146" i="2"/>
  <c r="Y146" i="2"/>
  <c r="AA146" i="2"/>
  <c r="AD146" i="2"/>
  <c r="AE146" i="2" s="1"/>
  <c r="W173" i="2"/>
  <c r="Y173" i="2"/>
  <c r="AA173" i="2"/>
  <c r="AD173" i="2"/>
  <c r="AE173" i="2" s="1"/>
  <c r="W136" i="2"/>
  <c r="Y136" i="2"/>
  <c r="AA136" i="2"/>
  <c r="AD136" i="2"/>
  <c r="AE136" i="2" s="1"/>
  <c r="W174" i="2"/>
  <c r="Y174" i="2"/>
  <c r="AE174" i="2"/>
  <c r="W149" i="2"/>
  <c r="Y149" i="2"/>
  <c r="AA149" i="2"/>
  <c r="AD149" i="2"/>
  <c r="AE149" i="2" s="1"/>
  <c r="W150" i="2"/>
  <c r="Y150" i="2"/>
  <c r="AA150" i="2"/>
  <c r="AD150" i="2"/>
  <c r="AE150" i="2" s="1"/>
  <c r="W151" i="2"/>
  <c r="Y151" i="2"/>
  <c r="AA151" i="2"/>
  <c r="AD151" i="2"/>
  <c r="AE151" i="2" s="1"/>
  <c r="AA152" i="2"/>
  <c r="AE152" i="2"/>
  <c r="Y158" i="2"/>
  <c r="AA158" i="2"/>
  <c r="Y154" i="2"/>
  <c r="AA154" i="2"/>
  <c r="Y148" i="2"/>
  <c r="AA148" i="2"/>
  <c r="AE148" i="2"/>
  <c r="W175" i="2"/>
  <c r="Y175" i="2"/>
  <c r="AA175" i="2"/>
  <c r="AD175" i="2"/>
  <c r="AE175" i="2" s="1"/>
  <c r="W176" i="2"/>
  <c r="Y176" i="2"/>
  <c r="AA176" i="2"/>
  <c r="AD176" i="2"/>
  <c r="AE176" i="2" s="1"/>
  <c r="AE177" i="2"/>
  <c r="AA178" i="2"/>
  <c r="AE178" i="2"/>
  <c r="W179" i="2"/>
  <c r="Y179" i="2"/>
  <c r="AA179" i="2"/>
  <c r="AD179" i="2"/>
  <c r="AE179" i="2" s="1"/>
  <c r="W180" i="2"/>
  <c r="Y180" i="2"/>
  <c r="AA180" i="2"/>
  <c r="AD180" i="2"/>
  <c r="AE180" i="2" s="1"/>
  <c r="W181" i="2"/>
  <c r="Y181" i="2"/>
  <c r="AA181" i="2"/>
  <c r="AD181" i="2"/>
  <c r="AE181" i="2" s="1"/>
  <c r="W182" i="2"/>
  <c r="Y182" i="2"/>
  <c r="AA182" i="2"/>
  <c r="AD182" i="2"/>
  <c r="AE182" i="2" s="1"/>
  <c r="AA183" i="2"/>
  <c r="AE183" i="2"/>
  <c r="W184" i="2"/>
  <c r="Y184" i="2"/>
  <c r="AA184" i="2"/>
  <c r="AD184" i="2"/>
  <c r="AE184" i="2" s="1"/>
  <c r="W185" i="2"/>
  <c r="Y185" i="2"/>
  <c r="AA185" i="2"/>
  <c r="AD185" i="2"/>
  <c r="AE185" i="2" s="1"/>
  <c r="AD186" i="2"/>
  <c r="AE186" i="2" s="1"/>
  <c r="AE187" i="2"/>
  <c r="W188" i="2"/>
  <c r="Y188" i="2"/>
  <c r="AA188" i="2"/>
  <c r="AD188" i="2"/>
  <c r="AE188" i="2" s="1"/>
  <c r="W189" i="2"/>
  <c r="Y189" i="2"/>
  <c r="AA189" i="2"/>
  <c r="AD189" i="2"/>
  <c r="AE189" i="2" s="1"/>
  <c r="W190" i="2"/>
  <c r="Y190" i="2"/>
  <c r="AA190" i="2"/>
  <c r="AD190" i="2"/>
  <c r="AE190" i="2" s="1"/>
  <c r="W191" i="2"/>
  <c r="Y191" i="2"/>
  <c r="AA191" i="2"/>
  <c r="AD191" i="2"/>
  <c r="AE191" i="2" s="1"/>
  <c r="AE192" i="2"/>
  <c r="AE193" i="2"/>
  <c r="W194" i="2"/>
  <c r="Y194" i="2"/>
  <c r="AA194" i="2"/>
  <c r="AD194" i="2"/>
  <c r="AE194" i="2" s="1"/>
  <c r="W195" i="2"/>
  <c r="Y195" i="2"/>
  <c r="AA195" i="2"/>
  <c r="AD195" i="2"/>
  <c r="AE195" i="2" s="1"/>
  <c r="W196" i="2"/>
  <c r="Y196" i="2"/>
  <c r="AA196" i="2"/>
  <c r="AD196" i="2"/>
  <c r="AE196" i="2" s="1"/>
  <c r="W197" i="2"/>
  <c r="Y197" i="2"/>
  <c r="AA197" i="2"/>
  <c r="AD197" i="2"/>
  <c r="AE197" i="2" s="1"/>
  <c r="W198" i="2"/>
  <c r="Y198" i="2"/>
  <c r="AA198" i="2"/>
  <c r="AD198" i="2"/>
  <c r="AE198" i="2" s="1"/>
  <c r="AE199" i="2"/>
  <c r="W200" i="2"/>
  <c r="Y200" i="2"/>
  <c r="AA200" i="2"/>
  <c r="AD200" i="2"/>
  <c r="AE200" i="2" s="1"/>
  <c r="W201" i="2"/>
  <c r="Y201" i="2"/>
  <c r="AA201" i="2"/>
  <c r="AD201" i="2"/>
  <c r="AE201" i="2" s="1"/>
  <c r="W202" i="2"/>
  <c r="Y202" i="2"/>
  <c r="AA202" i="2"/>
  <c r="AD202" i="2"/>
  <c r="AE202" i="2" s="1"/>
  <c r="Y203" i="2"/>
  <c r="AA203" i="2"/>
  <c r="AE203" i="2"/>
  <c r="Y204" i="2"/>
  <c r="AA204" i="2"/>
  <c r="AE204" i="2"/>
  <c r="Y205" i="2"/>
  <c r="AE205" i="2"/>
  <c r="W206" i="2"/>
  <c r="Y206" i="2"/>
  <c r="AA206" i="2"/>
  <c r="AD206" i="2"/>
  <c r="AE206" i="2" s="1"/>
  <c r="W207" i="2"/>
  <c r="Y207" i="2"/>
  <c r="AA207" i="2"/>
  <c r="AD207" i="2"/>
  <c r="AE207" i="2" s="1"/>
  <c r="W208" i="2"/>
  <c r="Y208" i="2"/>
  <c r="AA208" i="2"/>
  <c r="AD208" i="2"/>
  <c r="AE208" i="2" s="1"/>
  <c r="Y209" i="2"/>
  <c r="AA209" i="2"/>
  <c r="AE209" i="2"/>
  <c r="Y211" i="2"/>
  <c r="AE211" i="2"/>
  <c r="W212" i="2"/>
  <c r="Y212" i="2"/>
  <c r="AA212" i="2"/>
  <c r="AD212" i="2"/>
  <c r="AE212" i="2" s="1"/>
  <c r="AD213" i="2"/>
  <c r="AE213" i="2" s="1"/>
  <c r="W214" i="2"/>
  <c r="Y214" i="2"/>
  <c r="AA214" i="2"/>
  <c r="AD214" i="2"/>
  <c r="AE214" i="2" s="1"/>
  <c r="W215" i="2"/>
  <c r="Y215" i="2"/>
  <c r="AA215" i="2"/>
  <c r="AD215" i="2"/>
  <c r="AE215" i="2" s="1"/>
  <c r="W216" i="2"/>
  <c r="Y216" i="2"/>
  <c r="AA216" i="2"/>
  <c r="AD216" i="2"/>
  <c r="AE216" i="2" s="1"/>
  <c r="W217" i="2"/>
  <c r="Y217" i="2"/>
  <c r="AA217" i="2"/>
  <c r="AD217" i="2"/>
  <c r="AE217" i="2" s="1"/>
  <c r="W218" i="2"/>
  <c r="Y218" i="2"/>
  <c r="AA218" i="2"/>
  <c r="AD218" i="2"/>
  <c r="AE218" i="2" s="1"/>
  <c r="W219" i="2"/>
  <c r="Y219" i="2"/>
  <c r="AA219" i="2"/>
  <c r="AD219" i="2"/>
  <c r="AE219" i="2" s="1"/>
  <c r="W220" i="2"/>
  <c r="Y220" i="2"/>
  <c r="AA220" i="2"/>
  <c r="AD220" i="2"/>
  <c r="AE220" i="2" s="1"/>
  <c r="W221" i="2"/>
  <c r="Y221" i="2"/>
  <c r="AA221" i="2"/>
  <c r="AD221" i="2"/>
  <c r="AE221" i="2" s="1"/>
  <c r="W222" i="2"/>
  <c r="Y222" i="2"/>
  <c r="AA222" i="2"/>
  <c r="AD222" i="2"/>
  <c r="AE222" i="2" s="1"/>
  <c r="AE223" i="2"/>
  <c r="W224" i="2"/>
  <c r="Y224" i="2"/>
  <c r="AA224" i="2"/>
  <c r="AD224" i="2"/>
  <c r="AE224" i="2" s="1"/>
  <c r="W225" i="2"/>
  <c r="Y225" i="2"/>
  <c r="AA225" i="2"/>
  <c r="AD225" i="2"/>
  <c r="AE225" i="2" s="1"/>
  <c r="W226" i="2"/>
  <c r="Y226" i="2"/>
  <c r="AA226" i="2"/>
  <c r="AD226" i="2"/>
  <c r="AE226" i="2" s="1"/>
  <c r="AE227" i="2"/>
  <c r="W228" i="2"/>
  <c r="Y228" i="2"/>
  <c r="AA228" i="2"/>
  <c r="AD228" i="2"/>
  <c r="AE228" i="2" s="1"/>
  <c r="AE229" i="2"/>
  <c r="W230" i="2"/>
  <c r="Y230" i="2"/>
  <c r="AA230" i="2"/>
  <c r="AD230" i="2"/>
  <c r="AE230" i="2" s="1"/>
  <c r="Y231" i="2"/>
  <c r="AE231" i="2"/>
  <c r="W232" i="2"/>
  <c r="Y232" i="2"/>
  <c r="AA232" i="2"/>
  <c r="AD232" i="2"/>
  <c r="AE232" i="2" s="1"/>
  <c r="W233" i="2"/>
  <c r="Y233" i="2"/>
  <c r="AA233" i="2"/>
  <c r="AD233" i="2"/>
  <c r="AE233" i="2" s="1"/>
  <c r="AE234" i="2"/>
  <c r="W235" i="2"/>
  <c r="Y235" i="2"/>
  <c r="AA235" i="2"/>
  <c r="AD235" i="2"/>
  <c r="AE235" i="2" s="1"/>
  <c r="W236" i="2"/>
  <c r="Y236" i="2"/>
  <c r="AA236" i="2"/>
  <c r="AD236" i="2"/>
  <c r="AE236" i="2" s="1"/>
  <c r="W237" i="2"/>
  <c r="Y237" i="2"/>
  <c r="AA237" i="2"/>
  <c r="AD237" i="2"/>
  <c r="AE237" i="2" s="1"/>
  <c r="W238" i="2"/>
  <c r="Y238" i="2"/>
  <c r="AA238" i="2"/>
  <c r="AD238" i="2"/>
  <c r="AE238" i="2" s="1"/>
  <c r="W239" i="2"/>
  <c r="Y239" i="2"/>
  <c r="AA239" i="2"/>
  <c r="AD239" i="2"/>
  <c r="AE239" i="2" s="1"/>
  <c r="W240" i="2"/>
  <c r="Y240" i="2"/>
  <c r="AA240" i="2"/>
  <c r="AD240" i="2"/>
  <c r="AE240" i="2" s="1"/>
  <c r="W241" i="2"/>
  <c r="Y241" i="2"/>
  <c r="AA241" i="2"/>
  <c r="AD241" i="2"/>
  <c r="AE241" i="2" s="1"/>
  <c r="W242" i="2"/>
  <c r="Y242" i="2"/>
  <c r="AA242" i="2"/>
  <c r="AD242" i="2"/>
  <c r="AE242" i="2" s="1"/>
  <c r="W243" i="2"/>
  <c r="Y243" i="2"/>
  <c r="AA243" i="2"/>
  <c r="AD243" i="2"/>
  <c r="AE243" i="2" s="1"/>
  <c r="W244" i="2"/>
  <c r="Y244" i="2"/>
  <c r="AA244" i="2"/>
  <c r="AD244" i="2"/>
  <c r="AE244" i="2" s="1"/>
  <c r="W245" i="2"/>
  <c r="Y245" i="2"/>
  <c r="AA245" i="2"/>
  <c r="AD245" i="2"/>
  <c r="AE245" i="2" s="1"/>
  <c r="Y246" i="2"/>
  <c r="AA246" i="2"/>
  <c r="AE246" i="2"/>
  <c r="W247" i="2"/>
  <c r="Y247" i="2"/>
  <c r="AA247" i="2"/>
  <c r="AD247" i="2"/>
  <c r="AE247" i="2" s="1"/>
  <c r="W248" i="2"/>
  <c r="Y248" i="2"/>
  <c r="AA248" i="2"/>
  <c r="AD248" i="2"/>
  <c r="AE248" i="2" s="1"/>
  <c r="W249" i="2"/>
  <c r="Y249" i="2"/>
  <c r="AA249" i="2"/>
  <c r="AD249" i="2"/>
  <c r="AE249" i="2" s="1"/>
  <c r="W250" i="2"/>
  <c r="Y250" i="2"/>
  <c r="AA250" i="2"/>
  <c r="AD250" i="2"/>
  <c r="AE250" i="2" s="1"/>
  <c r="W251" i="2"/>
  <c r="Y251" i="2"/>
  <c r="AA251" i="2"/>
  <c r="AD251" i="2"/>
  <c r="AE251" i="2" s="1"/>
  <c r="W252" i="2"/>
  <c r="Y252" i="2"/>
  <c r="AA252" i="2"/>
  <c r="AD252" i="2"/>
  <c r="AE252" i="2" s="1"/>
  <c r="W253" i="2"/>
  <c r="Y253" i="2"/>
  <c r="AA253" i="2"/>
  <c r="AD253" i="2"/>
  <c r="AE253" i="2" s="1"/>
  <c r="W254" i="2"/>
  <c r="Y254" i="2"/>
  <c r="AA254" i="2"/>
  <c r="AD254" i="2"/>
  <c r="AE254" i="2" s="1"/>
  <c r="W255" i="2"/>
  <c r="Y255" i="2"/>
  <c r="AD255" i="2"/>
  <c r="AE255" i="2" s="1"/>
  <c r="W256" i="2"/>
  <c r="Y256" i="2"/>
  <c r="AA256" i="2"/>
  <c r="AD256" i="2"/>
  <c r="AE256" i="2" s="1"/>
  <c r="W257" i="2"/>
  <c r="Y257" i="2"/>
  <c r="AA257" i="2"/>
  <c r="AD257" i="2"/>
  <c r="AE257" i="2" s="1"/>
  <c r="W258" i="2"/>
  <c r="Y258" i="2"/>
  <c r="AA258" i="2"/>
  <c r="AD258" i="2"/>
  <c r="AE258" i="2" s="1"/>
  <c r="W259" i="2"/>
  <c r="Y259" i="2"/>
  <c r="AA259" i="2"/>
  <c r="AD259" i="2"/>
  <c r="AE259" i="2" s="1"/>
  <c r="W260" i="2"/>
  <c r="Y260" i="2"/>
  <c r="AA260" i="2"/>
  <c r="AD260" i="2"/>
  <c r="AE260" i="2" s="1"/>
  <c r="W261" i="2"/>
  <c r="Y261" i="2"/>
  <c r="AA261" i="2"/>
  <c r="AD261" i="2"/>
  <c r="AE261" i="2" s="1"/>
  <c r="W262" i="2"/>
  <c r="Y262" i="2"/>
  <c r="AA262" i="2"/>
  <c r="AD262" i="2"/>
  <c r="AE262" i="2" s="1"/>
  <c r="W263" i="2"/>
  <c r="Y263" i="2"/>
  <c r="AA263" i="2"/>
  <c r="AD263" i="2"/>
  <c r="AE263" i="2" s="1"/>
  <c r="Y264" i="2"/>
  <c r="AA264" i="2"/>
  <c r="AE264" i="2"/>
  <c r="Y265" i="2"/>
  <c r="AA265" i="2"/>
  <c r="AD265" i="2"/>
  <c r="AE265" i="2" s="1"/>
  <c r="Y266" i="2"/>
  <c r="AE266" i="2"/>
  <c r="Y267" i="2"/>
  <c r="AE267" i="2"/>
  <c r="Y268" i="2"/>
  <c r="AE268" i="2"/>
  <c r="AD269" i="2"/>
  <c r="AE269" i="2" s="1"/>
  <c r="AD270" i="2"/>
  <c r="AE270" i="2" s="1"/>
  <c r="Y271" i="2"/>
  <c r="AD271" i="2"/>
  <c r="AE271" i="2" s="1"/>
  <c r="AA272" i="2"/>
  <c r="AE272" i="2"/>
  <c r="Y273" i="2"/>
  <c r="AA273" i="2"/>
  <c r="AE273" i="2"/>
  <c r="Y274" i="2"/>
  <c r="AA274" i="2"/>
  <c r="AE274" i="2"/>
  <c r="Y275" i="2"/>
  <c r="AE275" i="2"/>
  <c r="Y276" i="2"/>
  <c r="AE276" i="2"/>
  <c r="W277" i="2"/>
  <c r="Y277" i="2"/>
  <c r="AA277" i="2"/>
  <c r="AD277" i="2"/>
  <c r="AE277" i="2" s="1"/>
  <c r="W278" i="2"/>
  <c r="Y278" i="2"/>
  <c r="AA278" i="2"/>
  <c r="AD278" i="2"/>
  <c r="AE278" i="2" s="1"/>
  <c r="AE279" i="2"/>
  <c r="W280" i="2"/>
  <c r="Y280" i="2"/>
  <c r="AA280" i="2"/>
  <c r="AD280" i="2"/>
  <c r="AE280" i="2" s="1"/>
  <c r="W281" i="2"/>
  <c r="Y281" i="2"/>
  <c r="AA281" i="2"/>
  <c r="AD281" i="2"/>
  <c r="AE281" i="2" s="1"/>
  <c r="W282" i="2"/>
  <c r="Y282" i="2"/>
  <c r="AD282" i="2"/>
  <c r="AE282" i="2" s="1"/>
  <c r="Y283" i="2"/>
  <c r="AE283" i="2"/>
  <c r="AA284" i="2"/>
  <c r="AE284" i="2"/>
  <c r="W285" i="2"/>
  <c r="Y285" i="2"/>
  <c r="AD285" i="2"/>
  <c r="AE285" i="2" s="1"/>
  <c r="AE286" i="2"/>
  <c r="Y287" i="2"/>
  <c r="AA287" i="2"/>
  <c r="AE288" i="2"/>
  <c r="AE289" i="2"/>
  <c r="AE290" i="2"/>
  <c r="Y291" i="2"/>
  <c r="AA291" i="2"/>
  <c r="AE291" i="2"/>
  <c r="AA292" i="2"/>
  <c r="AE292" i="2"/>
  <c r="AE293" i="2"/>
  <c r="Y294" i="2"/>
  <c r="AA294" i="2"/>
  <c r="AE294" i="2"/>
  <c r="Y295" i="2"/>
  <c r="AA295" i="2"/>
  <c r="AE295" i="2"/>
  <c r="AA296" i="2"/>
  <c r="AE296" i="2"/>
  <c r="Y297" i="2"/>
  <c r="AA297" i="2"/>
  <c r="AE297" i="2"/>
  <c r="W298" i="2"/>
  <c r="Y298" i="2"/>
  <c r="AA298" i="2"/>
  <c r="AD298" i="2"/>
  <c r="AE298" i="2" s="1"/>
  <c r="Y299" i="2"/>
  <c r="AA299" i="2"/>
  <c r="AE299" i="2"/>
  <c r="Y300" i="2"/>
  <c r="AA300" i="2"/>
  <c r="AE300" i="2"/>
  <c r="AE301" i="2"/>
  <c r="Y302" i="2"/>
  <c r="AA302" i="2"/>
  <c r="AD302" i="2"/>
  <c r="AE302" i="2" s="1"/>
  <c r="Y303" i="2"/>
  <c r="AA303" i="2"/>
  <c r="AE303" i="2"/>
  <c r="AE304" i="2"/>
  <c r="Y305" i="2"/>
  <c r="AA305" i="2"/>
  <c r="AE305" i="2"/>
  <c r="L33" i="5"/>
  <c r="Y306" i="2"/>
  <c r="Y309" i="2"/>
  <c r="Y310" i="2"/>
  <c r="Y311" i="2"/>
  <c r="Y313" i="2"/>
  <c r="Y314" i="2"/>
  <c r="Y315" i="2"/>
  <c r="Y317" i="2"/>
  <c r="Y320" i="2"/>
  <c r="Y323" i="2"/>
  <c r="Y326" i="2"/>
  <c r="Y327" i="2"/>
  <c r="Y328" i="2"/>
  <c r="Y329" i="2"/>
  <c r="Y331" i="2"/>
  <c r="Y332" i="2"/>
  <c r="Y333" i="2"/>
  <c r="Y335" i="2"/>
  <c r="Y336" i="2"/>
  <c r="Y339" i="2"/>
  <c r="Y340" i="2"/>
  <c r="Y341" i="2"/>
  <c r="Y342" i="2"/>
  <c r="Y343" i="2"/>
  <c r="Y344" i="2"/>
  <c r="Y350" i="2"/>
  <c r="Y351" i="2"/>
  <c r="Y353" i="2"/>
  <c r="Y354" i="2"/>
  <c r="Y357" i="2"/>
  <c r="Y359" i="2"/>
  <c r="Y360" i="2"/>
  <c r="Y361" i="2"/>
  <c r="Y362" i="2"/>
  <c r="Y363" i="2"/>
  <c r="Y368" i="2"/>
  <c r="Y369" i="2"/>
  <c r="Y374" i="2"/>
  <c r="Y375" i="2"/>
  <c r="Y379" i="2"/>
  <c r="Y381" i="2"/>
  <c r="Y383" i="2"/>
  <c r="Y386" i="2"/>
  <c r="Y387" i="2"/>
  <c r="Y388" i="2"/>
  <c r="Y389" i="2"/>
  <c r="Y390" i="2"/>
  <c r="Y391" i="2"/>
  <c r="Y392" i="2"/>
  <c r="Y393" i="2"/>
  <c r="Y395" i="2"/>
  <c r="Y396" i="2"/>
  <c r="Y398" i="2"/>
  <c r="Y400" i="2"/>
  <c r="Y401" i="2"/>
  <c r="Y402" i="2"/>
  <c r="Y403" i="2"/>
  <c r="Y405" i="2"/>
  <c r="Y406" i="2"/>
  <c r="Y408" i="2"/>
  <c r="Y412" i="2"/>
  <c r="Y413" i="2"/>
  <c r="Y414" i="2"/>
  <c r="Y415" i="2"/>
  <c r="Y416" i="2"/>
  <c r="Y417" i="2"/>
  <c r="Y418" i="2"/>
  <c r="Y420" i="2"/>
  <c r="Y421" i="2"/>
  <c r="Y422" i="2"/>
  <c r="Y423" i="2"/>
  <c r="Y424" i="2"/>
  <c r="Y425" i="2"/>
  <c r="Y426" i="2"/>
  <c r="Y427" i="2"/>
  <c r="Y428" i="2"/>
  <c r="Y429" i="2"/>
  <c r="Y430" i="2"/>
  <c r="Y431" i="2"/>
  <c r="Y432" i="2"/>
  <c r="Y433" i="2"/>
  <c r="Y434" i="2"/>
  <c r="Y435" i="2"/>
  <c r="Y436" i="2"/>
  <c r="Y437" i="2"/>
  <c r="Y438" i="2"/>
  <c r="Y439" i="2"/>
  <c r="Y440" i="2"/>
  <c r="Y441" i="2"/>
  <c r="Y442" i="2"/>
  <c r="Y443" i="2"/>
  <c r="Y444" i="2"/>
  <c r="Y445" i="2"/>
  <c r="Y446" i="2"/>
  <c r="Y447" i="2"/>
  <c r="Y448" i="2"/>
  <c r="Y449" i="2"/>
  <c r="Y453" i="2"/>
  <c r="W323" i="2"/>
  <c r="W328" i="2"/>
  <c r="W329" i="2"/>
  <c r="W343" i="2"/>
  <c r="W369" i="2"/>
  <c r="W374" i="2"/>
  <c r="W375" i="2"/>
  <c r="W389" i="2"/>
  <c r="W390" i="2"/>
  <c r="W391" i="2"/>
  <c r="W392" i="2"/>
  <c r="W393" i="2"/>
  <c r="W395" i="2"/>
  <c r="W396" i="2"/>
  <c r="W398" i="2"/>
  <c r="W401" i="2"/>
  <c r="W402" i="2"/>
  <c r="W403" i="2"/>
  <c r="W408" i="2"/>
  <c r="W414" i="2"/>
  <c r="W416" i="2"/>
  <c r="W417" i="2"/>
  <c r="W418" i="2"/>
  <c r="W420" i="2"/>
  <c r="W421" i="2"/>
  <c r="W422" i="2"/>
  <c r="W423" i="2"/>
  <c r="W424" i="2"/>
  <c r="W425" i="2"/>
  <c r="W426" i="2"/>
  <c r="W427" i="2"/>
  <c r="W428" i="2"/>
  <c r="W429" i="2"/>
  <c r="W430" i="2"/>
  <c r="W431" i="2"/>
  <c r="W432" i="2"/>
  <c r="W433" i="2"/>
  <c r="W434" i="2"/>
  <c r="W435" i="2"/>
  <c r="W436" i="2"/>
  <c r="W438" i="2"/>
  <c r="W439" i="2"/>
  <c r="W441" i="2"/>
  <c r="W444" i="2"/>
  <c r="W445" i="2"/>
  <c r="W446" i="2"/>
  <c r="W447" i="2"/>
  <c r="W448" i="2"/>
  <c r="W449" i="2"/>
  <c r="AA306" i="2"/>
  <c r="AA315" i="2"/>
  <c r="AA317" i="2"/>
  <c r="AA318" i="2"/>
  <c r="AA319" i="2"/>
  <c r="AA320" i="2"/>
  <c r="AA322" i="2"/>
  <c r="AA326" i="2"/>
  <c r="AA328" i="2"/>
  <c r="AA330" i="2"/>
  <c r="AA331" i="2"/>
  <c r="AA332" i="2"/>
  <c r="AA336" i="2"/>
  <c r="AA337" i="2"/>
  <c r="AA342" i="2"/>
  <c r="AA346" i="2"/>
  <c r="AA348" i="2"/>
  <c r="AA350" i="2"/>
  <c r="AA352" i="2"/>
  <c r="AA353" i="2"/>
  <c r="AA357" i="2"/>
  <c r="AA359" i="2"/>
  <c r="AA362" i="2"/>
  <c r="AA365" i="2"/>
  <c r="AA366" i="2"/>
  <c r="AA368" i="2"/>
  <c r="AA374" i="2"/>
  <c r="AA375" i="2"/>
  <c r="AA378" i="2"/>
  <c r="AA380" i="2"/>
  <c r="AA381" i="2"/>
  <c r="AA382" i="2"/>
  <c r="AA383" i="2"/>
  <c r="AA384" i="2"/>
  <c r="AA389" i="2"/>
  <c r="AA390" i="2"/>
  <c r="AA391" i="2"/>
  <c r="AA392" i="2"/>
  <c r="AA393" i="2"/>
  <c r="AA395" i="2"/>
  <c r="AA401" i="2"/>
  <c r="AA402" i="2"/>
  <c r="AA403" i="2"/>
  <c r="AA407" i="2"/>
  <c r="AA408" i="2"/>
  <c r="AA410" i="2"/>
  <c r="AA414" i="2"/>
  <c r="AA416" i="2"/>
  <c r="AA417" i="2"/>
  <c r="AA418" i="2"/>
  <c r="AA420" i="2"/>
  <c r="AA421" i="2"/>
  <c r="AA422" i="2"/>
  <c r="AA423" i="2"/>
  <c r="AA424" i="2"/>
  <c r="AA425" i="2"/>
  <c r="AA426" i="2"/>
  <c r="AA427" i="2"/>
  <c r="AA428" i="2"/>
  <c r="AA429" i="2"/>
  <c r="AA430" i="2"/>
  <c r="AA431" i="2"/>
  <c r="AA432" i="2"/>
  <c r="AA433" i="2"/>
  <c r="AA434" i="2"/>
  <c r="AA435" i="2"/>
  <c r="AA436" i="2"/>
  <c r="AA437" i="2"/>
  <c r="AA438" i="2"/>
  <c r="AA439" i="2"/>
  <c r="AA441" i="2"/>
  <c r="AA443" i="2"/>
  <c r="AA444" i="2"/>
  <c r="AA445" i="2"/>
  <c r="AA446" i="2"/>
  <c r="AA447" i="2"/>
  <c r="AA448" i="2"/>
  <c r="AA449" i="2"/>
  <c r="AA453" i="2"/>
  <c r="AA454" i="2"/>
  <c r="AE306" i="2"/>
  <c r="AE307" i="2"/>
  <c r="AE308" i="2"/>
  <c r="AE309" i="2"/>
  <c r="AE310" i="2"/>
  <c r="AE311" i="2"/>
  <c r="AE312" i="2"/>
  <c r="AE313" i="2"/>
  <c r="AE314" i="2"/>
  <c r="AE315" i="2"/>
  <c r="AE316" i="2"/>
  <c r="AE317" i="2"/>
  <c r="AE318" i="2"/>
  <c r="AE319" i="2"/>
  <c r="AE320" i="2"/>
  <c r="AE321" i="2"/>
  <c r="AE322" i="2"/>
  <c r="AD323" i="2"/>
  <c r="AE323" i="2" s="1"/>
  <c r="AE324" i="2"/>
  <c r="AE325" i="2"/>
  <c r="AF325" i="2" s="1"/>
  <c r="AE326" i="2"/>
  <c r="AE327" i="2"/>
  <c r="AD328" i="2"/>
  <c r="AE328" i="2" s="1"/>
  <c r="AD329" i="2"/>
  <c r="AE329" i="2" s="1"/>
  <c r="AE330" i="2"/>
  <c r="AE331" i="2"/>
  <c r="AE332" i="2"/>
  <c r="AE333" i="2"/>
  <c r="AE334" i="2"/>
  <c r="AE335" i="2"/>
  <c r="AE336" i="2"/>
  <c r="AE337" i="2"/>
  <c r="AE338" i="2"/>
  <c r="AE339" i="2"/>
  <c r="AE340" i="2"/>
  <c r="AE341" i="2"/>
  <c r="AE342" i="2"/>
  <c r="AD343" i="2"/>
  <c r="AE343" i="2" s="1"/>
  <c r="AE344" i="2"/>
  <c r="AE345" i="2"/>
  <c r="AE346" i="2"/>
  <c r="AE347" i="2"/>
  <c r="AE348" i="2"/>
  <c r="AE349" i="2"/>
  <c r="AE350" i="2"/>
  <c r="AE351" i="2"/>
  <c r="AE352" i="2"/>
  <c r="AE353" i="2"/>
  <c r="AE354" i="2"/>
  <c r="AE355" i="2"/>
  <c r="AE356" i="2"/>
  <c r="AE357" i="2"/>
  <c r="AE358" i="2"/>
  <c r="AE359" i="2"/>
  <c r="AD360" i="2"/>
  <c r="AE360" i="2" s="1"/>
  <c r="AE361" i="2"/>
  <c r="AE362" i="2"/>
  <c r="AE363" i="2"/>
  <c r="AE364" i="2"/>
  <c r="AE365" i="2"/>
  <c r="AE366" i="2"/>
  <c r="AE367" i="2"/>
  <c r="AD368" i="2"/>
  <c r="AE368" i="2" s="1"/>
  <c r="AD369" i="2"/>
  <c r="AE369" i="2" s="1"/>
  <c r="AE370" i="2"/>
  <c r="AE371" i="2"/>
  <c r="AE372" i="2"/>
  <c r="AE373" i="2"/>
  <c r="AD374" i="2"/>
  <c r="AE374" i="2" s="1"/>
  <c r="AD375" i="2"/>
  <c r="AE375" i="2" s="1"/>
  <c r="AE376" i="2"/>
  <c r="AE377" i="2"/>
  <c r="AE378" i="2"/>
  <c r="AE379" i="2"/>
  <c r="AE380" i="2"/>
  <c r="AE381" i="2"/>
  <c r="AE382" i="2"/>
  <c r="AE383" i="2"/>
  <c r="AE384" i="2"/>
  <c r="AE385" i="2"/>
  <c r="AE386" i="2"/>
  <c r="AE387" i="2"/>
  <c r="AE388" i="2"/>
  <c r="AD389" i="2"/>
  <c r="AE389" i="2" s="1"/>
  <c r="AD390" i="2"/>
  <c r="AE390" i="2" s="1"/>
  <c r="AD391" i="2"/>
  <c r="AE391" i="2" s="1"/>
  <c r="AD392" i="2"/>
  <c r="AE392" i="2" s="1"/>
  <c r="AD393" i="2"/>
  <c r="AE393" i="2" s="1"/>
  <c r="AE394" i="2"/>
  <c r="AD395" i="2"/>
  <c r="AE395" i="2" s="1"/>
  <c r="AD396" i="2"/>
  <c r="AE396" i="2" s="1"/>
  <c r="AE397" i="2"/>
  <c r="AD398" i="2"/>
  <c r="AE398" i="2" s="1"/>
  <c r="AE399" i="2"/>
  <c r="AE400" i="2"/>
  <c r="AD401" i="2"/>
  <c r="AE401" i="2" s="1"/>
  <c r="AD402" i="2"/>
  <c r="AE402" i="2" s="1"/>
  <c r="AE403" i="2"/>
  <c r="AE404" i="2"/>
  <c r="AE405" i="2"/>
  <c r="AE406" i="2"/>
  <c r="AE407" i="2"/>
  <c r="AD408" i="2"/>
  <c r="AE408" i="2" s="1"/>
  <c r="AE409" i="2"/>
  <c r="AE410" i="2"/>
  <c r="AE411" i="2"/>
  <c r="AE412" i="2"/>
  <c r="AE413" i="2"/>
  <c r="AD414" i="2"/>
  <c r="AE414" i="2" s="1"/>
  <c r="AE415" i="2"/>
  <c r="AD416" i="2"/>
  <c r="AE416" i="2" s="1"/>
  <c r="AD417" i="2"/>
  <c r="AE417" i="2" s="1"/>
  <c r="AD418" i="2"/>
  <c r="AE418" i="2" s="1"/>
  <c r="AE419" i="2"/>
  <c r="AD420" i="2"/>
  <c r="AE420" i="2" s="1"/>
  <c r="AD421" i="2"/>
  <c r="AE421" i="2" s="1"/>
  <c r="AD422" i="2"/>
  <c r="AE422" i="2" s="1"/>
  <c r="AD423" i="2"/>
  <c r="AE423" i="2" s="1"/>
  <c r="AD424" i="2"/>
  <c r="AE424" i="2" s="1"/>
  <c r="AD425" i="2"/>
  <c r="AE425" i="2" s="1"/>
  <c r="AD426" i="2"/>
  <c r="AE426" i="2" s="1"/>
  <c r="AD427" i="2"/>
  <c r="AE427" i="2" s="1"/>
  <c r="AD428" i="2"/>
  <c r="AE428" i="2" s="1"/>
  <c r="AD429" i="2"/>
  <c r="AE429" i="2" s="1"/>
  <c r="AD430" i="2"/>
  <c r="AE430" i="2" s="1"/>
  <c r="AD431" i="2"/>
  <c r="AE431" i="2" s="1"/>
  <c r="AD432" i="2"/>
  <c r="AE432" i="2" s="1"/>
  <c r="AD433" i="2"/>
  <c r="AE433" i="2" s="1"/>
  <c r="AD434" i="2"/>
  <c r="AE434" i="2" s="1"/>
  <c r="AD435" i="2"/>
  <c r="AE435" i="2" s="1"/>
  <c r="AD436" i="2"/>
  <c r="AE436" i="2" s="1"/>
  <c r="AE437" i="2"/>
  <c r="AD438" i="2"/>
  <c r="AE438" i="2" s="1"/>
  <c r="AD439" i="2"/>
  <c r="AE439" i="2" s="1"/>
  <c r="AE440" i="2"/>
  <c r="AD441" i="2"/>
  <c r="AE441" i="2" s="1"/>
  <c r="AE442" i="2"/>
  <c r="AE443" i="2"/>
  <c r="AD444" i="2"/>
  <c r="AE444" i="2" s="1"/>
  <c r="AD445" i="2"/>
  <c r="AE445" i="2" s="1"/>
  <c r="AD446" i="2"/>
  <c r="AE446" i="2" s="1"/>
  <c r="AD447" i="2"/>
  <c r="AE447" i="2" s="1"/>
  <c r="AD448" i="2"/>
  <c r="AE448" i="2" s="1"/>
  <c r="AD449" i="2"/>
  <c r="AE449" i="2" s="1"/>
  <c r="AE450" i="2"/>
  <c r="AE451" i="2"/>
  <c r="AE452" i="2"/>
  <c r="AE453" i="2"/>
  <c r="AE454" i="2"/>
  <c r="L32" i="5"/>
  <c r="L31" i="5"/>
  <c r="L30" i="5"/>
  <c r="K37" i="5"/>
  <c r="K38" i="5" s="1"/>
  <c r="K39" i="5" l="1"/>
  <c r="AF287" i="2"/>
  <c r="AF419" i="2"/>
  <c r="AF39" i="2"/>
  <c r="AF115" i="2"/>
  <c r="AF103" i="2"/>
  <c r="AF170" i="2"/>
  <c r="AF102" i="2"/>
  <c r="AF106" i="2"/>
  <c r="AF112" i="2"/>
  <c r="AF105" i="2"/>
  <c r="AF101" i="2"/>
  <c r="AF86" i="2"/>
  <c r="AF68" i="2"/>
  <c r="AF67" i="2"/>
  <c r="AF46" i="2"/>
  <c r="AF42" i="2"/>
  <c r="AF38" i="2"/>
  <c r="AF52" i="2"/>
  <c r="AF29" i="2"/>
  <c r="AF31" i="2"/>
  <c r="AF28" i="2"/>
  <c r="AF24" i="2"/>
  <c r="AF23" i="2"/>
  <c r="AF162" i="2"/>
  <c r="AF21" i="2"/>
  <c r="AF160" i="2"/>
  <c r="AF18" i="2"/>
  <c r="AF2" i="2"/>
  <c r="AF14" i="2"/>
  <c r="AF13" i="2"/>
  <c r="AF152" i="2"/>
  <c r="AF150" i="2"/>
  <c r="AF43" i="2"/>
  <c r="AF356" i="2"/>
  <c r="AF319" i="2"/>
  <c r="AF315" i="2"/>
  <c r="AF263" i="2"/>
  <c r="AF213" i="2"/>
  <c r="AF194" i="2"/>
  <c r="AF189" i="2"/>
  <c r="AF144" i="2"/>
  <c r="AF143" i="2"/>
  <c r="AF125" i="2"/>
  <c r="AF37" i="2"/>
  <c r="AF104" i="2"/>
  <c r="AF427" i="2"/>
  <c r="AF335" i="2"/>
  <c r="AF323" i="2"/>
  <c r="AF84" i="2"/>
  <c r="AF83" i="2"/>
  <c r="AF411" i="2"/>
  <c r="AF375" i="2"/>
  <c r="AF371" i="2"/>
  <c r="AF355" i="2"/>
  <c r="AF339" i="2"/>
  <c r="AF331" i="2"/>
  <c r="AF311" i="2"/>
  <c r="AF383" i="2"/>
  <c r="AF363" i="2"/>
  <c r="AF379" i="2"/>
  <c r="AF359" i="2"/>
  <c r="AF100" i="2"/>
  <c r="AF92" i="2"/>
  <c r="AF74" i="2"/>
  <c r="AF176" i="2"/>
  <c r="AF148" i="2"/>
  <c r="AF128" i="2"/>
  <c r="AF126" i="2"/>
  <c r="AF129" i="2"/>
  <c r="AF114" i="2"/>
  <c r="AF118" i="2"/>
  <c r="AF166" i="2"/>
  <c r="AF55" i="2"/>
  <c r="AF387" i="2"/>
  <c r="AF367" i="2"/>
  <c r="AF98" i="2"/>
  <c r="AF88" i="2"/>
  <c r="AF451" i="2"/>
  <c r="AF447" i="2"/>
  <c r="AF443" i="2"/>
  <c r="AF439" i="2"/>
  <c r="AF310" i="2"/>
  <c r="AF307" i="2"/>
  <c r="AF350" i="2"/>
  <c r="AF306" i="2"/>
  <c r="AF304" i="2"/>
  <c r="AF298" i="2"/>
  <c r="AF290" i="2"/>
  <c r="AF284" i="2"/>
  <c r="AF279" i="2"/>
  <c r="AF278" i="2"/>
  <c r="AF277" i="2"/>
  <c r="AF272" i="2"/>
  <c r="AF271" i="2"/>
  <c r="AF258" i="2"/>
  <c r="AF242" i="2"/>
  <c r="AF240" i="2"/>
  <c r="AF212" i="2"/>
  <c r="AF209" i="2"/>
  <c r="AF208" i="2"/>
  <c r="AF207" i="2"/>
  <c r="AF199" i="2"/>
  <c r="AF197" i="2"/>
  <c r="AF188" i="2"/>
  <c r="AF181" i="2"/>
  <c r="AF333" i="2"/>
  <c r="AF3" i="2"/>
  <c r="AF10" i="2"/>
  <c r="AF15" i="2"/>
  <c r="AF8" i="2"/>
  <c r="AF6" i="2"/>
  <c r="AF5" i="2"/>
  <c r="AF159" i="2"/>
  <c r="AF330" i="2"/>
  <c r="AF428" i="2"/>
  <c r="AF454" i="2"/>
  <c r="AF435" i="2"/>
  <c r="AF431" i="2"/>
  <c r="AF423" i="2"/>
  <c r="AF396" i="2"/>
  <c r="AF392" i="2"/>
  <c r="AF388" i="2"/>
  <c r="AF351" i="2"/>
  <c r="AF347" i="2"/>
  <c r="AF343" i="2"/>
  <c r="AF274" i="2"/>
  <c r="AF273" i="2"/>
  <c r="AF269" i="2"/>
  <c r="AF268" i="2"/>
  <c r="AF266" i="2"/>
  <c r="AF262" i="2"/>
  <c r="AF261" i="2"/>
  <c r="AF47" i="2"/>
  <c r="AF62" i="2"/>
  <c r="AF415" i="2"/>
  <c r="AF407" i="2"/>
  <c r="AF403" i="2"/>
  <c r="AF399" i="2"/>
  <c r="AF395" i="2"/>
  <c r="AF391" i="2"/>
  <c r="AF327" i="2"/>
  <c r="AF113" i="2"/>
  <c r="AF171" i="2"/>
  <c r="AF138" i="2"/>
  <c r="AF117" i="2"/>
  <c r="AF116" i="2"/>
  <c r="AF122" i="2"/>
  <c r="AF109" i="2"/>
  <c r="AF108" i="2"/>
  <c r="AF107" i="2"/>
  <c r="AF110" i="2"/>
  <c r="AF94" i="2"/>
  <c r="AF97" i="2"/>
  <c r="AF96" i="2"/>
  <c r="AF99" i="2"/>
  <c r="AF95" i="2"/>
  <c r="AF168" i="2"/>
  <c r="AF90" i="2"/>
  <c r="AF89" i="2"/>
  <c r="AF57" i="2"/>
  <c r="AF54" i="2"/>
  <c r="AF77" i="2"/>
  <c r="AF72" i="2"/>
  <c r="AF326" i="2"/>
  <c r="AF358" i="2"/>
  <c r="AF260" i="2"/>
  <c r="AF259" i="2"/>
  <c r="AF257" i="2"/>
  <c r="AF256" i="2"/>
  <c r="AF255" i="2"/>
  <c r="AF253" i="2"/>
  <c r="AF252" i="2"/>
  <c r="AF249" i="2"/>
  <c r="AF248" i="2"/>
  <c r="AF247" i="2"/>
  <c r="AF246" i="2"/>
  <c r="AF245" i="2"/>
  <c r="AF244" i="2"/>
  <c r="AF241" i="2"/>
  <c r="AF239" i="2"/>
  <c r="AF238" i="2"/>
  <c r="AF237" i="2"/>
  <c r="AF232" i="2"/>
  <c r="AF231" i="2"/>
  <c r="AF230" i="2"/>
  <c r="AF229" i="2"/>
  <c r="AF227" i="2"/>
  <c r="AF226" i="2"/>
  <c r="AF225" i="2"/>
  <c r="AF224" i="2"/>
  <c r="AF222" i="2"/>
  <c r="AF221" i="2"/>
  <c r="AF220" i="2"/>
  <c r="AF216" i="2"/>
  <c r="AF215" i="2"/>
  <c r="AF214" i="2"/>
  <c r="AF154" i="2"/>
  <c r="AF157" i="2"/>
  <c r="AF140" i="2"/>
  <c r="AF139" i="2"/>
  <c r="AF123" i="2"/>
  <c r="AF120" i="2"/>
  <c r="AF63" i="2"/>
  <c r="AF66" i="2"/>
  <c r="AF60" i="2"/>
  <c r="AF59" i="2"/>
  <c r="AF32" i="2"/>
  <c r="AF30" i="2"/>
  <c r="AF163" i="2"/>
  <c r="AF27" i="2"/>
  <c r="AF26" i="2"/>
  <c r="AF22" i="2"/>
  <c r="AF19" i="2"/>
  <c r="AF17" i="2"/>
  <c r="AF16" i="2"/>
  <c r="AF449" i="2"/>
  <c r="AF445" i="2"/>
  <c r="AF441" i="2"/>
  <c r="AF433" i="2"/>
  <c r="AF429" i="2"/>
  <c r="AF425" i="2"/>
  <c r="AF421" i="2"/>
  <c r="AF417" i="2"/>
  <c r="AF409" i="2"/>
  <c r="AF401" i="2"/>
  <c r="AF397" i="2"/>
  <c r="AF393" i="2"/>
  <c r="AF369" i="2"/>
  <c r="AF361" i="2"/>
  <c r="AF357" i="2"/>
  <c r="AF345" i="2"/>
  <c r="AF341" i="2"/>
  <c r="AF329" i="2"/>
  <c r="AF317" i="2"/>
  <c r="AF313" i="2"/>
  <c r="AF309" i="2"/>
  <c r="AF436" i="2"/>
  <c r="AF336" i="2"/>
  <c r="AF305" i="2"/>
  <c r="AF303" i="2"/>
  <c r="AF301" i="2"/>
  <c r="AF300" i="2"/>
  <c r="AF299" i="2"/>
  <c r="AF297" i="2"/>
  <c r="AF296" i="2"/>
  <c r="AF295" i="2"/>
  <c r="AF294" i="2"/>
  <c r="AF293" i="2"/>
  <c r="AF292" i="2"/>
  <c r="AF289" i="2"/>
  <c r="AF288" i="2"/>
  <c r="AF286" i="2"/>
  <c r="AF285" i="2"/>
  <c r="AF281" i="2"/>
  <c r="AF280" i="2"/>
  <c r="AF196" i="2"/>
  <c r="AF195" i="2"/>
  <c r="AF193" i="2"/>
  <c r="AF192" i="2"/>
  <c r="AF191" i="2"/>
  <c r="AF187" i="2"/>
  <c r="AF186" i="2"/>
  <c r="AF183" i="2"/>
  <c r="AF182" i="2"/>
  <c r="AF179" i="2"/>
  <c r="AF178" i="2"/>
  <c r="AF177" i="2"/>
  <c r="AF175" i="2"/>
  <c r="AF158" i="2"/>
  <c r="AF151" i="2"/>
  <c r="AF149" i="2"/>
  <c r="AF173" i="2"/>
  <c r="AF146" i="2"/>
  <c r="AF145" i="2"/>
  <c r="AF153" i="2"/>
  <c r="AF155" i="2"/>
  <c r="AF137" i="2"/>
  <c r="AF135" i="2"/>
  <c r="AF147" i="2"/>
  <c r="AF141" i="2"/>
  <c r="AF131" i="2"/>
  <c r="AF172" i="2"/>
  <c r="AF82" i="2"/>
  <c r="AF81" i="2"/>
  <c r="AF80" i="2"/>
  <c r="AF78" i="2"/>
  <c r="AF75" i="2"/>
  <c r="AF70" i="2"/>
  <c r="AF69" i="2"/>
  <c r="AF40" i="2"/>
  <c r="AF36" i="2"/>
  <c r="AF35" i="2"/>
  <c r="AF34" i="2"/>
  <c r="AF33" i="2"/>
  <c r="AF211" i="2"/>
  <c r="AF206" i="2"/>
  <c r="AF205" i="2"/>
  <c r="AF204" i="2"/>
  <c r="AF202" i="2"/>
  <c r="AF198" i="2"/>
  <c r="AF111" i="2"/>
  <c r="AF164" i="2"/>
  <c r="AF9" i="2"/>
  <c r="AF432" i="2"/>
  <c r="AF276" i="2"/>
  <c r="AF127" i="2"/>
  <c r="AF342" i="2"/>
  <c r="AF314" i="2"/>
  <c r="AF381" i="2"/>
  <c r="AF353" i="2"/>
  <c r="AF79" i="2"/>
  <c r="AF385" i="2"/>
  <c r="AF377" i="2"/>
  <c r="AF349" i="2"/>
  <c r="AF340" i="2"/>
  <c r="AF332" i="2"/>
  <c r="AF328" i="2"/>
  <c r="AF93" i="2"/>
  <c r="AF49" i="2"/>
  <c r="AF424" i="2"/>
  <c r="AF420" i="2"/>
  <c r="AF384" i="2"/>
  <c r="AF380" i="2"/>
  <c r="AF372" i="2"/>
  <c r="AF352" i="2"/>
  <c r="AF348" i="2"/>
  <c r="AF324" i="2"/>
  <c r="AF320" i="2"/>
  <c r="AF302" i="2"/>
  <c r="AF165" i="2"/>
  <c r="AF376" i="2"/>
  <c r="AF58" i="2"/>
  <c r="AF452" i="2"/>
  <c r="AF416" i="2"/>
  <c r="AF412" i="2"/>
  <c r="AF404" i="2"/>
  <c r="AF394" i="2"/>
  <c r="AF390" i="2"/>
  <c r="AF368" i="2"/>
  <c r="AF364" i="2"/>
  <c r="AF344" i="2"/>
  <c r="AF334" i="2"/>
  <c r="AF316" i="2"/>
  <c r="AF312" i="2"/>
  <c r="AF308" i="2"/>
  <c r="AF448" i="2"/>
  <c r="AF444" i="2"/>
  <c r="AF440" i="2"/>
  <c r="AF426" i="2"/>
  <c r="AF422" i="2"/>
  <c r="AF400" i="2"/>
  <c r="AF360" i="2"/>
  <c r="AF337" i="2"/>
  <c r="AF366" i="2"/>
  <c r="AF64" i="2"/>
  <c r="AF453" i="2"/>
  <c r="AF450" i="2"/>
  <c r="AF446" i="2"/>
  <c r="AF418" i="2"/>
  <c r="AF414" i="2"/>
  <c r="AF389" i="2"/>
  <c r="AF386" i="2"/>
  <c r="AF382" i="2"/>
  <c r="AF365" i="2"/>
  <c r="AF362" i="2"/>
  <c r="AF346" i="2"/>
  <c r="AF413" i="2"/>
  <c r="AF65" i="2"/>
  <c r="AF442" i="2"/>
  <c r="AF438" i="2"/>
  <c r="AF410" i="2"/>
  <c r="AF406" i="2"/>
  <c r="AF378" i="2"/>
  <c r="AF374" i="2"/>
  <c r="AF322" i="2"/>
  <c r="AF318" i="2"/>
  <c r="AF437" i="2"/>
  <c r="AF434" i="2"/>
  <c r="AF430" i="2"/>
  <c r="AF405" i="2"/>
  <c r="AF402" i="2"/>
  <c r="AF398" i="2"/>
  <c r="AF373" i="2"/>
  <c r="AF370" i="2"/>
  <c r="AF354" i="2"/>
  <c r="AF338" i="2"/>
  <c r="AF321" i="2"/>
  <c r="AF291" i="2"/>
  <c r="AF283" i="2"/>
  <c r="AF282" i="2"/>
  <c r="AF275" i="2"/>
  <c r="AF270" i="2"/>
  <c r="AF267" i="2"/>
  <c r="AF265" i="2"/>
  <c r="AF264" i="2"/>
  <c r="AF254" i="2"/>
  <c r="AF251" i="2"/>
  <c r="AF250" i="2"/>
  <c r="AF243" i="2"/>
  <c r="AF236" i="2"/>
  <c r="AF235" i="2"/>
  <c r="AF234" i="2"/>
  <c r="AF233" i="2"/>
  <c r="AF228" i="2"/>
  <c r="AF223" i="2"/>
  <c r="AF219" i="2"/>
  <c r="AF218" i="2"/>
  <c r="AF217" i="2"/>
  <c r="AF203" i="2"/>
  <c r="AF201" i="2"/>
  <c r="AF200" i="2"/>
  <c r="AF190" i="2"/>
  <c r="AF185" i="2"/>
  <c r="AF184" i="2"/>
  <c r="AF174" i="2"/>
  <c r="AF136" i="2"/>
  <c r="AF156" i="2"/>
  <c r="AF134" i="2"/>
  <c r="AF142" i="2"/>
  <c r="AF133" i="2"/>
  <c r="AF132" i="2"/>
  <c r="AF124" i="2"/>
  <c r="AF119" i="2"/>
  <c r="AF121" i="2"/>
  <c r="AF169" i="2"/>
  <c r="AF87" i="2"/>
  <c r="AF76" i="2"/>
  <c r="AF91" i="2"/>
  <c r="AF73" i="2"/>
  <c r="AF167" i="2"/>
  <c r="AF53" i="2"/>
  <c r="AF61" i="2"/>
  <c r="AF45" i="2"/>
  <c r="AF51" i="2"/>
  <c r="AF50" i="2"/>
  <c r="AF56" i="2"/>
  <c r="AF71" i="2"/>
  <c r="AF85" i="2"/>
  <c r="AF44" i="2"/>
  <c r="AF41" i="2"/>
  <c r="AF25" i="2"/>
  <c r="AF161" i="2"/>
  <c r="AF20" i="2"/>
  <c r="AF12" i="2"/>
  <c r="AF7" i="2"/>
  <c r="AF4" i="2"/>
  <c r="AF130" i="2"/>
  <c r="AF11" i="2"/>
  <c r="AF48" i="2"/>
</calcChain>
</file>

<file path=xl/comments1.xml><?xml version="1.0" encoding="utf-8"?>
<comments xmlns="http://schemas.openxmlformats.org/spreadsheetml/2006/main" xmlns:mc="http://schemas.openxmlformats.org/markup-compatibility/2006" xmlns:xr="http://schemas.microsoft.com/office/spreadsheetml/2014/revision" mc:Ignorable="xr">
  <authors>
    <author>Jérôme GUYONY</author>
  </authors>
  <commentList>
    <comment ref="J1" authorId="0" shapeId="0" xr:uid="{00000000-0006-0000-0300-000001000000}">
      <text>
        <r>
          <rPr>
            <b/>
            <sz val="9"/>
            <color indexed="81"/>
            <rFont val="Tahoma"/>
            <family val="2"/>
          </rPr>
          <t>Jérôme GUYONY:</t>
        </r>
        <r>
          <rPr>
            <sz val="9"/>
            <color indexed="81"/>
            <rFont val="Tahoma"/>
            <family val="2"/>
          </rPr>
          <t xml:space="preserve">
Alimente le champ "Prestation livrée à " dans la facture</t>
        </r>
      </text>
    </comment>
    <comment ref="A27" authorId="0" shapeId="0" xr:uid="{00000000-0006-0000-0300-000002000000}">
      <text>
        <r>
          <rPr>
            <b/>
            <sz val="9"/>
            <color indexed="81"/>
            <rFont val="Tahoma"/>
            <family val="2"/>
          </rPr>
          <t>Jérôme GUYONY:</t>
        </r>
        <r>
          <rPr>
            <sz val="9"/>
            <color indexed="81"/>
            <rFont val="Tahoma"/>
            <family val="2"/>
          </rPr>
          <t xml:space="preserve">
Utilisé pour la génération automatique du numéro de facture si le champ n'est pas encore renseigné</t>
        </r>
      </text>
    </comment>
  </commentList>
</comments>
</file>

<file path=xl/sharedStrings.xml><?xml version="1.0" encoding="utf-8"?>
<sst xmlns="http://schemas.openxmlformats.org/spreadsheetml/2006/main" count="6718" uniqueCount="2672">
  <si>
    <t>Adresse</t>
  </si>
  <si>
    <t>Ville</t>
  </si>
  <si>
    <t>Lgt</t>
  </si>
  <si>
    <t>Etage</t>
  </si>
  <si>
    <t>Type</t>
  </si>
  <si>
    <t>UG</t>
  </si>
  <si>
    <t>UR</t>
  </si>
  <si>
    <t>Télephone
gardien</t>
  </si>
  <si>
    <t>Adresse clefs</t>
  </si>
  <si>
    <t>Télephone
Locataire</t>
  </si>
  <si>
    <t>Date de
 réception</t>
  </si>
  <si>
    <t>Mission</t>
  </si>
  <si>
    <t>Horaire</t>
  </si>
  <si>
    <t>Etat</t>
  </si>
  <si>
    <t>Pg de travaux</t>
  </si>
  <si>
    <t>BC</t>
  </si>
  <si>
    <t>Commande Labo</t>
  </si>
  <si>
    <t xml:space="preserve">Plvts </t>
  </si>
  <si>
    <t>Residence</t>
  </si>
  <si>
    <t>DT Analyses</t>
  </si>
  <si>
    <t>Motif blocage</t>
  </si>
  <si>
    <t>Edition facture</t>
  </si>
  <si>
    <t>N° de Facture</t>
  </si>
  <si>
    <t>Prix total HT</t>
  </si>
  <si>
    <t>Prix analyses HT</t>
  </si>
  <si>
    <t>Code 
postal</t>
  </si>
  <si>
    <t>A Programmer</t>
  </si>
  <si>
    <t>Date 
intervention</t>
  </si>
  <si>
    <t>Date Factu</t>
  </si>
  <si>
    <t>Adresse de facturation</t>
  </si>
  <si>
    <t>DIMOTECK - SAS au capital de 50 000 euros
22 rue Charcot 92270 Bois Colombes
RCS Nanterre 802 740 282 - SIRET 802 740 282 00016 - 
TVA FR 15 802740282</t>
  </si>
  <si>
    <t>Marché n°006420-T73-002</t>
  </si>
  <si>
    <t xml:space="preserve">N° de facture : </t>
  </si>
  <si>
    <t xml:space="preserve">Date de facture : </t>
  </si>
  <si>
    <t>Désignation</t>
  </si>
  <si>
    <t>Quantité</t>
  </si>
  <si>
    <t>P.U.HT</t>
  </si>
  <si>
    <t>Forfait HT</t>
  </si>
  <si>
    <t>Total HT</t>
  </si>
  <si>
    <t>Prestation partie privative :</t>
  </si>
  <si>
    <t>TVA à 20%</t>
  </si>
  <si>
    <t>Total TTC</t>
  </si>
  <si>
    <t>Conditions de règlement :</t>
  </si>
  <si>
    <t>Par chèque à l'ordre de DIMOTECK SAS</t>
  </si>
  <si>
    <t>Par virement : Crédit Agricole</t>
  </si>
  <si>
    <t>IBAN FR76 1820 6001 9065 0173 1331 737</t>
  </si>
  <si>
    <t>BIC : AGRIFRPP882</t>
  </si>
  <si>
    <t>Conditions d'escompte : aucune</t>
  </si>
  <si>
    <t xml:space="preserve">Les pénalités de retard sont dues à défaut de règlement le jour suivant les conditions qui figurent sur la facture. </t>
  </si>
  <si>
    <t>Le taux d'intérêt applicable est de 15% annuel, indemnité forfaitaire de recouvrement applicable en sus de 40€</t>
  </si>
  <si>
    <t>MERCI DE VOTRE CONFIANCE</t>
  </si>
  <si>
    <t xml:space="preserve">DIMOTECK - 22 rue Charcot 92270 Bois Colombes - Tél : 01 39 47 90 59 – Fax : 09 70 62 15 50 – Assurance MMA 114 231 812
Siret : 802 740 282 00016 – Code APE 7120 B - 802 740 282 R.C.S. de Nanterre – S.A.S. au capital de 50 000 €   
</t>
  </si>
  <si>
    <t>2DT033 DAPP+RAAT 1 lgt</t>
  </si>
  <si>
    <t>2DT050 RAAT T1 à T3</t>
  </si>
  <si>
    <t>2DT051 RAAT T4 et +</t>
  </si>
  <si>
    <t>2DT031 DAPP liste A et B 1 lgt</t>
  </si>
  <si>
    <t>2DT030 DAPP liste A 1 lgt</t>
  </si>
  <si>
    <t>Prix Prestation Amiante</t>
  </si>
  <si>
    <t>DT Prestation Gaz</t>
  </si>
  <si>
    <t>Prix Prestation Gaz</t>
  </si>
  <si>
    <t>Prix Analyses</t>
  </si>
  <si>
    <t>2DT110 Diag Gaz T1 à T3</t>
  </si>
  <si>
    <t>2DT111 Diag Gaz T4 ou +</t>
  </si>
  <si>
    <t>Code postal</t>
  </si>
  <si>
    <t>Livrée à</t>
  </si>
  <si>
    <t>Préfix Numéro de Facture</t>
  </si>
  <si>
    <t>Attente résultats</t>
  </si>
  <si>
    <t>Annulé</t>
  </si>
  <si>
    <t>Facturé</t>
  </si>
  <si>
    <t>Blocage</t>
  </si>
  <si>
    <t>DAT</t>
  </si>
  <si>
    <t>DAT+GAZ</t>
  </si>
  <si>
    <t>GAZ</t>
  </si>
  <si>
    <t>PVT ANALYSE META (2DT081)</t>
  </si>
  <si>
    <t>Mme OUISSI</t>
  </si>
  <si>
    <t>Mr AUGER</t>
  </si>
  <si>
    <t>Intervention</t>
  </si>
  <si>
    <t>Payé</t>
  </si>
  <si>
    <t>Me ARADE-FONSAT</t>
  </si>
  <si>
    <t>DT Prestation Amiante 1</t>
  </si>
  <si>
    <t>DT Prestation Amiante 2</t>
  </si>
  <si>
    <t>Prix Prestation Amiante 1</t>
  </si>
  <si>
    <t>Prix Prestation Amiante 2</t>
  </si>
  <si>
    <t>RRA/A et B + DAT</t>
  </si>
  <si>
    <t>RRA/A et B+DAT+GAZ</t>
  </si>
  <si>
    <t>2DT076 Diag loc Tech inf 50 m²</t>
  </si>
  <si>
    <t>RRA/A + DAT</t>
  </si>
  <si>
    <t>RRA/A+DAT+ GAZ</t>
  </si>
  <si>
    <t xml:space="preserve">RRA A et B </t>
  </si>
  <si>
    <t>RRA A et B + GAZ</t>
  </si>
  <si>
    <t>RRA/A</t>
  </si>
  <si>
    <t>RRA/A + DAT+ GAZ</t>
  </si>
  <si>
    <t>Attente Bon de factu</t>
  </si>
  <si>
    <t>2DT090 CREP T1 A T3</t>
  </si>
  <si>
    <t>13 rue Nélaton</t>
  </si>
  <si>
    <t>puteaux</t>
  </si>
  <si>
    <t>13-15 nélaton</t>
  </si>
  <si>
    <t>Baghdadi
0652370201</t>
  </si>
  <si>
    <t>Peinture plafond et mur+Sol+Faience salle de bain+retrait baignoire</t>
  </si>
  <si>
    <t>9 rue paul Cezanne</t>
  </si>
  <si>
    <t>Valenton</t>
  </si>
  <si>
    <t>Charteau de valenton</t>
  </si>
  <si>
    <t>RDC</t>
  </si>
  <si>
    <t>4/6 rue le tintoret</t>
  </si>
  <si>
    <t>Courbevoie</t>
  </si>
  <si>
    <t>Jehan ango</t>
  </si>
  <si>
    <t>Peinture mur et plafond ;Séjour, chambre 3 bleu , Peinture plafond, chambre 2 et 1, Peinture mur cuisine, Faience murale au dessus évier, tablier baignoire</t>
  </si>
  <si>
    <t>Ex mle tavares</t>
  </si>
  <si>
    <t>Ex mne alem</t>
  </si>
  <si>
    <t>36/36 bis rue du R. père gilbert</t>
  </si>
  <si>
    <t>reverend père gilbert</t>
  </si>
  <si>
    <t>Ex fabre</t>
  </si>
  <si>
    <t>Peinture mur et chambre / Peinture mur et plafond dégagement / remplacement sol, cuisine</t>
  </si>
  <si>
    <t>Mme RIBEIRO au 07.77.86.91.62
06 34 13 55 92</t>
  </si>
  <si>
    <t>6 place louis durey  quartier de la gare</t>
  </si>
  <si>
    <t>Montigny le Bretonneux</t>
  </si>
  <si>
    <t>du mail saint quentin</t>
  </si>
  <si>
    <t>Mr tiémélé 06 34 25 70 93</t>
  </si>
  <si>
    <t>Ex ass relais jeunes</t>
  </si>
  <si>
    <t>Peinture plafond : toutes les pièces /Sols: Sdb, Sanitaire, DGT du haut, chambre 2</t>
  </si>
  <si>
    <t>M petiot
06 27 54 03 73
delaye
06 23 03 68 13</t>
  </si>
  <si>
    <t>19-0005</t>
  </si>
  <si>
    <t>59 rue Hoche</t>
  </si>
  <si>
    <t>Houilles</t>
  </si>
  <si>
    <t>hoche Brassens</t>
  </si>
  <si>
    <t>Mne Fasquel
06 10 64 97 46</t>
  </si>
  <si>
    <t>Ex Cloarec</t>
  </si>
  <si>
    <t>Peinture plafond dans tout le logement,/peinture mur et plafond cuisine salle de bain et WC /Sol cuisine, Salle de bain, entrée et séjour</t>
  </si>
  <si>
    <t>rueil malmaison 45 lamartine</t>
  </si>
  <si>
    <t>10h</t>
  </si>
  <si>
    <t>11h</t>
  </si>
  <si>
    <t>9h</t>
  </si>
  <si>
    <t>5 rue pau casals</t>
  </si>
  <si>
    <t>Boulogne billancourt</t>
  </si>
  <si>
    <t>jb clement</t>
  </si>
  <si>
    <t>M. Joncourt
0618324258
DA SILVA
0607959860</t>
  </si>
  <si>
    <t>ex maazoun</t>
  </si>
  <si>
    <t>Peinture mur entrée, séjour, cuisine/Peinture murs et plafonds chambre, dégagement/ remplacement sol chambre/ meuble sous évier</t>
  </si>
  <si>
    <t>FA-OSI-19-001</t>
  </si>
  <si>
    <t>08/01/2019</t>
  </si>
  <si>
    <t>6 résidence du port galand</t>
  </si>
  <si>
    <t>bagneux</t>
  </si>
  <si>
    <t>port galand</t>
  </si>
  <si>
    <t>Ex Haj Khlifa</t>
  </si>
  <si>
    <t>peinture murs et plafonds pièces humides, peinture plafonds pièces séches,Peinture murs : séjour, entrée, chambre, Rplt sol : sdb, entrée, chambre et cuisine, faïence lavabo, barre de seuil logement</t>
  </si>
  <si>
    <t>M. ROSTAL
0603496252</t>
  </si>
  <si>
    <t>120 bis rue alexandre fourny</t>
  </si>
  <si>
    <t>champigny/marne</t>
  </si>
  <si>
    <t>Clos de la lande</t>
  </si>
  <si>
    <t>Peinture de l'ensemble du logement, Rplt de tous les sols, Rplt éviers, rplt faïence éviers et sur le lavabo, rplt faïence baignoire.</t>
  </si>
  <si>
    <t>M Benbellout
 - 06-16-29-01-39</t>
  </si>
  <si>
    <t>10 place andré Malraux</t>
  </si>
  <si>
    <t>Villeneuve la garenne</t>
  </si>
  <si>
    <t>Rives de seine</t>
  </si>
  <si>
    <t>Me de Jesus 
06-16-65-34-02</t>
  </si>
  <si>
    <t>Vacant</t>
  </si>
  <si>
    <t>Peinture de tous le logement, Rplt de tous les sols, Faïence évier</t>
  </si>
  <si>
    <t>32 rue ledru rollin</t>
  </si>
  <si>
    <t>fontenay aux roses</t>
  </si>
  <si>
    <t>le val content</t>
  </si>
  <si>
    <t>Me Thouement 0
06-20-97-41-02</t>
  </si>
  <si>
    <t>Vacant Ex Me Duarte</t>
  </si>
  <si>
    <t>Faïence évier, peinture murs et plafonds : sanitaire et cuisine, peinture murs : chambre, dgt,
peinture plafond ch1</t>
  </si>
  <si>
    <t xml:space="preserve">Ex Me Conan </t>
  </si>
  <si>
    <t>peinture murs et plafonds des pièces humides, peinture murs chambres, séjour, entrée et Dgt, Rplt sol sanitaire, cuisine, sol logement carrelage.</t>
  </si>
  <si>
    <t>19-0009</t>
  </si>
  <si>
    <t>19-0010</t>
  </si>
  <si>
    <t>19-0011</t>
  </si>
  <si>
    <t>19-0012</t>
  </si>
  <si>
    <t>19-0013</t>
  </si>
  <si>
    <t>10h30</t>
  </si>
  <si>
    <t>14h</t>
  </si>
  <si>
    <t>Pas de gaz</t>
  </si>
  <si>
    <t>6 rue de la sarrazine</t>
  </si>
  <si>
    <t>marie galand</t>
  </si>
  <si>
    <t>Ex Bonacho</t>
  </si>
  <si>
    <t>peinture murs et plafonds pièces humides/peinture plafond pièce sèche/Peinture mur séjour, chambres, entrée, dégagement, cellier/Remplacement sol cuisine, Sdb, dégagement, sanitaire/barre de seuil log / Faience baignoire/ Faience lavabo/ Remplacement sol sol logement</t>
  </si>
  <si>
    <t>2DT091 CREP T4 ou +</t>
  </si>
  <si>
    <t>19-0015</t>
  </si>
  <si>
    <t>19-0018</t>
  </si>
  <si>
    <t>19-0017</t>
  </si>
  <si>
    <t>19-0016</t>
  </si>
  <si>
    <t>23 rue Paul Cézanne</t>
  </si>
  <si>
    <t>Château de Valenton</t>
  </si>
  <si>
    <t>Mme RIBEIRO au 07.77.86.91.62</t>
  </si>
  <si>
    <t>EX ARISTEE ASTAND</t>
  </si>
  <si>
    <t>Peintures murs et plafonds cuisine et salle de bain</t>
  </si>
  <si>
    <t>19-0003</t>
  </si>
  <si>
    <t>1 rue strauss</t>
  </si>
  <si>
    <t>Mantes la jolie</t>
  </si>
  <si>
    <t>Debussy ravel</t>
  </si>
  <si>
    <t xml:space="preserve">GALLOIS/LECOQ
06 50 49 52 53 /  06-13-63-18-00                               
</t>
  </si>
  <si>
    <t>Ex Me Sall</t>
  </si>
  <si>
    <t>rénovation plomberie gaz, mise en sécu élec, pose revetement PVC entrée et Dgt, pose meuble sous évier, Remplacement évier, Pose revetement sol PVC cuisine,Peinture mur et plafond Cuisine,cellier, sanitaire, salle de bain, chambre,debarras, Peinture plafond séjour/ Faience évier /Sol Séjour /pose revetement sol PVC sanitaire, SDB , Chambre, Dgt</t>
  </si>
  <si>
    <t>19-0002</t>
  </si>
  <si>
    <t>3 rue des quatre vents</t>
  </si>
  <si>
    <t>Voisins le bretonneux</t>
  </si>
  <si>
    <t>le temple du lac</t>
  </si>
  <si>
    <t>Mme Elaraud  06 10 64 98 04</t>
  </si>
  <si>
    <t>Ex lorrain</t>
  </si>
  <si>
    <t>Murs: WC</t>
  </si>
  <si>
    <t>15 rue Nelaton</t>
  </si>
  <si>
    <t>Puteaux</t>
  </si>
  <si>
    <t>13-15 rue nelaton</t>
  </si>
  <si>
    <t>Ex Santoro</t>
  </si>
  <si>
    <t>Remplacement baignoire</t>
  </si>
  <si>
    <t>urgent</t>
  </si>
  <si>
    <t>20 Avenue de la république</t>
  </si>
  <si>
    <t>Ivry sur Seine</t>
  </si>
  <si>
    <t>Av de la réublique</t>
  </si>
  <si>
    <t>Ex megdoud</t>
  </si>
  <si>
    <t>Peinture murs et plafonds des piéces humides, Peinture plafonds des piéces sèches, Remplacement des sols, cuisine, Sdb, Sanitaire, entrée,</t>
  </si>
  <si>
    <t>Mr Léger  06 82 83 86 93</t>
  </si>
  <si>
    <t>5 allée camille Pissarro</t>
  </si>
  <si>
    <t>Sartrouville</t>
  </si>
  <si>
    <t>Les Tilleuls</t>
  </si>
  <si>
    <t>Mne Landois 
06 50 40 53 49
baillon
0139138839</t>
  </si>
  <si>
    <t>Ex Ghazi</t>
  </si>
  <si>
    <t>3 Allée Camille Pissarro</t>
  </si>
  <si>
    <t>lestilleuls</t>
  </si>
  <si>
    <t>Ex Flaner</t>
  </si>
  <si>
    <t>30/36 Voie Henri Matisse</t>
  </si>
  <si>
    <t>Vitry sur seine</t>
  </si>
  <si>
    <t>Henri Matisse</t>
  </si>
  <si>
    <t>Mne Thezenas
07 77 86 91 61</t>
  </si>
  <si>
    <t>Mr gabriel Zangani 07 58 50 45 44</t>
  </si>
  <si>
    <t>Remplacement baignoire, Remplacement faience baignoire</t>
  </si>
  <si>
    <t>DAT + CREP</t>
  </si>
  <si>
    <t>Contrôle et mise en sécurité partielle des installations électriques.
Contrôle et mise en sécurité de l’installation gaz
Révision de l’ensemble des menuiseries du logement
Mise  en peinture des murs et des plafonds pour un T2
Dépose de porte  de placards</t>
  </si>
  <si>
    <t>25 rue Paul Cezanne</t>
  </si>
  <si>
    <t>Château de valenton</t>
  </si>
  <si>
    <t>Mme RIBEIRO
07 77 86 91 62</t>
  </si>
  <si>
    <t>EX IFERSEN</t>
  </si>
  <si>
    <t>14 h</t>
  </si>
  <si>
    <t>Fontenay sous bois 1/3 rue des ormes</t>
  </si>
  <si>
    <t>chevilly la rue 167 rue lieutenant petit leroy</t>
  </si>
  <si>
    <t>19-0022</t>
  </si>
  <si>
    <t>19-0023</t>
  </si>
  <si>
    <t>19-0024</t>
  </si>
  <si>
    <t>19-0025</t>
  </si>
  <si>
    <t>FA-OSI-19-002</t>
  </si>
  <si>
    <t>18/01/2019</t>
  </si>
  <si>
    <t>FA-OSI-19-003</t>
  </si>
  <si>
    <t>FA-OSI-19-004</t>
  </si>
  <si>
    <t>3 rue galilée</t>
  </si>
  <si>
    <t>Me                                        bonin
0661934216</t>
  </si>
  <si>
    <t>Ex Etienne christian</t>
  </si>
  <si>
    <t>peinture complète</t>
  </si>
  <si>
    <t>19-0031</t>
  </si>
  <si>
    <t>19-0032</t>
  </si>
  <si>
    <t>24 Boulevard albert 1er</t>
  </si>
  <si>
    <t>Nogent sur marne</t>
  </si>
  <si>
    <t>Jacques Kabe</t>
  </si>
  <si>
    <t>Mme GALLIOT 06,16,29,01,39</t>
  </si>
  <si>
    <t>Ex kalanga</t>
  </si>
  <si>
    <t>Peinture murs et plafonds de toutes les puièces, Remplacement sol de toutes les pièces, Remplacement évier, Remplacement faience baignoire+évier</t>
  </si>
  <si>
    <t>19-0039</t>
  </si>
  <si>
    <t>19-0019
19-0038</t>
  </si>
  <si>
    <t>5 rue lea maury</t>
  </si>
  <si>
    <t>Bonneuil sur marne</t>
  </si>
  <si>
    <t>floréal 2</t>
  </si>
  <si>
    <t>M. COTTIN : 06 12 64 18 84 dominique.cottin@osica.sni.fr</t>
  </si>
  <si>
    <t>mne ghalopin
0619110143</t>
  </si>
  <si>
    <t>Entoilage et peinture murs et plafonds: cuisine</t>
  </si>
  <si>
    <t>45 rue Lamartine</t>
  </si>
  <si>
    <t>Rueil malmaison</t>
  </si>
  <si>
    <t>les gibets</t>
  </si>
  <si>
    <t>EX mr rasse</t>
  </si>
  <si>
    <t>9 rue ferrer</t>
  </si>
  <si>
    <t>Ex boutrin</t>
  </si>
  <si>
    <t>Peinture murs et plafonds pièces humides; Peinture plafonds pièces sèches</t>
  </si>
  <si>
    <t>FA-OSI-19-005</t>
  </si>
  <si>
    <t>28/01/2019</t>
  </si>
  <si>
    <t>FA-OSI-19-006</t>
  </si>
  <si>
    <t>FA-OSI-19-007</t>
  </si>
  <si>
    <t>FA-OSI-19-008</t>
  </si>
  <si>
    <t>FA-OSI-19-009</t>
  </si>
  <si>
    <t>FA-OSI-19-010</t>
  </si>
  <si>
    <t>FA-OSI-19-011</t>
  </si>
  <si>
    <t>FA-OSI-19-012</t>
  </si>
  <si>
    <t>FA-OSI-19-013</t>
  </si>
  <si>
    <t>FA-OSI-19-014</t>
  </si>
  <si>
    <t>Mme Nasrine GUIDOUM 06.35.81.33.81 
M. DELEHAYE 06.23.03.68.13 
Mme chalon 07,77,86,91,68</t>
  </si>
  <si>
    <t>Luis da costa
0629591705</t>
  </si>
  <si>
    <t>Peinture murs et plafonds: séjour, chambre, entrée, SDb,Cellier ,Peinture murs: cuisine</t>
  </si>
  <si>
    <t>à partir du 07-02-2019</t>
  </si>
  <si>
    <t>19-0049</t>
  </si>
  <si>
    <t>19-0050</t>
  </si>
  <si>
    <t>FA-OSI-19-015</t>
  </si>
  <si>
    <t>01/02/2019</t>
  </si>
  <si>
    <t>19-0053</t>
  </si>
  <si>
    <t>M. PETIOT 06,27,54,03,73  M. LAURENT Vincent 06.71.61.10.17</t>
  </si>
  <si>
    <t xml:space="preserve">Molet niocole
0675781192 </t>
  </si>
  <si>
    <t>Peinture murs et plafonds Sdb+WC, Remplacement sol Sdb+WC, Remplacement faience Sdb</t>
  </si>
  <si>
    <t>15h</t>
  </si>
  <si>
    <t>porte 1</t>
  </si>
  <si>
    <t>19-0056</t>
  </si>
  <si>
    <t>22 rue du general sarrail</t>
  </si>
  <si>
    <t>Créteil</t>
  </si>
  <si>
    <t>sarrail</t>
  </si>
  <si>
    <t>Mme LEGER 06,88,16,65,71</t>
  </si>
  <si>
    <t>Ex troaré</t>
  </si>
  <si>
    <t>Peinture murs et plafonds pièces humides, Peinture plafonds pièces sèches, Peinture murs: séjour, chambre 3, entrée, Remplacement sols: cuisine, Sdb, sanitaire, chambre x3, séjour, entrée, Remplacement baignoire, Faience murale baignoire</t>
  </si>
  <si>
    <t>159 rue petit leroy</t>
  </si>
  <si>
    <t>Chevilly la rue</t>
  </si>
  <si>
    <t>les hortensias</t>
  </si>
  <si>
    <t>Ex maurice martine</t>
  </si>
  <si>
    <t xml:space="preserve">Mr LEGER 06,82,83,86,93 </t>
  </si>
  <si>
    <t>Peinture de tout le logement, Remplacement de tous les sols, Remplacement baignoire</t>
  </si>
  <si>
    <t>55 rue des chênes</t>
  </si>
  <si>
    <t>Porcheville</t>
  </si>
  <si>
    <t>des chênes</t>
  </si>
  <si>
    <t>mne bonin
0130630445</t>
  </si>
  <si>
    <t>Ex bathily</t>
  </si>
  <si>
    <t>Peinture murs et plafonds de tout le logement, Faience salle de bain</t>
  </si>
  <si>
    <t>2 rue maryse bastié</t>
  </si>
  <si>
    <t>mercure</t>
  </si>
  <si>
    <t xml:space="preserve">GALLOIS/LECOQ
06 50 49 52 53 /  06-13-63-18-00                                 
</t>
  </si>
  <si>
    <t>ex el ghazi</t>
  </si>
  <si>
    <t>Peinture murs et plafonds tout le log+ Sol WC +faience évier</t>
  </si>
  <si>
    <t>FA-OSI-19-016</t>
  </si>
  <si>
    <t>05/02/2019</t>
  </si>
  <si>
    <t>FA-OSI-19-017</t>
  </si>
  <si>
    <t>FA-OSI-19-018</t>
  </si>
  <si>
    <t>FA-OSI-19-019</t>
  </si>
  <si>
    <t>FA-OSI-19-020</t>
  </si>
  <si>
    <t>2 rue de la sarrazine</t>
  </si>
  <si>
    <t>Mr Rostal 06-03-49-62-52</t>
  </si>
  <si>
    <t>Mr Razafimaheha - 06-27-58-37-63</t>
  </si>
  <si>
    <t>Refection faïence baignoire</t>
  </si>
  <si>
    <t>8 residence du port galand</t>
  </si>
  <si>
    <t>Me Souabni</t>
  </si>
  <si>
    <t>Remplacement faïence baignoire</t>
  </si>
  <si>
    <t xml:space="preserve">5 allée de la sirène </t>
  </si>
  <si>
    <t>11 h</t>
  </si>
  <si>
    <t>14 h 30</t>
  </si>
  <si>
    <t>Pavillon de 2012</t>
  </si>
  <si>
    <t>9 h</t>
  </si>
  <si>
    <t>11 h 30</t>
  </si>
  <si>
    <t>15 h 30</t>
  </si>
  <si>
    <t>23 rue edith Piaf</t>
  </si>
  <si>
    <t>Edith Piaf</t>
  </si>
  <si>
    <t>Mme MAIZA
0661430698</t>
  </si>
  <si>
    <t>16 h 16 h 30</t>
  </si>
  <si>
    <t>Rplct faience sdb</t>
  </si>
  <si>
    <t>47 rue Hoche</t>
  </si>
  <si>
    <t>HOUILLES</t>
  </si>
  <si>
    <t>Hoche Brassens</t>
  </si>
  <si>
    <t>M. COUSSIN
0607253816</t>
  </si>
  <si>
    <t>Peintures plafonds pièces sèches et humides
Peintures murs cuisines, sdb et wc</t>
  </si>
  <si>
    <t>7 allée des coquelicots</t>
  </si>
  <si>
    <t>Vernouillet</t>
  </si>
  <si>
    <t>du Parc</t>
  </si>
  <si>
    <t>"Mr  Camara 06 19 66 75 68 - 
M. BOUBOO
07 77 38 07 52 Mr bendiaff 0650121097 Mr Bacconnet 0612892453</t>
  </si>
  <si>
    <t>Ex Sayad</t>
  </si>
  <si>
    <t>Verification installation electrique, Rplt ROAI, Entrée : Peinture mur et plafond + séjour peinture mur et plafond, Ch1 peinture mur et plafond, Ch2 peinture mur et plafond idem peinture mur et plafond de la SDB et Wc+ cuisine et dégagement</t>
  </si>
  <si>
    <t>50 allée des mesanges</t>
  </si>
  <si>
    <t>Ex Me Dozier</t>
  </si>
  <si>
    <t xml:space="preserve">Verification installation electrique, Rplt ROAI, séjour peinture murs et plafond + recouvrement sol, SDB peinture des murs + rplt barre de seuil et celle de la cuisine </t>
  </si>
  <si>
    <t>35 allée des pinsons</t>
  </si>
  <si>
    <t>EX Michel Yvonne</t>
  </si>
  <si>
    <t>Verification de l'installation éléctrique
Rplct ROAI
Peinture mur et plafond de la sdb</t>
  </si>
  <si>
    <t>19-0067</t>
  </si>
  <si>
    <t>19-0068</t>
  </si>
  <si>
    <t>19-0069</t>
  </si>
  <si>
    <t>19-0070</t>
  </si>
  <si>
    <t>19-0072</t>
  </si>
  <si>
    <t>19-0073</t>
  </si>
  <si>
    <t>19-0071</t>
  </si>
  <si>
    <t>26 allée des petunias</t>
  </si>
  <si>
    <t>Ex Adelaide</t>
  </si>
  <si>
    <t>Vérification élec de tout le logement/Peinture plafonds et murs :Séjour,chambre adjacente séjour,2 chambres du fond, SDB,WC, Cuisine /Peinture plafond: Entrée,Petit Dgt /Sol en recouvrement: Chambre adjacente séjour,SDB,WC</t>
  </si>
  <si>
    <t>6 allée des paquerettes</t>
  </si>
  <si>
    <t>Ex faisca</t>
  </si>
  <si>
    <t>Vérification élec de tout le logement /Peinture murs et plafonds: Entrée, séjour, 2 chambres, SDB, WC, Cuisine / peinture plafond: petit Dégagement</t>
  </si>
  <si>
    <t>11 allée des coquelicots</t>
  </si>
  <si>
    <t>Ex Djikine</t>
  </si>
  <si>
    <t>Vérif élec de tout logement/ Peinture plafonds et murs :Entrée, Séjour,chambre adjacente séjour, SDB, cuisine, WC /Peinture plafond : petit dégagement / Recouvrement des sols: Séjour, chambre adjacente séjour/ Démolition cloison entre séjour et chambre</t>
  </si>
  <si>
    <t>16 Avenue de la république</t>
  </si>
  <si>
    <t>Ivry sur seine</t>
  </si>
  <si>
    <t>Ex perot</t>
  </si>
  <si>
    <t>Peinture plafond: Cuisine, séjour, Dégagement, chambre/ peinture plafonds et murs : SDB /Remplacement sol : Cuisine ,Sdb, Chambre, sanitaire, séjour, dégagement / Remplacement baignoire</t>
  </si>
  <si>
    <t>Mme LEGER 06,82 83 86 93</t>
  </si>
  <si>
    <t>9 rue claude debussy</t>
  </si>
  <si>
    <t>Ex bernard</t>
  </si>
  <si>
    <t>murs et plafonds dans tout le logement / sol cuisine et Sdb</t>
  </si>
  <si>
    <t>5 square stendhal</t>
  </si>
  <si>
    <t>Trappes</t>
  </si>
  <si>
    <t>square sterndhal</t>
  </si>
  <si>
    <t>mr Sofana tef 0675757481</t>
  </si>
  <si>
    <t>Ex boutoudit</t>
  </si>
  <si>
    <t>Préparation murs et plafonds+sol : cuisine / preparation mur: Dégagement , Sdb / préparation murs  et sol : 2 chambres</t>
  </si>
  <si>
    <t>Mme RENOUX
0610649780</t>
  </si>
  <si>
    <t>Mr Muller Gerard - Numero erroné</t>
  </si>
  <si>
    <t>45 bis rue de Glatigny</t>
  </si>
  <si>
    <t>Le Chesnais</t>
  </si>
  <si>
    <t>Glatigny</t>
  </si>
  <si>
    <t>Sol séjour (demander confirmation pour programme travaux)</t>
  </si>
  <si>
    <t>FA-OSI-19-021</t>
  </si>
  <si>
    <t>12/02/2019</t>
  </si>
  <si>
    <t>FA-OSI-19-022</t>
  </si>
  <si>
    <t>FA-OSI-19-023</t>
  </si>
  <si>
    <t>19-0077</t>
  </si>
  <si>
    <t>19-0078</t>
  </si>
  <si>
    <t>19-0079</t>
  </si>
  <si>
    <t>19-0080</t>
  </si>
  <si>
    <t>19-0081</t>
  </si>
  <si>
    <t>19-0082</t>
  </si>
  <si>
    <t>DGI about porte caoutchouc</t>
  </si>
  <si>
    <t>3 rue louis pottier</t>
  </si>
  <si>
    <t>des rois</t>
  </si>
  <si>
    <t xml:space="preserve">"Mr  Camara 06 19 66 75 68 - 
M. BOUBOO
07 77 38 07 52 Mr bendiaff 0650121097 Mr Bacconnet 0612892453  bureau 01 39 22 97 40 </t>
  </si>
  <si>
    <t>ex bouvier</t>
  </si>
  <si>
    <t>Entrée: peinture mur +recouvrement sol+étagéres+remplacement portes placard / Cuisine: peinture murs et plafonds +recouvrement sol+remplacementv ROAI+remplacement meuble évier +remplacement plinthe sur 3m / séjour: peinture murs et plafonds / Dégagement accès chambre: révision porte placard et dépose étagére/ SDB : peinture plafond+ recouvrement sol+ remplacement lavabo et baignoire et applique et miroir</t>
  </si>
  <si>
    <t>CDC Habitat social</t>
  </si>
  <si>
    <t>33 avenue Pierre Mendès France</t>
  </si>
  <si>
    <t>12h</t>
  </si>
  <si>
    <t>8 rue de la Sarrazine</t>
  </si>
  <si>
    <t>Bagneux</t>
  </si>
  <si>
    <t>Marie Galand</t>
  </si>
  <si>
    <t>Mle Meliani - 0651786668</t>
  </si>
  <si>
    <t>Faïence SDB</t>
  </si>
  <si>
    <t>Clermont</t>
  </si>
  <si>
    <t>Prélèvement sol mur et plafond, pour installation caméra.</t>
  </si>
  <si>
    <t>16 bis rue floréal</t>
  </si>
  <si>
    <t>Bagnolet</t>
  </si>
  <si>
    <t>83 rue du Lys</t>
  </si>
  <si>
    <t>Lesigny</t>
  </si>
  <si>
    <t>Bois notre dame</t>
  </si>
  <si>
    <t>rue floréal</t>
  </si>
  <si>
    <t>croix picard</t>
  </si>
  <si>
    <t>les vignes de bailly</t>
  </si>
  <si>
    <t>4 square alain Noisiel</t>
  </si>
  <si>
    <t>Les Cariatides</t>
  </si>
  <si>
    <t>34 rue jean bleuzen</t>
  </si>
  <si>
    <t>vanves</t>
  </si>
  <si>
    <t>Jean Bleuzen</t>
  </si>
  <si>
    <t>Rue du 8 mai 1945</t>
  </si>
  <si>
    <t>La Balastière</t>
  </si>
  <si>
    <t>13 rue nélaton</t>
  </si>
  <si>
    <t>13-15 rue Nelaton</t>
  </si>
  <si>
    <t>9 rue nélaton</t>
  </si>
  <si>
    <t>7-9 rue Nelaton</t>
  </si>
  <si>
    <t>Massy</t>
  </si>
  <si>
    <t>Jean Mace</t>
  </si>
  <si>
    <t>15 rue jean Mace</t>
  </si>
  <si>
    <t>Palaiseau</t>
  </si>
  <si>
    <t>Clos du pileu</t>
  </si>
  <si>
    <t>8 résidence clos du pileu</t>
  </si>
  <si>
    <t>20 Mail Mendés France</t>
  </si>
  <si>
    <t>Vauréal</t>
  </si>
  <si>
    <t>Brassens</t>
  </si>
  <si>
    <t>19-0083</t>
  </si>
  <si>
    <t>19-0084</t>
  </si>
  <si>
    <t>19-0085</t>
  </si>
  <si>
    <t>19-0086</t>
  </si>
  <si>
    <t>19-0087</t>
  </si>
  <si>
    <t>19-0088</t>
  </si>
  <si>
    <t>Elakouss naima
0626781639</t>
  </si>
  <si>
    <t>vérification de toute l'installation électrique / remplacement du ROAI / dans toutes les pièces: peinture des plafonds / dans la cuisine, la SDB, les WC, le séjour, et les chambres: peinture des murs / dans les chambres: recouvrement des sols</t>
  </si>
  <si>
    <t>du parc</t>
  </si>
  <si>
    <t>32 allée des bouvreuils</t>
  </si>
  <si>
    <t>Mme ABDELLATIF 06,18,88,21,40 M. AGBETOR
06 81 67 58 26</t>
  </si>
  <si>
    <t>77 rue des Bons raisins</t>
  </si>
  <si>
    <t>Les Bons Raisins</t>
  </si>
  <si>
    <t>EX COULON</t>
  </si>
  <si>
    <t>Peinture de tous le logt
Rplct de tous les sols
Rplct évier</t>
  </si>
  <si>
    <t>Champs/marne</t>
  </si>
  <si>
    <t>noisiel</t>
  </si>
  <si>
    <t>14-16- place pablo picasso</t>
  </si>
  <si>
    <t>Mme Meirland 
06-10-64-97-19</t>
  </si>
  <si>
    <r>
      <t>06-13-36-27-44/</t>
    </r>
    <r>
      <rPr>
        <b/>
        <sz val="9"/>
        <color rgb="FFFF0000"/>
        <rFont val="Calibri"/>
        <family val="2"/>
        <scheme val="minor"/>
      </rPr>
      <t>-06-18-34-39-08</t>
    </r>
  </si>
  <si>
    <r>
      <t>06-77-03-23-46</t>
    </r>
    <r>
      <rPr>
        <b/>
        <sz val="9"/>
        <color theme="1"/>
        <rFont val="Calibri"/>
        <family val="2"/>
        <scheme val="minor"/>
      </rPr>
      <t>/</t>
    </r>
    <r>
      <rPr>
        <b/>
        <sz val="9"/>
        <color rgb="FFFF0000"/>
        <rFont val="Calibri"/>
        <family val="2"/>
        <scheme val="minor"/>
      </rPr>
      <t>06-18-34-38-20</t>
    </r>
  </si>
  <si>
    <r>
      <t>06-77-03-23-46 /</t>
    </r>
    <r>
      <rPr>
        <b/>
        <sz val="9"/>
        <color rgb="FFFF0000"/>
        <rFont val="Calibri"/>
        <family val="2"/>
        <scheme val="minor"/>
      </rPr>
      <t>-06-18-34-39-04</t>
    </r>
  </si>
  <si>
    <t>19-0097</t>
  </si>
  <si>
    <t>19-0096</t>
  </si>
  <si>
    <t>19-0098</t>
  </si>
  <si>
    <t>19-0099</t>
  </si>
  <si>
    <t>120 ter rue alexandre fourny</t>
  </si>
  <si>
    <t>Champigny sur marne</t>
  </si>
  <si>
    <t>Ex ass phiklarmonique</t>
  </si>
  <si>
    <t>Mr benbellout 0616290139</t>
  </si>
  <si>
    <t>Local collectif</t>
  </si>
  <si>
    <t>Peinture: plafond et mur /Remplacerment sol</t>
  </si>
  <si>
    <t>Appelle pour vendredi</t>
  </si>
  <si>
    <t>FA-OSI-19-024</t>
  </si>
  <si>
    <t>19/02/2019</t>
  </si>
  <si>
    <t>FA-OSI-19-025</t>
  </si>
  <si>
    <t>FA-OSI-19-026</t>
  </si>
  <si>
    <t>FA-OSI-19-027</t>
  </si>
  <si>
    <t>FA-OSI-19-028</t>
  </si>
  <si>
    <t>FA-OSI-19-029</t>
  </si>
  <si>
    <t>19-0101</t>
  </si>
  <si>
    <t>19-0102</t>
  </si>
  <si>
    <t>19-0103</t>
  </si>
  <si>
    <t>Fontenay sous bois  rue des ormes</t>
  </si>
  <si>
    <t>2 square stendhal</t>
  </si>
  <si>
    <t>Ex soulie</t>
  </si>
  <si>
    <t>Dgt: plafond / SDB: mur et plafond /Séjour:plafond</t>
  </si>
  <si>
    <t>5 ter rue du val content</t>
  </si>
  <si>
    <t>Fontenay aux roses</t>
  </si>
  <si>
    <t>peinture murs et plafonds: Cellier, Dégagement, Chambrex4, séjour</t>
  </si>
  <si>
    <t>1 place georges Auric</t>
  </si>
  <si>
    <t>saint quentin gare</t>
  </si>
  <si>
    <t>Ex delhomme</t>
  </si>
  <si>
    <t>Entrée et séjour: prépa murs et plafonds</t>
  </si>
  <si>
    <t>13 allée de l'ivraie</t>
  </si>
  <si>
    <t>de l'ivraie</t>
  </si>
  <si>
    <t>Ex Chapuis</t>
  </si>
  <si>
    <t>Cuisine: peinture mur /SDB: remplacement colonne lavabo, peinture mur /chambre: peinture mur</t>
  </si>
  <si>
    <t>58 rue gambetta</t>
  </si>
  <si>
    <t>Ex pla</t>
  </si>
  <si>
    <t>Mr Clément
06 18 88 38 63</t>
  </si>
  <si>
    <t>06-28-11-46-52/-diop 06 25 03 81 50</t>
  </si>
  <si>
    <t>FA-OSI-19-030</t>
  </si>
  <si>
    <t>22/02/2019</t>
  </si>
  <si>
    <t>Demourat 06 29 13 86 08</t>
  </si>
  <si>
    <t>19-0109</t>
  </si>
  <si>
    <t>19-0110</t>
  </si>
  <si>
    <t>19-0111</t>
  </si>
  <si>
    <t>FA-OSI-19-031</t>
  </si>
  <si>
    <t>25/02/2019</t>
  </si>
  <si>
    <t>5 ter rue du Val Content</t>
  </si>
  <si>
    <t>le Val Content</t>
  </si>
  <si>
    <t>Rdc</t>
  </si>
  <si>
    <t>Ex DRICI</t>
  </si>
  <si>
    <t>Peinture Murs et plafonds, Cellier, Dgt, Chambre les 4, séjour.</t>
  </si>
  <si>
    <t>72 bis Av du marechal Foch</t>
  </si>
  <si>
    <t>les fauvettes</t>
  </si>
  <si>
    <t>Mr Petrean 06 03 49 62 37</t>
  </si>
  <si>
    <t>Ex Me Vaquer</t>
  </si>
  <si>
    <t>Peinture Murs et plafonds : Cuisine, Sdb, 2x chambres, peinture plafond : DGT</t>
  </si>
  <si>
    <t>7 square stendhal</t>
  </si>
  <si>
    <t>Square Stendhal</t>
  </si>
  <si>
    <t>Ex Mr Diop</t>
  </si>
  <si>
    <t>Peinture Murs et plafonds dans tout le logement / ensemble des sols du lgt</t>
  </si>
  <si>
    <t>31 rue du 8 mai 1945</t>
  </si>
  <si>
    <t>sols chambre, séjour, entrée, dégagement, SDB et WC, rplt meuble sous évier, Mise en sécurité elec,  F et P, Baignoire compléte</t>
  </si>
  <si>
    <t>19-0115</t>
  </si>
  <si>
    <t>19-0114</t>
  </si>
  <si>
    <t>19-0113</t>
  </si>
  <si>
    <t>40 Allée des rossignols</t>
  </si>
  <si>
    <t>mne cavelier 0139658121</t>
  </si>
  <si>
    <t>Vérification de l'installation élec,/ Remplacement du ROAI / Peinture des plafonds de tout le logement /Peinture des murs de tout le logement</t>
  </si>
  <si>
    <t>square des gaudonnes</t>
  </si>
  <si>
    <t>19-0123</t>
  </si>
  <si>
    <t>Mme LEROY
06 29 13 86 06</t>
  </si>
  <si>
    <t xml:space="preserve">M. DELEHAYE 06.23.03.68.13 </t>
  </si>
  <si>
    <t>30 place le Vau</t>
  </si>
  <si>
    <t>Les Courtilles</t>
  </si>
  <si>
    <t>Ex Squatter</t>
  </si>
  <si>
    <t>CREP</t>
  </si>
  <si>
    <t>6 rue JJ Rousseau</t>
  </si>
  <si>
    <t>Les Mureaux</t>
  </si>
  <si>
    <t>La vigne Blanche</t>
  </si>
  <si>
    <t>Me Amaral- 0130224794</t>
  </si>
  <si>
    <t>Ex Me Garcia</t>
  </si>
  <si>
    <t>Peinture plafond : cuisine, Sdb, Changement meuble sous évier, dépose installation électrique séjour et chambre</t>
  </si>
  <si>
    <t>4 rue JJ Rousseau</t>
  </si>
  <si>
    <t>Mr Macalou</t>
  </si>
  <si>
    <t>Travaux sol séjour</t>
  </si>
  <si>
    <t>1 allée Camille Pissaro</t>
  </si>
  <si>
    <t>Mise en peinture plafonds et murs cuisine, 2 chambres.Mise en sécurité electrique</t>
  </si>
  <si>
    <t xml:space="preserve">ass lien yvelinois 
- 06 07 25 76 63 </t>
  </si>
  <si>
    <t>19-0125</t>
  </si>
  <si>
    <t>19-0126</t>
  </si>
  <si>
    <t>19-0127</t>
  </si>
  <si>
    <t>7 chemin des écoliers</t>
  </si>
  <si>
    <t>Andrésy</t>
  </si>
  <si>
    <t>les hauts charvaux</t>
  </si>
  <si>
    <t>M. DAVIOT
0629679857</t>
  </si>
  <si>
    <t>Ex sadfi</t>
  </si>
  <si>
    <t>Vérification installation 2lec du logement/ peinture murs et plafond :entrée / Séjour: peinture  murs et recouvrement du sol / Chambre: recouvrement du sol / SDB: peinture murs et plafonds / Cuisine: lessivage des murs</t>
  </si>
  <si>
    <t>16 rue des giroflées</t>
  </si>
  <si>
    <t>les mureaux</t>
  </si>
  <si>
    <t>la vigne blanche</t>
  </si>
  <si>
    <t>mr semega
0952550457/ 0652770270</t>
  </si>
  <si>
    <t>5 Allée michel ange</t>
  </si>
  <si>
    <t>Jehan Ango</t>
  </si>
  <si>
    <t>Ex Mr Niang</t>
  </si>
  <si>
    <t>19-0134</t>
  </si>
  <si>
    <t>19-0135</t>
  </si>
  <si>
    <t>Peinture Murs et plafond cuisine</t>
  </si>
  <si>
    <t>3 bis rue du Val content</t>
  </si>
  <si>
    <t>Le Val Content</t>
  </si>
  <si>
    <t>Ex Mme Clément</t>
  </si>
  <si>
    <t>Peintures murs séjour</t>
  </si>
  <si>
    <t>Mme SAINT MAXENT
06 18 32 41 68</t>
  </si>
  <si>
    <t>783 rue de Bernau</t>
  </si>
  <si>
    <t>Clos de la Lande</t>
  </si>
  <si>
    <t>Peintures murs et plafond entrée, cuisine, 1 chambre et séjour</t>
  </si>
  <si>
    <t>Aladin</t>
  </si>
  <si>
    <t>Mme Léger
06 88 16 65 71</t>
  </si>
  <si>
    <t>EX CINELU</t>
  </si>
  <si>
    <t>Peintures murs et plafonds : cuisine et sdb
Rplct sol cuisine
Rplct baignoire
Barre de seuil sdb</t>
  </si>
  <si>
    <t>FA-OSI-19-032</t>
  </si>
  <si>
    <t>05/03/2019</t>
  </si>
  <si>
    <t>FA-OSI-19-033</t>
  </si>
  <si>
    <t>FA-OSI-19-034</t>
  </si>
  <si>
    <t>FA-OSI-19-035</t>
  </si>
  <si>
    <t>FA-OSI-19-036</t>
  </si>
  <si>
    <t>FA-OSI-19-037</t>
  </si>
  <si>
    <t>FA-OSI-19-038</t>
  </si>
  <si>
    <t>FA-OSI-19-039</t>
  </si>
  <si>
    <t>FA-OSI-19-040</t>
  </si>
  <si>
    <t>FA-OSI-19-041</t>
  </si>
  <si>
    <t>FA-OSI-19-042</t>
  </si>
  <si>
    <t>FA-OSI-19-043</t>
  </si>
  <si>
    <t>31/35 rue du R. Père Gilbert</t>
  </si>
  <si>
    <t>Asnières sur Seine</t>
  </si>
  <si>
    <t>EX GUILLO</t>
  </si>
  <si>
    <t>Peintures murs et plafond : cuisine, sdb, séjour, dégagelmment
Faience murale et rplct baignoire</t>
  </si>
  <si>
    <t>M. DELAHAYE
06 23 03 68 13</t>
  </si>
  <si>
    <t>41 Lamartine Rueil</t>
  </si>
  <si>
    <t>10 h</t>
  </si>
  <si>
    <t>31 rue de saussure</t>
  </si>
  <si>
    <t>mne séguini
06 03 98 70 22</t>
  </si>
  <si>
    <r>
      <t xml:space="preserve">06-85-08-90-08 /- </t>
    </r>
    <r>
      <rPr>
        <sz val="9"/>
        <color rgb="FFFF0000"/>
        <rFont val="Calibri"/>
        <family val="2"/>
        <scheme val="minor"/>
      </rPr>
      <t>Me trellu-06 77 02 59 60</t>
    </r>
  </si>
  <si>
    <t>10h45</t>
  </si>
  <si>
    <t>9h30</t>
  </si>
  <si>
    <t>Asnières sur seine</t>
  </si>
  <si>
    <t xml:space="preserve">Mme HIDARI
07 77 86 91 63 - Mme BETHENCOURT
06,11,70,99,24 </t>
  </si>
  <si>
    <t>19-0141</t>
  </si>
  <si>
    <t>19-0142</t>
  </si>
  <si>
    <t>19-0143</t>
  </si>
  <si>
    <t>19-0144</t>
  </si>
  <si>
    <t>19-0145</t>
  </si>
  <si>
    <t>Entrée, Séjour et degt : murs et plafond</t>
  </si>
  <si>
    <t>19-0146</t>
  </si>
  <si>
    <t>19-0147</t>
  </si>
  <si>
    <t>19-0148</t>
  </si>
  <si>
    <t>19-0149</t>
  </si>
  <si>
    <t>19-0150</t>
  </si>
  <si>
    <t>19-0151</t>
  </si>
  <si>
    <t>FA-OSI-19-044</t>
  </si>
  <si>
    <t>08/03/2019</t>
  </si>
  <si>
    <t>FA-OSI-19-045</t>
  </si>
  <si>
    <t>FA-OSI-19-046</t>
  </si>
  <si>
    <t>29 allée des Volubilis</t>
  </si>
  <si>
    <t>Du Parc</t>
  </si>
  <si>
    <t>EX Haroun
0661548768</t>
  </si>
  <si>
    <t>Verif elec de tout le logt
Rplct du ROAI
Peintures murs et plafond ensemble du logt
Ch 3 : traitement du sol par recouvrement</t>
  </si>
  <si>
    <t>16 allée des Pervenches</t>
  </si>
  <si>
    <t>EX Amarniss
0665970385</t>
  </si>
  <si>
    <t>Verif de toute l'installation elec
Rplct du ROAI
Peinture murs et plafonds ens du logt
Entrée : Traitement sol par recouvrement
Séjour : dépose étagère
Ch 1 : adjacente au séjour : traitement du sol par recouvrement et dépose moquette + rplct prise élec
Ch 2 :  traitement du sol par recouvrement et dépose moquette
SDB : raitement sol par recouvrement + dépose étagère
Cuisine : rplct de la porte et dépose étagère</t>
  </si>
  <si>
    <t>FA-OSI-19-047</t>
  </si>
  <si>
    <t>12/03/2019</t>
  </si>
  <si>
    <t>FA-OSI-19-048</t>
  </si>
  <si>
    <t>34 rue du 8 mai 1945</t>
  </si>
  <si>
    <t>Ex Mle Dumont</t>
  </si>
  <si>
    <t>Peinture murs et plafonds T3, meuble sous évier, mise en sécurité electrique, F et P plinthe en bois</t>
  </si>
  <si>
    <t>57 rue Hoche</t>
  </si>
  <si>
    <t>Ex Me Benalli</t>
  </si>
  <si>
    <t>Mise en sécurité electrique, F et OP meuble et évier et faïence baignoire</t>
  </si>
  <si>
    <t>FA-OSI-19-049</t>
  </si>
  <si>
    <t>13/03/2019</t>
  </si>
  <si>
    <t>11h30</t>
  </si>
  <si>
    <t>AMMOUR
06 69 08 13 91</t>
  </si>
  <si>
    <t>répond pas</t>
  </si>
  <si>
    <t>clé dispo semaine 12</t>
  </si>
  <si>
    <t>19-0157</t>
  </si>
  <si>
    <t>19-0155</t>
  </si>
  <si>
    <t>19-0156</t>
  </si>
  <si>
    <t>5 rue JM jacquard</t>
  </si>
  <si>
    <t>Ass lien yvelinois</t>
  </si>
  <si>
    <t>mur et plafond: Chambre, séjour et SDB</t>
  </si>
  <si>
    <t>11 rue guynemer</t>
  </si>
  <si>
    <t>Ex Hezer</t>
  </si>
  <si>
    <t>Sol: cuisine/ mur et plafond : cuisine cellier et SDB / Baignoire</t>
  </si>
  <si>
    <t>13 rue de galilée</t>
  </si>
  <si>
    <t>Ex kante</t>
  </si>
  <si>
    <t>mur et plafond: 2 chambres, séjour, cuisine, SDB et WC / Sol: cuisine</t>
  </si>
  <si>
    <t>1 rue J strauss</t>
  </si>
  <si>
    <t>Ex okia</t>
  </si>
  <si>
    <t>mur et plafond : 2 Chambres , séjour, cuisine, Sdb et WC/ Sol : cuisine et Sdb / évier, baignoire</t>
  </si>
  <si>
    <t>5 rue Charpentier</t>
  </si>
  <si>
    <t>Mle BA 
0663830925</t>
  </si>
  <si>
    <t>Réfection peinture plafond séjour/ réfection complète peinture mur et plafond de la cuisine et Salle de bain</t>
  </si>
  <si>
    <t>FA-OSI-19-050</t>
  </si>
  <si>
    <t>15/03/2019</t>
  </si>
  <si>
    <t>FA-OSI-19-051</t>
  </si>
  <si>
    <t>FA-OSI-19-052</t>
  </si>
  <si>
    <t>18/03/2019</t>
  </si>
  <si>
    <t>FA-OSI-19-053</t>
  </si>
  <si>
    <t>FA-OSI-19-054</t>
  </si>
  <si>
    <t>FA-OSI-19-055</t>
  </si>
  <si>
    <t>FA-OSI-19-056</t>
  </si>
  <si>
    <t>19-0186</t>
  </si>
  <si>
    <t>19-0187</t>
  </si>
  <si>
    <t>19-0188</t>
  </si>
  <si>
    <t>19-0189</t>
  </si>
  <si>
    <t>19-0190</t>
  </si>
  <si>
    <t>4 allée Ronsard</t>
  </si>
  <si>
    <t>Pluton</t>
  </si>
  <si>
    <t>EX THIAM</t>
  </si>
  <si>
    <t>Peinture murs et plafond ensemble des pièces
Sol : cuisine</t>
  </si>
  <si>
    <t>FA-OSI-19-057</t>
  </si>
  <si>
    <t>20/03/2019</t>
  </si>
  <si>
    <t>FA-OSI-19-058</t>
  </si>
  <si>
    <t>19-0197</t>
  </si>
  <si>
    <t>EX KANKOUCH</t>
  </si>
  <si>
    <t>DAT+GAZ et crep</t>
  </si>
  <si>
    <t>Peintures murs et plafonds entrée, cuisine et 2 chambres
Peinture plafond séjour
Peintures murs degt
Rplct sol cuisine</t>
  </si>
  <si>
    <t>FA-OSI-19-059</t>
  </si>
  <si>
    <t>25/03/2019</t>
  </si>
  <si>
    <t>FA-OSI-19-060</t>
  </si>
  <si>
    <t>FA-OSI-19-061</t>
  </si>
  <si>
    <t>FA-OSI-19-062</t>
  </si>
  <si>
    <t>FA-OSI-19-063</t>
  </si>
  <si>
    <t>FA-OSI-19-064</t>
  </si>
  <si>
    <t>FA-OSI-19-065</t>
  </si>
  <si>
    <t>FA-OSI-19-066</t>
  </si>
  <si>
    <t>FA-OSI-19-067</t>
  </si>
  <si>
    <t>FA-OSI-19-068</t>
  </si>
  <si>
    <t>blocage jusqu’au 5 avril</t>
  </si>
  <si>
    <t>1 Passage du nouveau logis</t>
  </si>
  <si>
    <t>06.81.11.09 70 / Mr Funk resp -06 16 07 51 32</t>
  </si>
  <si>
    <t>157 rue petit leroy</t>
  </si>
  <si>
    <t>Ex mr dauphin</t>
  </si>
  <si>
    <t>Peinture murs et plafonds des pièces humides/ Peinture plafonds des pièces sèches</t>
  </si>
  <si>
    <t>FA-OSI-19-069</t>
  </si>
  <si>
    <t>27/03/2019</t>
  </si>
  <si>
    <t>19-0203</t>
  </si>
  <si>
    <t xml:space="preserve">GALLOIS/LECOQ
06 50 49 52 53 /  06-13-63-18-00                             
</t>
  </si>
  <si>
    <t>43 rue de glatigny</t>
  </si>
  <si>
    <t>Le chesnay</t>
  </si>
  <si>
    <t>Sol : séjour, entrée, dgt</t>
  </si>
  <si>
    <t>35 rue du 8 Mai 1945</t>
  </si>
  <si>
    <t>M. BONNERO
0642499920</t>
  </si>
  <si>
    <t>M. BARRE
06-67-60-32-99</t>
  </si>
  <si>
    <t>FA-OSI-19-070</t>
  </si>
  <si>
    <t>01/04/2019</t>
  </si>
  <si>
    <t>FA-OSI-19-071</t>
  </si>
  <si>
    <t>FA-OSI-19-072</t>
  </si>
  <si>
    <t>FA-OSI-19-073</t>
  </si>
  <si>
    <t>bloqué jusqu'au 4 avril</t>
  </si>
  <si>
    <t>19-0206</t>
  </si>
  <si>
    <t>19-0207</t>
  </si>
  <si>
    <t>19-0208</t>
  </si>
  <si>
    <t>19-0209</t>
  </si>
  <si>
    <t>27 residence les taratres</t>
  </si>
  <si>
    <t>les taratres</t>
  </si>
  <si>
    <t>Mne Logez 0677315430</t>
  </si>
  <si>
    <t>Ex ponthieu</t>
  </si>
  <si>
    <t>remplacement sol: séjour, chambres</t>
  </si>
  <si>
    <t>26 residence les taratres</t>
  </si>
  <si>
    <t>Ex degardin</t>
  </si>
  <si>
    <t>remplacement sols: Séjour, chambre, entrée, dégagement</t>
  </si>
  <si>
    <t>19-0214</t>
  </si>
  <si>
    <t>19-0215</t>
  </si>
  <si>
    <t>Ex Mme Hane</t>
  </si>
  <si>
    <t>1 rue J Strauss</t>
  </si>
  <si>
    <t>Debussy-Ravel</t>
  </si>
  <si>
    <t>Peinture Murs et plafonds de l'ensemble des pièces / sols : Débarras, cuisine, débarras couloir / Sdb baignoire et changement du wc.</t>
  </si>
  <si>
    <t>trappes</t>
  </si>
  <si>
    <t>mr Fofana tef 0675757481</t>
  </si>
  <si>
    <t>Ex Mr Radulovic</t>
  </si>
  <si>
    <t xml:space="preserve">Préparation murs et plafonds: séjour, Chambre 2 / preparation plafond : chambre 1 / prepa sol : chambre 3 </t>
  </si>
  <si>
    <t>6 rue maurice ravel</t>
  </si>
  <si>
    <t>Ex Berkani</t>
  </si>
  <si>
    <t>Peinture murs et plafonds : toutes les pièces / sols : séjour, Sdb, /Sanitaire / Remplacement évier cuisine, remplacement lavabo sdb</t>
  </si>
  <si>
    <t>7 rue mozart</t>
  </si>
  <si>
    <t>Ex Barry oumar</t>
  </si>
  <si>
    <t>Peinture mur et plafond : cuisine/Peinture mur : Ch3</t>
  </si>
  <si>
    <t>Clichy</t>
  </si>
  <si>
    <t>Selkirk</t>
  </si>
  <si>
    <t>13 Allée paul signac</t>
  </si>
  <si>
    <t>Peinture Murs et plafons pièces humides et séches</t>
  </si>
  <si>
    <t>les courtilles</t>
  </si>
  <si>
    <t>Ex Maurisseau</t>
  </si>
  <si>
    <t>Ex me Souid</t>
  </si>
  <si>
    <t>M Yapo- 06.46.03.21.92 /
el ouadani
 06 25 03 81 49</t>
  </si>
  <si>
    <t>FA-OSI-19-074</t>
  </si>
  <si>
    <t>08/04/2019</t>
  </si>
  <si>
    <t>FA-OSI-19-075</t>
  </si>
  <si>
    <t>FA-OSI-19-076</t>
  </si>
  <si>
    <t>FA-OSI-19-077</t>
  </si>
  <si>
    <r>
      <t xml:space="preserve">"Mr  Camara 
06 19 66 75 68 - 
M. BOUBOO
07 77 38 07 52 Mr bendiaff
 06 50 12 10 97 Mr </t>
    </r>
    <r>
      <rPr>
        <sz val="9"/>
        <color rgb="FFFF0000"/>
        <rFont val="Calibri"/>
        <family val="2"/>
        <scheme val="minor"/>
      </rPr>
      <t xml:space="preserve">Bacconnet
06 12 89 24 53 </t>
    </r>
    <r>
      <rPr>
        <sz val="9"/>
        <color theme="1"/>
        <rFont val="Calibri"/>
        <family val="2"/>
        <scheme val="minor"/>
      </rPr>
      <t xml:space="preserve"> bureau 
01 39 22 97 40 </t>
    </r>
  </si>
  <si>
    <r>
      <t xml:space="preserve">"Mr  Camara 06 19 66 75 68 - 
M. BOUBOO
07 77 38 07 52 Mr bendiaff
 06 50 12 10 97 Mr </t>
    </r>
    <r>
      <rPr>
        <sz val="9"/>
        <color rgb="FFFF0000"/>
        <rFont val="Calibri"/>
        <family val="2"/>
        <scheme val="minor"/>
      </rPr>
      <t>Bacconnet
06 12 89 24 53</t>
    </r>
    <r>
      <rPr>
        <sz val="9"/>
        <color theme="1"/>
        <rFont val="Calibri"/>
        <family val="2"/>
        <scheme val="minor"/>
      </rPr>
      <t xml:space="preserve">  bureau 
01 39 22 97 40 </t>
    </r>
  </si>
  <si>
    <t>9h15</t>
  </si>
  <si>
    <t>Mise en sécurité
Peinture murs et plafonds du logt
Ensemble des Sols du lgt recouvrement, cuisine et WC</t>
  </si>
  <si>
    <t>Mme nveau gardien
06 15 92 12 32</t>
  </si>
  <si>
    <t>36/36 bis rue du père gilbert</t>
  </si>
  <si>
    <t>mr khous
01 47 91 02 55</t>
  </si>
  <si>
    <t>PMR dans salle de bain: Murs, plafonds faience, baignoire</t>
  </si>
  <si>
    <t xml:space="preserve">Mme BETHENCOURT
06 11 70 99 24 </t>
  </si>
  <si>
    <t xml:space="preserve">Mr LEGER
 06 82 83 86 93 </t>
  </si>
  <si>
    <t>FA-OSI-19-078</t>
  </si>
  <si>
    <t>FA-OSI-19-079</t>
  </si>
  <si>
    <t>19-0221</t>
  </si>
  <si>
    <t>19-0222</t>
  </si>
  <si>
    <t>19-0223</t>
  </si>
  <si>
    <t>19-0224</t>
  </si>
  <si>
    <t>19-0225</t>
  </si>
  <si>
    <t>19-0226</t>
  </si>
  <si>
    <t>19-0227</t>
  </si>
  <si>
    <t>19-0228</t>
  </si>
  <si>
    <t>30 rue du 8 Mai 1945</t>
  </si>
  <si>
    <t xml:space="preserve">Mme KARUNANAYAKE
0139117411
</t>
  </si>
  <si>
    <t>PMR Voir fiche mail</t>
  </si>
  <si>
    <t>69 allée des Hortensias</t>
  </si>
  <si>
    <t xml:space="preserve">Mme KILINCAT
0652010071
</t>
  </si>
  <si>
    <t>Verif instal elec
Peinture murs plafond Séjour, Ch1 attenante au séjour, ch2, sdb, wc et cuisine
Démolition cloison entre séjour et ch1  Chambre 2 : Rplct sol par recouvrement</t>
  </si>
  <si>
    <t>M. DEMANCHE
0621770535</t>
  </si>
  <si>
    <t>14 allée des Pervenches</t>
  </si>
  <si>
    <t>Les Hauts Charvaux</t>
  </si>
  <si>
    <t>M. MAKOUZOU
0663762849</t>
  </si>
  <si>
    <t>Verif instal elec
Peinture murs et plafond ens des pièces
Rplct lavabo et paillasse sdb</t>
  </si>
  <si>
    <t>41 allée des Rossignols</t>
  </si>
  <si>
    <t>EX BAREA</t>
  </si>
  <si>
    <t>Verif instal elec
entrée, séjour: Peinture plafond et recouvrement sol
CH 2 et 3 recouvrement des sols
Cuisine lessivage plafond et murs</t>
  </si>
  <si>
    <t>14 Square du Mantois</t>
  </si>
  <si>
    <t>Mantes La Jolie</t>
  </si>
  <si>
    <t>Square Henri 4</t>
  </si>
  <si>
    <t>EX PAUTRAT</t>
  </si>
  <si>
    <t>Murs et plafond peinture Entrée, escaliers et 2 couloirs
Plafond peinture : séjour, ch 1 et 2
Murs préparation : Les 3 ch
Séjour sols : les 3 ch, séjour, entrée, degt et 2 couloirs</t>
  </si>
  <si>
    <t>rdc</t>
  </si>
  <si>
    <t>FA-OSI-19-080</t>
  </si>
  <si>
    <t>15/04/2019</t>
  </si>
  <si>
    <t>FA-OSI-19-081</t>
  </si>
  <si>
    <t>FA-OSI-19-082</t>
  </si>
  <si>
    <t>FA-OSI-19-083</t>
  </si>
  <si>
    <t>FA-OSI-19-084</t>
  </si>
  <si>
    <t>9 rue Gustave Carpentier</t>
  </si>
  <si>
    <t>Mme SALHI
0628218230</t>
  </si>
  <si>
    <t>16 rue Maurice Ravel</t>
  </si>
  <si>
    <t>M. BEL MAREZ</t>
  </si>
  <si>
    <t>5 allée Michel Ange</t>
  </si>
  <si>
    <t>EX BOUAKKAZ</t>
  </si>
  <si>
    <t>Peinture murs et plafond cuisine</t>
  </si>
  <si>
    <t xml:space="preserve">Verif instal elec
Peinture murs et Rplct sol par recouvrement entrée, Séjour, Ch1 , ch2, degt
SDB : peinture mur et rplct lavabo </t>
  </si>
  <si>
    <t>46 rue des Berges</t>
  </si>
  <si>
    <t>Le Temple du Lac</t>
  </si>
  <si>
    <t>EX RABEUX</t>
  </si>
  <si>
    <t>Changement baignoire et paillasse
Sols: sdb et chambre 2</t>
  </si>
  <si>
    <t>FA-OSI-19-085</t>
  </si>
  <si>
    <t>Ex Das Neves sandra</t>
  </si>
  <si>
    <t>Mise en séurité electrique, forfait: plomberie, gaz, menuisirie, Peinture murs et plafond Chambre.</t>
  </si>
  <si>
    <t>FA-OSI-19-086</t>
  </si>
  <si>
    <t>FA-OSI-19-087</t>
  </si>
  <si>
    <t>19-0233</t>
  </si>
  <si>
    <t>7 allée Camille Pissarro</t>
  </si>
  <si>
    <t>16 rue des Giroflées</t>
  </si>
  <si>
    <t>EX OUAJMANE</t>
  </si>
  <si>
    <t>Fournitures et pose DAAF
ROAI Flexible
Réfection electrique
Lavabo colonne complet
Meuble sous évier
Conformité réseau gaz évier et salle de bain
Peinture murs et plafonds ensemble logt</t>
  </si>
  <si>
    <t>19-0241</t>
  </si>
  <si>
    <t>5 rue des giroflées</t>
  </si>
  <si>
    <t>Me Kamara</t>
  </si>
  <si>
    <t>Roai flexible gaz,Meuble sous évier, ballon 200, rplt plointhe, rplt vitrage</t>
  </si>
  <si>
    <t>J-B Clement</t>
  </si>
  <si>
    <t xml:space="preserve"> Fernandes
0607959860</t>
  </si>
  <si>
    <t>Changement de fonte avec percement de dalle plancher</t>
  </si>
  <si>
    <t xml:space="preserve">blocage jusqu'au 19 </t>
  </si>
  <si>
    <t>19-0242</t>
  </si>
  <si>
    <t>19-0243</t>
  </si>
  <si>
    <t>19-0244</t>
  </si>
  <si>
    <t>le gardien revient vers nous ( sort le 11 05</t>
  </si>
  <si>
    <t>34 allée des Pinsons</t>
  </si>
  <si>
    <t>M. YURTHERI
0667493785
0635561219</t>
  </si>
  <si>
    <t>FA-OSI-19-088</t>
  </si>
  <si>
    <t>18/04/2019</t>
  </si>
  <si>
    <t>19-0246</t>
  </si>
  <si>
    <t>19-0247</t>
  </si>
  <si>
    <t>19-0248</t>
  </si>
  <si>
    <t>19-0249</t>
  </si>
  <si>
    <t>19-0250</t>
  </si>
  <si>
    <t>Absence gaz ( chaudière robinet en attente)</t>
  </si>
  <si>
    <t>Roai flexible
Mise en sécu elec
Forfait plomberie, menuiserie et gaz
Peintures complètes pièces humides et celliers
Peinture Plafonds et boiserie des pièces sèches, peintures murs des chambres et degt</t>
  </si>
  <si>
    <t>FA-OSI-19-089</t>
  </si>
  <si>
    <t>19/04/2019</t>
  </si>
  <si>
    <t>FA-OSI-19-090</t>
  </si>
  <si>
    <t>à partir du 22/04</t>
  </si>
  <si>
    <t>19-0251</t>
  </si>
  <si>
    <t>19-0252</t>
  </si>
  <si>
    <t>19-0255</t>
  </si>
  <si>
    <t>PMR Voir fiche mail 5 sanitaire PMR)</t>
  </si>
  <si>
    <t>4 rue des coquarts</t>
  </si>
  <si>
    <t>mr Benini 0617119141</t>
  </si>
  <si>
    <t>Paillasse et faience Baignoire</t>
  </si>
  <si>
    <t>32 rue du 8 mai 1945</t>
  </si>
  <si>
    <t>Ex djata</t>
  </si>
  <si>
    <t>mise enb sécu élec,  Fet P meuble évier, peinture murset plafonds séjour</t>
  </si>
  <si>
    <t>FA-OSI-19-091</t>
  </si>
  <si>
    <t>25/04/2019</t>
  </si>
  <si>
    <t>8 allée des glycines</t>
  </si>
  <si>
    <t>moulin blanchard</t>
  </si>
  <si>
    <t xml:space="preserve">mne Dahmane 0758089304/ 0149735423 
</t>
  </si>
  <si>
    <t>mur couloir mur cuisine (chaudière)</t>
  </si>
  <si>
    <t>Rue nelaton</t>
  </si>
  <si>
    <t>Ex remadna</t>
  </si>
  <si>
    <t>Peinture murs et plafonds pièces humides Peinture murs et plafonds pièces sèches Remplacement baignoire Remplacement lavabo</t>
  </si>
  <si>
    <t>1 rue des ormes</t>
  </si>
  <si>
    <t>les ormes</t>
  </si>
  <si>
    <t>mr Attia mne nguyen 0688693880/ 0143082161</t>
  </si>
  <si>
    <t>Remplacement évier</t>
  </si>
  <si>
    <t>3 rue des ormes</t>
  </si>
  <si>
    <t>Fontenay sous bois</t>
  </si>
  <si>
    <t>Ex Hourcade</t>
  </si>
  <si>
    <t>Peinture murs et plafonds pièces humides Peinture murs et plafonds pièces sèches Faience baignoire , lavabo, évier Remplacement de sol ( voir avec gardien)</t>
  </si>
  <si>
    <t>FA-OSI-19-092</t>
  </si>
  <si>
    <t>29/04/2019</t>
  </si>
  <si>
    <t>FA-OSI-19-093</t>
  </si>
  <si>
    <t>FA-OSI-19-094</t>
  </si>
  <si>
    <t>FA-OSI-19-095</t>
  </si>
  <si>
    <t>Avant 10h à courbevoie</t>
  </si>
  <si>
    <t xml:space="preserve"> aidara kiney</t>
  </si>
  <si>
    <t>Mme PETREAN 06,03,49,62,37</t>
  </si>
  <si>
    <t xml:space="preserve">2 rue des coquarts </t>
  </si>
  <si>
    <t>Remplacement meuble  évier Remplacement faience évier</t>
  </si>
  <si>
    <t>10 rue de la sarrazine</t>
  </si>
  <si>
    <t>Ex chourouq</t>
  </si>
  <si>
    <t>Remplacement sol: cuisine, chambre, entrée Remplacement baignoire Peinture murs et plafonds entrée chambre séjour sanitaire cuisine SDB Peinture murs cellier</t>
  </si>
  <si>
    <t>19 allée des épines</t>
  </si>
  <si>
    <t>les épines</t>
  </si>
  <si>
    <t>Me Gambe-0610649695</t>
  </si>
  <si>
    <t>ex hoeppe</t>
  </si>
  <si>
    <t>Peinture murs et plafonds: chambre 1 et 3</t>
  </si>
  <si>
    <t>FA-OSI-19-096</t>
  </si>
  <si>
    <t>FA-OSI-19-097</t>
  </si>
  <si>
    <t>FA-OSI-19-098</t>
  </si>
  <si>
    <t>FA-OSI-19-099</t>
  </si>
  <si>
    <t>FA-OSI-19-100</t>
  </si>
  <si>
    <t>18 allée des Pervenches</t>
  </si>
  <si>
    <t>EX Gakou</t>
  </si>
  <si>
    <t>19-0260</t>
  </si>
  <si>
    <t>19-0261</t>
  </si>
  <si>
    <t>19-0262</t>
  </si>
  <si>
    <t>19-0263</t>
  </si>
  <si>
    <t>19-0258</t>
  </si>
  <si>
    <t>19-0259</t>
  </si>
  <si>
    <t>33 rue du 8 Mai 1945</t>
  </si>
  <si>
    <t>KONE
0787259030</t>
  </si>
  <si>
    <t>Mise en sécu elec
ROAI Flexible
Peintures murs et plafond cuisine</t>
  </si>
  <si>
    <t>FA-OSI-19-101</t>
  </si>
  <si>
    <t>02/05/2019</t>
  </si>
  <si>
    <t>FA-OSI-19-102</t>
  </si>
  <si>
    <t>à partir du 31/04/2019</t>
  </si>
  <si>
    <t>9 avenue Gaston Boissier</t>
  </si>
  <si>
    <t>Viroflay</t>
  </si>
  <si>
    <t>Place Verdun</t>
  </si>
  <si>
    <t>Mme LUCAS
06 10 64 97 62</t>
  </si>
  <si>
    <t>EX ANASTHASE</t>
  </si>
  <si>
    <t>19-0265</t>
  </si>
  <si>
    <t>19-0232
19-0266</t>
  </si>
  <si>
    <t>43 rue des mouettes</t>
  </si>
  <si>
    <t>Le Temple du lac</t>
  </si>
  <si>
    <t>EX PECQUEUR</t>
  </si>
  <si>
    <t>Peintures murs et plafond : cuisine, sdb, douche, ch 1, baignoire
Faience : sdb et douche</t>
  </si>
  <si>
    <t>19-268</t>
  </si>
  <si>
    <t>19-0264</t>
  </si>
  <si>
    <t>29 rue Paul Cezanne</t>
  </si>
  <si>
    <t>EX ANNEROSE</t>
  </si>
  <si>
    <t>Peintures murs et plafond logement
Rplct baignoire</t>
  </si>
  <si>
    <t>SELKIRK</t>
  </si>
  <si>
    <t>EX IMIHAMILAGE</t>
  </si>
  <si>
    <t>Rplct sol séjour</t>
  </si>
  <si>
    <t>13 rue Nelaton</t>
  </si>
  <si>
    <t>EX Corbin</t>
  </si>
  <si>
    <t>19-0269</t>
  </si>
  <si>
    <t>telephoner pour lundi 13/05</t>
  </si>
  <si>
    <t>11 rue F.Ferrer</t>
  </si>
  <si>
    <t>M. BENAMARA
0627621681</t>
  </si>
  <si>
    <t>Peintures murs et plafonds : sdb, wc, cuisine, entrée et degt
Rplct faience sdb, cuisine et wc</t>
  </si>
  <si>
    <t>FA-OSI-19-103</t>
  </si>
  <si>
    <t>07/05/2019</t>
  </si>
  <si>
    <t>FA-OSI-19-104</t>
  </si>
  <si>
    <t>FA-OSI-19-105</t>
  </si>
  <si>
    <t>FA-OSI-19-106</t>
  </si>
  <si>
    <t>FA-OSI-19-107</t>
  </si>
  <si>
    <t>24 rue des Giroflées</t>
  </si>
  <si>
    <t>EX NIANG</t>
  </si>
  <si>
    <t>Mur et plafond cuisine, wc, sdb, séjour et les 2 chambres
Sol cuisine et sdb</t>
  </si>
  <si>
    <t>105 rue Molière</t>
  </si>
  <si>
    <t>EX SINERA</t>
  </si>
  <si>
    <t>Mur et plafond : 2 Chambres , séjour, cuisine, Sdb et WC
 Sol : entrée et petit degt</t>
  </si>
  <si>
    <t>4 rue des Giroflées</t>
  </si>
  <si>
    <t>EX CAMARA</t>
  </si>
  <si>
    <t>Mur et plafond : 2 Chambres , séjour, cuisine, Sdb et WC entrée et petit degt</t>
  </si>
  <si>
    <t>FA-OSI-19-108</t>
  </si>
  <si>
    <t>09/05/2019</t>
  </si>
  <si>
    <t>19-0273</t>
  </si>
  <si>
    <t>19-0274</t>
  </si>
  <si>
    <t>19-0275</t>
  </si>
  <si>
    <t>19-0276</t>
  </si>
  <si>
    <t>Attente nouvelle commande labo (sols)</t>
  </si>
  <si>
    <t>Ex ndiaye</t>
  </si>
  <si>
    <t>mise en sécurité élec, remplacement meuble sous évier , changement évier, tablier baignoire , Peinture murs chambre plus sol</t>
  </si>
  <si>
    <t>74 allée des résédas</t>
  </si>
  <si>
    <t>mise en sécu élec, Peinture murs et plafonds dégagement, peinture sol et contrôle gaz</t>
  </si>
  <si>
    <t>5 allée des Paqueretes</t>
  </si>
  <si>
    <t>Mle SIMO
0678156515</t>
  </si>
  <si>
    <t>19-0277</t>
  </si>
  <si>
    <t>19-0278</t>
  </si>
  <si>
    <t>19-0279</t>
  </si>
  <si>
    <t>Mise en sécurité elec
Forfait plomberie et gaz ROAI
Forfait menuiserie
Peintures ensemble des pièces et reprise des sols pièces humides
Meuble sous évier et tablier de baignoire
Démolition faience
F et P Faience baignoire
Démol cloison entrée</t>
  </si>
  <si>
    <t>14h30</t>
  </si>
  <si>
    <t xml:space="preserve">mr saidoun 098700955
0614784930
0610101476
</t>
  </si>
  <si>
    <t>FA-OSI-19-109</t>
  </si>
  <si>
    <t>13/05/2019</t>
  </si>
  <si>
    <t>52 rue des Berges</t>
  </si>
  <si>
    <t>EX LELAY</t>
  </si>
  <si>
    <t>Préparation mur et plafond : cuisine, séjour, chambre 1 et 2
Rplct faience sdb
Rplct WC
Rplct lavabo SDB</t>
  </si>
  <si>
    <t>FA-OSI-19-110</t>
  </si>
  <si>
    <t>FA-OSI-19-111</t>
  </si>
  <si>
    <t>FA-OSI-19-112</t>
  </si>
  <si>
    <t>FA-OSI-19-113</t>
  </si>
  <si>
    <t>FA-OSI-19-114</t>
  </si>
  <si>
    <t>FA-OSI-19-115</t>
  </si>
  <si>
    <t>EX CARINI</t>
  </si>
  <si>
    <t>DA SILVA
0607959860</t>
  </si>
  <si>
    <t>4 Square Stendhal</t>
  </si>
  <si>
    <t>EX TAGOURLA</t>
  </si>
  <si>
    <t>Cuisine : murs et plafonds
Séjour : mur et sol
Chambre 1 : plafond et sol
Chambre 2 : sol</t>
  </si>
  <si>
    <t>19-0281</t>
  </si>
  <si>
    <t>16h</t>
  </si>
  <si>
    <t>FA-OSI-19-116</t>
  </si>
  <si>
    <t>15/05/2019</t>
  </si>
  <si>
    <t>FA-OSI-19-117</t>
  </si>
  <si>
    <t>FA-OSI-19-118</t>
  </si>
  <si>
    <t>1 rue des Ormes</t>
  </si>
  <si>
    <t>Les Ormes</t>
  </si>
  <si>
    <t>EX Jean</t>
  </si>
  <si>
    <t>19-282</t>
  </si>
  <si>
    <t>19-284</t>
  </si>
  <si>
    <t>Voire avec Barta, commande annulée</t>
  </si>
  <si>
    <t>rue Georges Signac</t>
  </si>
  <si>
    <t>clichy</t>
  </si>
  <si>
    <t>Loge gardien</t>
  </si>
  <si>
    <t>Prélévement avant travaux de la loge : Murs, sol, plafonds, création porte sur rue.</t>
  </si>
  <si>
    <t>Me Schreyeck
0681613638</t>
  </si>
  <si>
    <t>38 rue jean bleuzen</t>
  </si>
  <si>
    <t>Vanves</t>
  </si>
  <si>
    <t>Me Hachem fatima 
0625451335</t>
  </si>
  <si>
    <t>Peinture Mur séjour</t>
  </si>
  <si>
    <t>1 square stendahl</t>
  </si>
  <si>
    <t>Peinture Mur/plafond : cuisine, séjour, 4 chambres, wc et Sdb / sol : cuisine, sejour, 4 chambres, wc et Sdb.</t>
  </si>
  <si>
    <t>9 allée des moissons</t>
  </si>
  <si>
    <t>Toussus le noble</t>
  </si>
  <si>
    <t>demeure des toussus</t>
  </si>
  <si>
    <t>Me verna antonio-
0667240784-
0676782200</t>
  </si>
  <si>
    <t>Peinture Mur/plafond : cuisine, douche,  Sdb / sol : 2 chambres, et Sdb.</t>
  </si>
  <si>
    <t>2 rue de copenhague</t>
  </si>
  <si>
    <t>Elancourt</t>
  </si>
  <si>
    <t>la clé saint pierre</t>
  </si>
  <si>
    <t>M.Tiemelé
06 34 25 70 93</t>
  </si>
  <si>
    <t>Mr tiémélé
 06 34 25 70 93</t>
  </si>
  <si>
    <t>mr Fofana tef 
06 75 75 74 81</t>
  </si>
  <si>
    <t xml:space="preserve">Ass le lien yvelinois
</t>
  </si>
  <si>
    <t>Preparation murs et plafond : séjour, chambre, entrée et dgt / sol : séjour, entrée, dgt.</t>
  </si>
  <si>
    <t>Ex Mr Blay</t>
  </si>
  <si>
    <t>6 avenue carnot</t>
  </si>
  <si>
    <t>place michelet</t>
  </si>
  <si>
    <t>Mme POREBSKI
06 10 64 98 07</t>
  </si>
  <si>
    <t xml:space="preserve">augustin Liliane
06 27 72 22 43
</t>
  </si>
  <si>
    <t>Mise en sécurité du lgt, peinture murs chambre, cuisine/peinture des plafonds : chambre, séjour, entrée, wc et sol chambre</t>
  </si>
  <si>
    <t>19-0287</t>
  </si>
  <si>
    <t>19-0288</t>
  </si>
  <si>
    <t>19-0289</t>
  </si>
  <si>
    <t>19-0290</t>
  </si>
  <si>
    <t>FA-OSI-19-119</t>
  </si>
  <si>
    <t>16/05/2019</t>
  </si>
  <si>
    <t>10 allée de l'ivraie</t>
  </si>
  <si>
    <t>Ex me Vin Chantal</t>
  </si>
  <si>
    <t>Changement Sol : entrée, Dgt, Séjour, chambre 1 et 3</t>
  </si>
  <si>
    <t>16 rue jules Michelet</t>
  </si>
  <si>
    <t>M. BOUCHER
0617119145</t>
  </si>
  <si>
    <t>Guyancourt</t>
  </si>
  <si>
    <t>Latecoere</t>
  </si>
  <si>
    <t>Ex Mr Bediar david</t>
  </si>
  <si>
    <t>Peinture Mur et plafond : Cuicine, Sdb, Sanitaire</t>
  </si>
  <si>
    <t>Mme ABDELLATIF 06,18,88,21,40 M.
01 46 42 51 11 AGBETOR
06 81 67 58 26</t>
  </si>
  <si>
    <t>15h00</t>
  </si>
  <si>
    <t>repond pas</t>
  </si>
  <si>
    <t>2 allée des engrangeurs</t>
  </si>
  <si>
    <t>Mr Lemercier
0632841928
0632841928</t>
  </si>
  <si>
    <t>Peinture Mur et plafond : Cui, Sdb, et Sanitaire</t>
  </si>
  <si>
    <t>benbellout
0616290139</t>
  </si>
  <si>
    <t>Rplts sols :séjour, entrée, dgt, cuisine, 
réfection peinture plafond sejour, Sdb - réfection peinture Murs :SDB, Chambre1 et 2</t>
  </si>
  <si>
    <t>sonner a gay</t>
  </si>
  <si>
    <t>14h00</t>
  </si>
  <si>
    <t>19-0304</t>
  </si>
  <si>
    <t>12 avenue Jean Moulin</t>
  </si>
  <si>
    <t>Achères</t>
  </si>
  <si>
    <t>Lucie Aubrac</t>
  </si>
  <si>
    <t>A22</t>
  </si>
  <si>
    <t xml:space="preserve">M. MPANDY
06 27 96 57 58 </t>
  </si>
  <si>
    <t>19-286</t>
  </si>
  <si>
    <t>9h00</t>
  </si>
  <si>
    <t>rappeler demain matin</t>
  </si>
  <si>
    <t>FA-OSI-19-120</t>
  </si>
  <si>
    <t>22/05/2019</t>
  </si>
  <si>
    <t>Mise en secu elec
Forfait plomberie, gaz et menuiserie
Pièces humides y compris celliers attenants, peinture des plafonds pièces sèches plus boiserie peinture murs chambre, séjour entrée et degt
Evier
Sols cuisine, sdb et wc
(carrelage recouvrement vu avec gardien )</t>
  </si>
  <si>
    <t>19-0312</t>
  </si>
  <si>
    <t>FA-OSI-19-121</t>
  </si>
  <si>
    <t>23/05/2019</t>
  </si>
  <si>
    <t>FA-OSI-19-122</t>
  </si>
  <si>
    <t>FA-OSI-19-123</t>
  </si>
  <si>
    <t>15 h</t>
  </si>
  <si>
    <t>5 rue Pau Casals</t>
  </si>
  <si>
    <t>Bargiarelli
0644740455</t>
  </si>
  <si>
    <t>Peintures murs et plafond séjour, chambre, entrée</t>
  </si>
  <si>
    <t>Mme SILVA
06 07 95 98 60</t>
  </si>
  <si>
    <t>44 bis  rue Henri Barbusse</t>
  </si>
  <si>
    <t>Limeil Brévannes</t>
  </si>
  <si>
    <t>Henri barbusse</t>
  </si>
  <si>
    <t>EX BELLAY</t>
  </si>
  <si>
    <t>Peintures murs et plafonds de tout l'appartement
Rplct sols de tout l'appartement
Rplct baignoire + évier</t>
  </si>
  <si>
    <t>19-319</t>
  </si>
  <si>
    <t>19-320</t>
  </si>
  <si>
    <t>19-321</t>
  </si>
  <si>
    <t>35 rue de la resistance</t>
  </si>
  <si>
    <t>le chesnay</t>
  </si>
  <si>
    <t xml:space="preserve">ex dougovo </t>
  </si>
  <si>
    <t>peinture plafond :séjour, peinture mur: cuisine entrée dégagement chambre 2, sol: 2 chambres sanitaire</t>
  </si>
  <si>
    <t>Ex coulibaly</t>
  </si>
  <si>
    <t>Peinture mur et plafond: Cuisine Peinture mur : Sdb</t>
  </si>
  <si>
    <t>FA-OSI-19-124</t>
  </si>
  <si>
    <t>27/05/2019</t>
  </si>
  <si>
    <t>FA-OSI-19-125</t>
  </si>
  <si>
    <t>FA-OSI-19-126</t>
  </si>
  <si>
    <t>28/05/2019</t>
  </si>
  <si>
    <t>Peintures murs et plafonds : cuisine, sdb, wc, séjour, chambre, entrée, degt
Rplct sol : cuisine, ,degt, chambre 1
Rplct baignoire</t>
  </si>
  <si>
    <t>Peintures murs et plafonds pièces humides et pièces sèches,Remplacement sols:cuisine, Sdb, Chambre, Dgt</t>
  </si>
  <si>
    <t>5 Allée de la sirène</t>
  </si>
  <si>
    <t>villa canaletto</t>
  </si>
  <si>
    <t>Mme 
Pochot 
0616302850</t>
  </si>
  <si>
    <t>Remplacement faience cuisine</t>
  </si>
  <si>
    <t>24 place michelet</t>
  </si>
  <si>
    <t>Mne nicolai
0139143483</t>
  </si>
  <si>
    <t>Mise en sécu élec, Peinture des murs séjour et dégagement, Peinture plafonds Séjour, dégagement et chambre, sols séjour et dégagement</t>
  </si>
  <si>
    <t>Mme RIBEIRO 07,77,86,91,62</t>
  </si>
  <si>
    <t>Rappelle gardienne pour confirmer RV</t>
  </si>
  <si>
    <t>Blocage jusquà fin de ramadan</t>
  </si>
  <si>
    <t>ne répond pas (absente)</t>
  </si>
  <si>
    <t>19-0335</t>
  </si>
  <si>
    <t>Ne repond pas</t>
  </si>
  <si>
    <t>Blocace jusqu’au 3 juin inclus</t>
  </si>
  <si>
    <t>19-285
19-336</t>
  </si>
  <si>
    <t>Ex grogeanne</t>
  </si>
  <si>
    <t>clef 18 ledru rollin</t>
  </si>
  <si>
    <t>19-344</t>
  </si>
  <si>
    <t>19-346</t>
  </si>
  <si>
    <t>19-347</t>
  </si>
  <si>
    <t>19-348</t>
  </si>
  <si>
    <t>19-0305
19-0349</t>
  </si>
  <si>
    <t>19-350</t>
  </si>
  <si>
    <t>19-351</t>
  </si>
  <si>
    <t>FA-OSI-19-127</t>
  </si>
  <si>
    <t>04/06/2019</t>
  </si>
  <si>
    <t>FA-OSI-19-128</t>
  </si>
  <si>
    <t>FA-OSI-19-129</t>
  </si>
  <si>
    <t>FA-OSI-19-130</t>
  </si>
  <si>
    <t>FA-OSI-19-131</t>
  </si>
  <si>
    <t>FA-OSI-19-132</t>
  </si>
  <si>
    <t>FA-OSI-19-133</t>
  </si>
  <si>
    <t>FA-OSI-19-134</t>
  </si>
  <si>
    <t>FA-OSI-19-135</t>
  </si>
  <si>
    <t>FA-OSI-19-136</t>
  </si>
  <si>
    <t>FA-OSI-19-137</t>
  </si>
  <si>
    <t>3 square Stendhal</t>
  </si>
  <si>
    <t>square stendhal</t>
  </si>
  <si>
    <t>2 square Stendhal</t>
  </si>
  <si>
    <t>Me sadouki
07 60 47 45 72</t>
  </si>
  <si>
    <t>ExMe Dodouche</t>
  </si>
  <si>
    <t>ensemble des piéces : sol/Mur et plafond</t>
  </si>
  <si>
    <t>Ex M Dufresne</t>
  </si>
  <si>
    <t>Peinture entoilage sur murs et plafonds du logement</t>
  </si>
  <si>
    <t>19-354</t>
  </si>
  <si>
    <t>19-355</t>
  </si>
  <si>
    <t>19-359</t>
  </si>
  <si>
    <t>19-360</t>
  </si>
  <si>
    <t>Peinture murs et plafonds du logement, Roai flexible et mise en sécurité electrique Supplément travaux: Sols 1 chambre/ cuisine</t>
  </si>
  <si>
    <t>19-283
19-361</t>
  </si>
  <si>
    <t>6 rue pierre Degeyter</t>
  </si>
  <si>
    <t>Les garennes</t>
  </si>
  <si>
    <t>Ex Mr Ponset</t>
  </si>
  <si>
    <t>Cuisine : peinture mur et plafond, rplt sol/ Chambre : peinture plafond</t>
  </si>
  <si>
    <t>Ex Me Monnier</t>
  </si>
  <si>
    <t>Séjour : Plafond et sol / Entrée : Plafond / Dgt : Plafond / SDB : Mur, plafond et sol.</t>
  </si>
  <si>
    <t>FA-OSI-19-138</t>
  </si>
  <si>
    <t>11/06/2019</t>
  </si>
  <si>
    <t>FA-OSI-19-139</t>
  </si>
  <si>
    <t>31 rue Saussure</t>
  </si>
  <si>
    <t>EX LUCANI</t>
  </si>
  <si>
    <t>Peintures plafond sdb et peintures murs cuisine</t>
  </si>
  <si>
    <t>75 rue des Bons raisins</t>
  </si>
  <si>
    <t>EX Barret</t>
  </si>
  <si>
    <t>Peintures murs et plafond cuisine, séjour
Enduit plafond du logement</t>
  </si>
  <si>
    <t>15 rue Lea Maury</t>
  </si>
  <si>
    <t>EX LEPAGE</t>
  </si>
  <si>
    <t>Peintures murs et plafonds de tout l'appartement
Rplct de tous les sols</t>
  </si>
  <si>
    <t>Cuisine : Rplt sol, peinture mur et plafond, Sejour : rplt sol, sdb : Mur et plafond, Ch1 Mur et plafond</t>
  </si>
  <si>
    <t>06 12 64 18 84</t>
  </si>
  <si>
    <t>16 h</t>
  </si>
  <si>
    <t>9 h 30</t>
  </si>
  <si>
    <t>13 allée de l'Ivraie</t>
  </si>
  <si>
    <t>DE l'ivraie</t>
  </si>
  <si>
    <t>EX MERIGOUT</t>
  </si>
  <si>
    <t>Entrée et degt : mur et plafond
Séjour : mur, plafond et sol
Chambre 2 : mur et plafond</t>
  </si>
  <si>
    <t>19-369</t>
  </si>
  <si>
    <t>19-370</t>
  </si>
  <si>
    <t>19-371</t>
  </si>
  <si>
    <t>Murs pièces sèches+ Murs pièces humides - complet ensemble des piéces des murs</t>
  </si>
  <si>
    <t>Me Thouement 
06-20-97-41-02</t>
  </si>
  <si>
    <t>10 h 30</t>
  </si>
  <si>
    <t>Peintures murs et plafonds degt, sdb, Wc, cuisine, entrée et mise en sécurité + murs et plafonds séjour et chambres , Sol cuisine</t>
  </si>
  <si>
    <t>19-343
19-382</t>
  </si>
  <si>
    <t>19-379</t>
  </si>
  <si>
    <t>19-380</t>
  </si>
  <si>
    <t>19-377</t>
  </si>
  <si>
    <t>19-384</t>
  </si>
  <si>
    <t>19-385</t>
  </si>
  <si>
    <t>ex moussaceb</t>
  </si>
  <si>
    <t>Ex Zephir</t>
  </si>
  <si>
    <t>Barre de seuil cuisine</t>
  </si>
  <si>
    <t>3 rue claude debussy</t>
  </si>
  <si>
    <t>Ex Sylva</t>
  </si>
  <si>
    <t>murs et plafonds peinture: Cuisine, SDB, Dgt Préparation murs: Séjourr, chambre 1 et 2, Sol: cuisine et Ch 3</t>
  </si>
  <si>
    <t>Mle traore
0629831728</t>
  </si>
  <si>
    <t>Réfection installation élec+ remplacement ROAI +Peinture murs et plafonds Cuisine, Sdb, Séjour, chambre</t>
  </si>
  <si>
    <t>10 allée des coquelicots</t>
  </si>
  <si>
    <t>Ex da Fonseca</t>
  </si>
  <si>
    <t xml:space="preserve">Réfection instalation élec+ remplacement ROAI+ peinture murs et plafonds de tout le logement + démolition du coffrage dans l'entrée + remplacement du sol en recouvrement dans chambre 2, Sdb, Cuisine, WC </t>
  </si>
  <si>
    <t>Ex Rocha</t>
  </si>
  <si>
    <t>Réfection instalation élec + remplacement du ROAI +peinture murs et plafonds de tout le logement</t>
  </si>
  <si>
    <t>52 allée des capucines</t>
  </si>
  <si>
    <r>
      <t xml:space="preserve">"Mr  Camara 
06 19 66 75 68 - 
M. BOUBOO
07 77 38 07 52 Mr bendiaff
 06 50 12 10 97 Mr </t>
    </r>
    <r>
      <rPr>
        <sz val="9"/>
        <color rgb="FFFF0000"/>
        <rFont val="Calibri"/>
        <family val="2"/>
        <scheme val="minor"/>
      </rPr>
      <t xml:space="preserve">Bacconnet
06 12 89 24 53 </t>
    </r>
    <r>
      <rPr>
        <sz val="9"/>
        <color theme="1"/>
        <rFont val="Calibri"/>
        <family val="2"/>
        <scheme val="minor"/>
      </rPr>
      <t xml:space="preserve"> bureau 
01 39 22 97 41</t>
    </r>
    <r>
      <rPr>
        <sz val="11"/>
        <color theme="1"/>
        <rFont val="Calibri"/>
        <family val="2"/>
        <scheme val="minor"/>
      </rPr>
      <t/>
    </r>
  </si>
  <si>
    <t>Ex Boubou</t>
  </si>
  <si>
    <t>60 Allée des dalhias</t>
  </si>
  <si>
    <t xml:space="preserve">Ex Liman </t>
  </si>
  <si>
    <t>réfection installation élec + remplacement ROAI + murs en peinture : entrée, Chambre 2 et 3 +Murs et plafonds cuisine</t>
  </si>
  <si>
    <t>réfection installation élec+ remplacement ROAI +tous les plafonds en peinture du logement + Murs en peinture Sdb, Cuisine , WC + Sol en recouvrement de la cuisine</t>
  </si>
  <si>
    <t>Mne Chane
06 01 97 56 70</t>
  </si>
  <si>
    <t>mise en sécurité élec, Peinture plafonds ensemble appart, peinture murs cuisine et Sdb, ROAI</t>
  </si>
  <si>
    <t>Ex chachoua</t>
  </si>
  <si>
    <t>mise en sécurité, forfait plomberie, forfait gaz, Peinture murs et plafonds cuisine, séjour</t>
  </si>
  <si>
    <t>possibilité
 vendredi
21</t>
  </si>
  <si>
    <t>FA-OSI-19-140</t>
  </si>
  <si>
    <t>18/06/2019</t>
  </si>
  <si>
    <t>FA-OSI-19-141</t>
  </si>
  <si>
    <t>FA-OSI-19-142</t>
  </si>
  <si>
    <t>FA-OSI-19-143</t>
  </si>
  <si>
    <t>FA-OSI-19-144</t>
  </si>
  <si>
    <t>19-387</t>
  </si>
  <si>
    <t>19-388</t>
  </si>
  <si>
    <t>19-389</t>
  </si>
  <si>
    <t>19-390</t>
  </si>
  <si>
    <t>19-391</t>
  </si>
  <si>
    <t>75 rue des bons raisons</t>
  </si>
  <si>
    <t>Ex Ciotola</t>
  </si>
  <si>
    <t>Peinture murs cuisine</t>
  </si>
  <si>
    <t>vernouillet</t>
  </si>
  <si>
    <t>ex youssouf</t>
  </si>
  <si>
    <t>réfectiion installation élec+ remplacement ROAI +Peinture murs et plafonds du logement</t>
  </si>
  <si>
    <t>8 chemin des écoliers</t>
  </si>
  <si>
    <t>Ex jeanty</t>
  </si>
  <si>
    <t>réfection électrique + remplacement ROAI +peinture des murs dfes chambres et cuisine + peinture plafond cuisine + recouvrement sol des deux chambres</t>
  </si>
  <si>
    <t>3 Place Louis Durey</t>
  </si>
  <si>
    <t>EX RICHARD</t>
  </si>
  <si>
    <t>Cuisine et SDB : Mur et plafond</t>
  </si>
  <si>
    <t>7 avenue Gaston boissier</t>
  </si>
  <si>
    <t>Mur, plafond et sol de toutes les pièces
Faience lavabo  sdb
Changement évier et faience</t>
  </si>
  <si>
    <t>M. RICHY
0667415191</t>
  </si>
  <si>
    <t>Dégt : plafond et sol
Séjour : sol</t>
  </si>
  <si>
    <t>19-392</t>
  </si>
  <si>
    <t>19-393</t>
  </si>
  <si>
    <t>19-394</t>
  </si>
  <si>
    <t>DAT+GAZ et CREP</t>
  </si>
  <si>
    <t>19-397</t>
  </si>
  <si>
    <t>19-398</t>
  </si>
  <si>
    <r>
      <t>GALLOIS/</t>
    </r>
    <r>
      <rPr>
        <sz val="9"/>
        <color rgb="FFFF0000"/>
        <rFont val="Calibri"/>
        <family val="2"/>
        <scheme val="minor"/>
      </rPr>
      <t>LECOQ</t>
    </r>
    <r>
      <rPr>
        <sz val="9"/>
        <color theme="1"/>
        <rFont val="Calibri"/>
        <family val="2"/>
        <scheme val="minor"/>
      </rPr>
      <t xml:space="preserve">
</t>
    </r>
    <r>
      <rPr>
        <sz val="9"/>
        <color rgb="FFFF0000"/>
        <rFont val="Calibri"/>
        <family val="2"/>
        <scheme val="minor"/>
      </rPr>
      <t xml:space="preserve">06 50 49 52 53 </t>
    </r>
    <r>
      <rPr>
        <sz val="9"/>
        <color theme="1"/>
        <rFont val="Calibri"/>
        <family val="2"/>
        <scheme val="minor"/>
      </rPr>
      <t>/  06-13-63-18-00                               
appeler mr Gallois</t>
    </r>
  </si>
  <si>
    <t>Mr Camara                                       
06 27 18 38 70</t>
  </si>
  <si>
    <t>a partir 1 juillety</t>
  </si>
  <si>
    <t>bloqué jusqu'au 1 juillet</t>
  </si>
  <si>
    <t>FA-OSI-19-145</t>
  </si>
  <si>
    <t>FA-OSI-19-146</t>
  </si>
  <si>
    <t>FA-OSI-19-147</t>
  </si>
  <si>
    <t>19-402</t>
  </si>
  <si>
    <t>19-403</t>
  </si>
  <si>
    <t>19-404</t>
  </si>
  <si>
    <t>71 allée des hortensias</t>
  </si>
  <si>
    <t>ex Fucina</t>
  </si>
  <si>
    <t>Réfection élec du log+remplmacement ROAI+Peinture mur et plafond de la cuisine, Sdb, WC, Séjour, 2 Chambres + Démolition cloison entrze le séjour et Ch 1+ recouvrement du sol Sdb+ Remplacement baignoire</t>
  </si>
  <si>
    <t>68 allée des hortensias</t>
  </si>
  <si>
    <t>Ex pinto</t>
  </si>
  <si>
    <t>réfection installation élec+ remplacement ROAI+ peinture mur et plafond de toutes pièces du logement+démolition cloison entre séjour et Ch1+remplacement meuble évier+recouvrement  sol cuisine</t>
  </si>
  <si>
    <t>Mne Bacoudou
06 56 82 20 49</t>
  </si>
  <si>
    <t>réfection élec du logement +remplacement ROAI+ Peinture mur et plafond : séjour, dégagement, entrée, cuisine, chambre 1 et 2</t>
  </si>
  <si>
    <t>Ex ponset</t>
  </si>
  <si>
    <t>Dépose cheminée</t>
  </si>
  <si>
    <t>72 ter Avenue du marechal Foch</t>
  </si>
  <si>
    <t xml:space="preserve">mr  Héron
01 46 61 60 64                                </t>
  </si>
  <si>
    <t>peinture murs et plafonds: cuisine, Sdb, Chambre Peinture plafond: sèjour</t>
  </si>
  <si>
    <t>26/06/2019</t>
  </si>
  <si>
    <t>BENAMARA</t>
  </si>
  <si>
    <t>FA-OSI-19-148</t>
  </si>
  <si>
    <t>19-405</t>
  </si>
  <si>
    <t>19-406</t>
  </si>
  <si>
    <t>19-407</t>
  </si>
  <si>
    <t>19-409</t>
  </si>
  <si>
    <t>RRA/A et B+DAT</t>
  </si>
  <si>
    <t>FA-OSI-19-149</t>
  </si>
  <si>
    <t>27/06/2019</t>
  </si>
  <si>
    <t>FA-OSI-19-150</t>
  </si>
  <si>
    <t>FA-OSI-19-151</t>
  </si>
  <si>
    <t>FA-OSI-19-152</t>
  </si>
  <si>
    <t>FA-OSI-19-153</t>
  </si>
  <si>
    <t>FA-OSI-19-154</t>
  </si>
  <si>
    <t>FA-OSI-19-155</t>
  </si>
  <si>
    <t>FA-OSI-19-156</t>
  </si>
  <si>
    <t>FA-OSI-19-157</t>
  </si>
  <si>
    <t>FA-OSI-19-158</t>
  </si>
  <si>
    <t>FA-OSI-19-159</t>
  </si>
  <si>
    <t>mr osmani 0650272577</t>
  </si>
  <si>
    <t>Barre de seuil cuisine, peinture plafond sanitaire</t>
  </si>
  <si>
    <t>5 Chemin des écoliers</t>
  </si>
  <si>
    <t>mr Kayombo 0651216331</t>
  </si>
  <si>
    <t>réfection installation élec +Remplacement ROAI+ Peinture murs de : Entrée, DGT, Cuisine, chambnre 2  + peionture plafond de la cuisine + Recouvrement des sols : Cuisine, chambre 1 et 2</t>
  </si>
  <si>
    <t>1 chemin des écoliers</t>
  </si>
  <si>
    <t xml:space="preserve">mne Doan van Phe 0602327651
</t>
  </si>
  <si>
    <t>révision élec de tout le log+ remplacement ROAI +Peinture mur : séjour, entrée, dgt</t>
  </si>
  <si>
    <t>FA-OSI-19-160</t>
  </si>
  <si>
    <t>02/07/2019</t>
  </si>
  <si>
    <t>FA-OSI-19-161</t>
  </si>
  <si>
    <t>FA-OSI-19-162</t>
  </si>
  <si>
    <t>FA-OSI-19-163</t>
  </si>
  <si>
    <t>19-381
19-415</t>
  </si>
  <si>
    <t>19-337
19-378
19-416</t>
  </si>
  <si>
    <t>51 rue hoche</t>
  </si>
  <si>
    <t>Ex me Felix</t>
  </si>
  <si>
    <t>Forfait plomberie, forfait menuiserie, forfait gaz, peinture dans l'ensemble des piéces et reprise des sols, meuble sous évier, baignoire plus tablier, wc complet, fenêtre pvc 2 vantaux</t>
  </si>
  <si>
    <t>11 rue georges seurat</t>
  </si>
  <si>
    <t>Peinture murs et plafons piéces humides, peinture plafond pièces séches</t>
  </si>
  <si>
    <t>Ex benhayoun</t>
  </si>
  <si>
    <t>Ex Doucoure</t>
  </si>
  <si>
    <t>voire confirmation sur prog travaux</t>
  </si>
  <si>
    <t>Peinture murs et plafons piéces humides+ séches, remplacement sols de tout l'apartement, remplacement faïence baignoire</t>
  </si>
  <si>
    <t>9 rue jean Walter</t>
  </si>
  <si>
    <t>Ex Me Dupre</t>
  </si>
  <si>
    <t>Peinture murs et plafons piéces humides+ peinture plafonds pièces séches, préparation murs séjour.</t>
  </si>
  <si>
    <t>Ex Delay Daniel</t>
  </si>
  <si>
    <t>DAT+GAZ+CREP</t>
  </si>
  <si>
    <t>Peinture murs et plafonds de tout l'appartement, remplacement sols de tout l'appartement, remplacement évier + baignoire</t>
  </si>
  <si>
    <t>18 square du Mantois</t>
  </si>
  <si>
    <t>jacquard arago</t>
  </si>
  <si>
    <t>Ex Lapierre Muriel</t>
  </si>
  <si>
    <t>Peinture Murs : entrée, dégagement, peinture plafond : cuisine, ch1 et 2, sols :  Ch 2, peinture mur séjour.</t>
  </si>
  <si>
    <t>30 rue jean Tremoulet</t>
  </si>
  <si>
    <t>Ex Mle Boussiengue</t>
  </si>
  <si>
    <t>Peinture murs et plafonds de tout l'appartement, remplacement sols de tout l'appartement, remplacement  baignoire + faïence cuisine et SDB</t>
  </si>
  <si>
    <t>FA-OSI-19-164</t>
  </si>
  <si>
    <t>03/07/2019</t>
  </si>
  <si>
    <t>FA-OSI-19-165</t>
  </si>
  <si>
    <t>FA-OSI-19-166</t>
  </si>
  <si>
    <t>Avant 11h</t>
  </si>
  <si>
    <t>EX cAGLAR</t>
  </si>
  <si>
    <t>Réfection de tt l'install elec
Rplct ROAI
Recouvrement sol Ch 1, sdb, séjour, entrée
Peinture de tous les plafonds
Peintures murs Ch 1, Ch 2, degt, séjour, entrée
Rplct de la colonne lavabo</t>
  </si>
  <si>
    <t>M. BARRADAS
0644811187</t>
  </si>
  <si>
    <t>Réfection de tt l'install elec
Rplct ROAI
Peinture de tous les plafonds du logement
Peinture murs séjour</t>
  </si>
  <si>
    <t>17 allée des Epines</t>
  </si>
  <si>
    <t>Les épines</t>
  </si>
  <si>
    <t>EX RAHMAN</t>
  </si>
  <si>
    <t>Mme GAMBE
0610649695</t>
  </si>
  <si>
    <t>Murs : les 3 chambres et entrée
Sol : Chambres 1 et 2, séjour</t>
  </si>
  <si>
    <t>Peintures murs et plafonds pièces+ humides et séjour
Peintures plafonds pièces sèches
Rplct de sol entrée, cuisine, sanitaire et sdb</t>
  </si>
  <si>
    <t>EX NSINGANI</t>
  </si>
  <si>
    <t>Mise een sécu elec, forfait plomberie
Forfauit Gaz et menuiserie
Peinture murs et plafonds ensemble des pièces et reprise des sols</t>
  </si>
  <si>
    <t>8 avenue Jean Moulin</t>
  </si>
  <si>
    <t>B23</t>
  </si>
  <si>
    <t>EX DRISSI</t>
  </si>
  <si>
    <t>-</t>
  </si>
  <si>
    <t>Peinture murs et plafonds: séjour + cuisine, chambre,  mur entrée,</t>
  </si>
  <si>
    <t>FA-OSI-19-167</t>
  </si>
  <si>
    <t>05/07/2019</t>
  </si>
  <si>
    <t>FA-OSI-19-168</t>
  </si>
  <si>
    <t>27 rue du 8 mai 1945</t>
  </si>
  <si>
    <t>Mme Meirland 
06-10-64-97-20</t>
  </si>
  <si>
    <t>Ex Mraymond</t>
  </si>
  <si>
    <t>Forfait plomberie, forfait menuiserie, forfait gaz, peinture dans l'ensemble des piéces et reprise des sols</t>
  </si>
  <si>
    <t>19-422</t>
  </si>
  <si>
    <t>19-424</t>
  </si>
  <si>
    <t>19-425</t>
  </si>
  <si>
    <t>19-427</t>
  </si>
  <si>
    <t>19-428</t>
  </si>
  <si>
    <t>19-429</t>
  </si>
  <si>
    <t>19-430</t>
  </si>
  <si>
    <t>19-431</t>
  </si>
  <si>
    <t>3 square des gaudonnes</t>
  </si>
  <si>
    <t>Hauts de buzenval</t>
  </si>
  <si>
    <t>Peinture Murs, cuisine,Sdb, sanitaire</t>
  </si>
  <si>
    <t>7 square des gaudonnes</t>
  </si>
  <si>
    <t>Mr Piette- Me Bellon - 0668194753</t>
  </si>
  <si>
    <t>Me Badie-0608127748</t>
  </si>
  <si>
    <t>Square henri 4</t>
  </si>
  <si>
    <t>Ex Pautrat Guylene</t>
  </si>
  <si>
    <t>Peinture mur et plafond, entrée, escalier et 2 couloirs. Peinture plafond : séjour, Ch1 et 2. Mur Préparation : 3 chambres/séjour. Sols : 3 chambres/séjour, entrée, dégagement.</t>
  </si>
  <si>
    <t>2rue Maryse Bastie</t>
  </si>
  <si>
    <t>Mercure</t>
  </si>
  <si>
    <t>Ex-Mendes</t>
  </si>
  <si>
    <t>Peinture murs et pladond ensemble des piéces, remplacement baignoire et faïence du lavabo, de la sdb, rplacement évier et faiënce cuisine.</t>
  </si>
  <si>
    <t>FA-OSI-19-169</t>
  </si>
  <si>
    <t>08/07/2019</t>
  </si>
  <si>
    <t>Appelle avant midi</t>
  </si>
  <si>
    <t>FA-OSI-19-170</t>
  </si>
  <si>
    <t>10/07/2019</t>
  </si>
  <si>
    <t>FA-OSI-19-171</t>
  </si>
  <si>
    <t>FA-OSI-19-172</t>
  </si>
  <si>
    <t>FA-OSI-19-173</t>
  </si>
  <si>
    <t>FA-OSI-19-174</t>
  </si>
  <si>
    <t>FA-OSI-19-175</t>
  </si>
  <si>
    <t>25 place levau</t>
  </si>
  <si>
    <t>Ex Perron</t>
  </si>
  <si>
    <t>Remplacement sol séjour, peinture murs et plafonds sdb</t>
  </si>
  <si>
    <t>DAT+GAZ+crep</t>
  </si>
  <si>
    <t>passer au taratres
0664091573</t>
  </si>
  <si>
    <t>à partir de 15h</t>
  </si>
  <si>
    <t>19-0435</t>
  </si>
  <si>
    <t>19-0440</t>
  </si>
  <si>
    <t>19-0441</t>
  </si>
  <si>
    <t>19-0442</t>
  </si>
  <si>
    <t>19-0443</t>
  </si>
  <si>
    <t>19-0444</t>
  </si>
  <si>
    <t>Peinture Murs, plafonds,Sdb, Peinture murs cuisine.</t>
  </si>
  <si>
    <t>19-445</t>
  </si>
  <si>
    <t>19-446</t>
  </si>
  <si>
    <t>REPOND PAS</t>
  </si>
  <si>
    <t>8 rue JJ rousseau</t>
  </si>
  <si>
    <t>Ex diawara</t>
  </si>
  <si>
    <t>Peinture plafonds : SDB, Cuisine, Wc, Chambre, porte sols : cuisine</t>
  </si>
  <si>
    <t>22 rue des Giroflées</t>
  </si>
  <si>
    <t>ex Me Hotte</t>
  </si>
  <si>
    <t>Peinture : Cuisine, wc, sdb, séjour, chambre, entrée, dégagement</t>
  </si>
  <si>
    <t>14 rue JJ rousseau</t>
  </si>
  <si>
    <t>Ex Dombasi</t>
  </si>
  <si>
    <t>18 rue jean de la fontaine</t>
  </si>
  <si>
    <t>Changement des sols : chambre, Sdb, peinture : chambre et porte</t>
  </si>
  <si>
    <t>2 rue jean de la fontaine</t>
  </si>
  <si>
    <t>Ex Dembele</t>
  </si>
  <si>
    <t>Peintures : chambre, petit DGT</t>
  </si>
  <si>
    <t>Ex Konate</t>
  </si>
  <si>
    <t>Ex Me Loquet</t>
  </si>
  <si>
    <t>Ex Me Hotte</t>
  </si>
  <si>
    <t>19-0426</t>
  </si>
  <si>
    <t xml:space="preserve"> 9 rue F.Ferrer </t>
  </si>
  <si>
    <t>Mr Najjari
0604526991</t>
  </si>
  <si>
    <t>préparation des murs séjour, 4 chambres, entrée, dgt.</t>
  </si>
  <si>
    <t>Mr Richefeu 
0658132395</t>
  </si>
  <si>
    <t>Joint baignoire, peinture murs et plafonds ensemble du lgt, mise en sécurité electric, meuble sous évier</t>
  </si>
  <si>
    <r>
      <t xml:space="preserve">Mr Camara                                       
06 27 18 38 70
</t>
    </r>
    <r>
      <rPr>
        <sz val="9"/>
        <color rgb="FFFF0000"/>
        <rFont val="Calibri"/>
        <family val="2"/>
        <scheme val="minor"/>
      </rPr>
      <t>mRAMON 062602879</t>
    </r>
    <r>
      <rPr>
        <sz val="9"/>
        <color theme="1"/>
        <rFont val="Calibri"/>
        <family val="2"/>
        <scheme val="minor"/>
      </rPr>
      <t>0</t>
    </r>
  </si>
  <si>
    <t>07.77.86.91.61</t>
  </si>
  <si>
    <t>Tezenas 07.77.86.91.61</t>
  </si>
  <si>
    <t>1 rue françois Arago</t>
  </si>
  <si>
    <t>1 rue hector berlioz</t>
  </si>
  <si>
    <t>ex oumensour</t>
  </si>
  <si>
    <t>Ex Rousseau</t>
  </si>
  <si>
    <t>Peinture murs et plafonds tout le log + Sol cuisine et sanitaire</t>
  </si>
  <si>
    <t>30 allée des volubilis</t>
  </si>
  <si>
    <t>me OULD
 06 11 93 93 23</t>
  </si>
  <si>
    <t>Verification Electrique, +rplt ROAI, peinture de tous les plafonds + peinture murs de la SDB/Cuisine/WC/Ch 1 proche salon+ démolition cloison entre séjour etr ch1</t>
  </si>
  <si>
    <t>29 allée des volubilis</t>
  </si>
  <si>
    <t>Me Elong
Tel a confimer</t>
  </si>
  <si>
    <t>Verification Electrique, +rplt ROAI, peinture de tous les plafonds + peinture murs de la SDB/Cuisine/WC/des 3 chambres/séjour/ de l'entrée et du DGT. Recouvrement des sols de l'entrée/ dgt/cuisine/ /Sdb/séjour/Ch1 proche séjour/rplt meuble sous évier cuisine/rplt colonne lavabo.</t>
  </si>
  <si>
    <t>28 allée des volubilis</t>
  </si>
  <si>
    <r>
      <t xml:space="preserve">"Mr  Camara 
06 19 66 75 68 - 
M. BOUBOO
07 77 38 07 52 Mr bendiaff
 06 50 12 10 97 Mr </t>
    </r>
    <r>
      <rPr>
        <sz val="9"/>
        <color rgb="FFFF0000"/>
        <rFont val="Calibri"/>
        <family val="2"/>
        <scheme val="minor"/>
      </rPr>
      <t xml:space="preserve">Bacconnet
06 12 89 24 53 </t>
    </r>
    <r>
      <rPr>
        <sz val="9"/>
        <color theme="1"/>
        <rFont val="Calibri"/>
        <family val="2"/>
        <scheme val="minor"/>
      </rPr>
      <t xml:space="preserve"> bureau 
01 39 22 97 41</t>
    </r>
  </si>
  <si>
    <t>Mr Richeard
0603901587</t>
  </si>
  <si>
    <t>21 allées des épines</t>
  </si>
  <si>
    <t>Ex Sall</t>
  </si>
  <si>
    <t>square stendahl</t>
  </si>
  <si>
    <t>Ex Lopes-gomes</t>
  </si>
  <si>
    <t>Peinture Murs et plafonds : Cuisine, Sdb, Wc / sol : Ch1 / Changement Baignoire et évier</t>
  </si>
  <si>
    <t>3 rue pau casals</t>
  </si>
  <si>
    <t>Ex Mr Chalier</t>
  </si>
  <si>
    <t>Peinture Murs et plafonds : Cuisine, Sdb, Séjour, Chambre et entrée.</t>
  </si>
  <si>
    <t>Me Sibide 
0781217779</t>
  </si>
  <si>
    <t>Travaux suite incendie : peinture murs et plafond cuisine + séjour + couloir - Rplt sols cuisine+séjour+couloir</t>
  </si>
  <si>
    <t>124 rue alexandre fourny</t>
  </si>
  <si>
    <t>SDB : remplacement faïence + peinture plafond &amp; mur.</t>
  </si>
  <si>
    <t>Peinture murs et plafond  : séjour + sol, DEG. : Mur
ENTREE : sol</t>
  </si>
  <si>
    <t>7 rue pau casals</t>
  </si>
  <si>
    <t>Ex boualam</t>
  </si>
  <si>
    <t>Peinture murs et plafonds Sdb</t>
  </si>
  <si>
    <t>Preparation murs Ch2 /Ch1 , peinture murs : séjour et Dgt et cellier/ F et P revet sol PVC Cuisine, SDb, Sanitaire, Débarras</t>
  </si>
  <si>
    <t>19-452</t>
  </si>
  <si>
    <t>19-453</t>
  </si>
  <si>
    <t>19-454</t>
  </si>
  <si>
    <t>19-455</t>
  </si>
  <si>
    <t>Ex Malorey</t>
  </si>
  <si>
    <t>SOLS : CH 1 et cellier entre salon et dgt ( moquette ) peinture mur plafond : celier/dgt peinture plafond sejour &amp; salon</t>
  </si>
  <si>
    <t xml:space="preserve">Ex Ouadfel </t>
  </si>
  <si>
    <t>peintures murs et plafonds sdb+sanitaire+cuisine</t>
  </si>
  <si>
    <t>42 rue des berges</t>
  </si>
  <si>
    <t>EX Fall Yacine</t>
  </si>
  <si>
    <t>sol : 3 chambres , escalier , dgt , mur ,  plafond : sdb , 3 chambres , baignoire</t>
  </si>
  <si>
    <t>3 TER rue du val content</t>
  </si>
  <si>
    <t>Ex Bidiouane</t>
  </si>
  <si>
    <t>Bloqué jusqu'au 30 Juillet</t>
  </si>
  <si>
    <t>1 allee de la sirene</t>
  </si>
  <si>
    <t>creteil</t>
  </si>
  <si>
    <t>Saou Akli</t>
  </si>
  <si>
    <t xml:space="preserve">peinture mur &amp; plafond cuisine , sdb , wc , remplacement sols sdb , wc , chambre remplacement baignoire </t>
  </si>
  <si>
    <t>19-459</t>
  </si>
  <si>
    <t>19-458</t>
  </si>
  <si>
    <t>19-457</t>
  </si>
  <si>
    <t>19-461</t>
  </si>
  <si>
    <t>19-462</t>
  </si>
  <si>
    <t>19-423
19-432</t>
  </si>
  <si>
    <t>FA-OSI-19-176</t>
  </si>
  <si>
    <t>22/07/2019</t>
  </si>
  <si>
    <t>FA-OSI-19-177</t>
  </si>
  <si>
    <t>FA-OSI-19-178</t>
  </si>
  <si>
    <t>FA-OSI-19-179</t>
  </si>
  <si>
    <t>FA-OSI-19-180</t>
  </si>
  <si>
    <t>FA-OSI-19-181</t>
  </si>
  <si>
    <t xml:space="preserve"> </t>
  </si>
  <si>
    <t>165 rue petit leroy</t>
  </si>
  <si>
    <t>Mr LEGER 06 82 83 86 93</t>
  </si>
  <si>
    <t>Ex Jarnac</t>
  </si>
  <si>
    <t>Ex bordet</t>
  </si>
  <si>
    <t>57 rue hoche</t>
  </si>
  <si>
    <t>Ex Fournier Mathe</t>
  </si>
  <si>
    <t>mise en peinture plafond sdb sejour mise en securité</t>
  </si>
  <si>
    <t>3 rue lea maury</t>
  </si>
  <si>
    <t>M. COTTIN : 06 12 64 18 84</t>
  </si>
  <si>
    <t xml:space="preserve">Ex dupont </t>
  </si>
  <si>
    <t>peinture mur plafond piece humide peinture plafond piece seche preparation mur sejour + entrée + chambre 1</t>
  </si>
  <si>
    <t>16 av de la republique</t>
  </si>
  <si>
    <t>Ex landolfini</t>
  </si>
  <si>
    <t>remplacement sols sejour + cuisine peinture mur plafond cuisine</t>
  </si>
  <si>
    <t>peinture mur et plafond cuisine preparation mur sejour + chambre les 4 remplacement evier
rplct sol wc + ch 2 + cuisine</t>
  </si>
  <si>
    <t>peintures murs plafonds ensemble appart , remplacecement sols ensemble appart , remplacement baignoire</t>
  </si>
  <si>
    <t>DAT+CREP</t>
  </si>
  <si>
    <t>Mme BARRY 0698539688</t>
  </si>
  <si>
    <t>Peinture : Cuisine, Wc, Sdb, Séjour, Entrée, Dégagement, Chambre .Sols : Cuisine, Wc, Sdb</t>
  </si>
  <si>
    <t>19-475</t>
  </si>
  <si>
    <t>19-477</t>
  </si>
  <si>
    <t>19-476</t>
  </si>
  <si>
    <t>19-478</t>
  </si>
  <si>
    <t>Mr Camara                                       
06 27 18 38 70
mRAMON 0779587639</t>
  </si>
  <si>
    <t>41 rue Lamartine</t>
  </si>
  <si>
    <t>Ex Oger</t>
  </si>
  <si>
    <t>24 Place Michelet</t>
  </si>
  <si>
    <t>Place Michelet</t>
  </si>
  <si>
    <t>EX Maury</t>
  </si>
  <si>
    <t>Mise en secu elec
Peintures murs et plafonds cuisine, sdb , entrée, séjour et cellier</t>
  </si>
  <si>
    <t>19-480</t>
  </si>
  <si>
    <t>19-481</t>
  </si>
  <si>
    <t>5 rue ferrer</t>
  </si>
  <si>
    <t>Ex Zoghlami</t>
  </si>
  <si>
    <t>peinture mure plafond cuisine + sdb remplacement faience lavabo sdb</t>
  </si>
  <si>
    <t>63 rue Hoche</t>
  </si>
  <si>
    <t>Faunieres Gassama</t>
  </si>
  <si>
    <t>Mise en securité et sol chambre</t>
  </si>
  <si>
    <t>19-483</t>
  </si>
  <si>
    <t>12 rue des Giroflées</t>
  </si>
  <si>
    <t>19-484</t>
  </si>
  <si>
    <t>Absence compteur, conduit, Chaudière, robinet attente</t>
  </si>
  <si>
    <r>
      <t xml:space="preserve">Pas peinture , ni changement de sols  </t>
    </r>
    <r>
      <rPr>
        <sz val="8"/>
        <color rgb="FFFF0000"/>
        <rFont val="Calibri"/>
        <family val="2"/>
        <scheme val="minor"/>
      </rPr>
      <t>Absence compteur, conduit, Chaudière, robinet attente</t>
    </r>
  </si>
  <si>
    <t>Ex ntma bondo</t>
  </si>
  <si>
    <t>Vérif élec+ replacement ROAI+Remplacement meuble sous évier+Remplacement paillasse salle de bain+Peinture tous les plafonds+Peinture murs salle de bain/cuisine/sanitaire/sejour/entrée/ DGT/2 chambre /+recouvrement sol SDB et Chambre 2</t>
  </si>
  <si>
    <t>Bloqué jusq'au 5/08</t>
  </si>
  <si>
    <t>M. BOUBOU
07.77.38.07.52
Rplct daviot</t>
  </si>
  <si>
    <t>3 rue Louis pottier</t>
  </si>
  <si>
    <t xml:space="preserve">Mr  Camara 06 19 66 75 M. BOUBOO
07 77 38 07 52 Mr bendiaff 0650121097 Mr Bacconnet 0612892453 </t>
  </si>
  <si>
    <t>Ex Huart</t>
  </si>
  <si>
    <t>revision instalation elec + remplacement ROAI  + peinture plafond et mur ensemble logement + recouvrement sols ensemble logement + remplacement tablier baignoir + remplacement 4 portes placards +remplacement porte paliere</t>
  </si>
  <si>
    <t>11 av claude debussy</t>
  </si>
  <si>
    <t>Mle Happi 0603109573</t>
  </si>
  <si>
    <t>peinture mur plafond ensemble logement + remplacement sols ensemble logement</t>
  </si>
  <si>
    <t xml:space="preserve">32 J,B Clement </t>
  </si>
  <si>
    <t>Ex Chapel</t>
  </si>
  <si>
    <t>19-485</t>
  </si>
  <si>
    <t>19-486</t>
  </si>
  <si>
    <t>19-487</t>
  </si>
  <si>
    <t>19-488</t>
  </si>
  <si>
    <t>19-489</t>
  </si>
  <si>
    <t>Mr Antunes 
0609531747</t>
  </si>
  <si>
    <t>PM</t>
  </si>
  <si>
    <t>Mme PAPPOU 0634135592</t>
  </si>
  <si>
    <t>L'appeler le matin</t>
  </si>
  <si>
    <t>27 rue paul cezanne</t>
  </si>
  <si>
    <t>secours catholique 0147405295</t>
  </si>
  <si>
    <t>36 bis rue du R- Père Gilbert</t>
  </si>
  <si>
    <t>rever père gilbert</t>
  </si>
  <si>
    <t>père gilbert</t>
  </si>
  <si>
    <t>Mme Thomas 06105055</t>
  </si>
  <si>
    <t>peinture murs plafond ensemble logement remplacement sol cuisine</t>
  </si>
  <si>
    <t>peinture murs plafond cuisine + sdb preparation peinture mus plafond sejour + chambre x2 + degagement remplacement sol sdb</t>
  </si>
  <si>
    <t xml:space="preserve">clé dispo </t>
  </si>
  <si>
    <t>19-0492</t>
  </si>
  <si>
    <t>19-0493</t>
  </si>
  <si>
    <t>FA-OSI-19-182</t>
  </si>
  <si>
    <t>01/08/2019</t>
  </si>
  <si>
    <t>FA-OSI-19-183</t>
  </si>
  <si>
    <t>FA-OSI-19-184</t>
  </si>
  <si>
    <t>FA-OSI-19-185</t>
  </si>
  <si>
    <t>FA-OSI-19-186</t>
  </si>
  <si>
    <t>FA-OSI-19-187</t>
  </si>
  <si>
    <t>FA-OSI-19-188</t>
  </si>
  <si>
    <t>FA-OSI-19-189</t>
  </si>
  <si>
    <t>FA-OSI-19-190</t>
  </si>
  <si>
    <t>FA-OSI-19-191</t>
  </si>
  <si>
    <t>FA-OSI-19-192</t>
  </si>
  <si>
    <t>FA-OSI-19-193</t>
  </si>
  <si>
    <t>FA-OSI-19-194</t>
  </si>
  <si>
    <t>FA-OSI-19-195</t>
  </si>
  <si>
    <t>19-500</t>
  </si>
  <si>
    <t>19-501</t>
  </si>
  <si>
    <t>19-502</t>
  </si>
  <si>
    <t>Mme LEROY 06 29 13 86 06</t>
  </si>
  <si>
    <t>Ex Bendkowski</t>
  </si>
  <si>
    <t xml:space="preserve">preparation mur plafond cuisine + remplacement evier </t>
  </si>
  <si>
    <t>Ex Hochet</t>
  </si>
  <si>
    <t>8 rue Georges Seurat</t>
  </si>
  <si>
    <t>Lassie</t>
  </si>
  <si>
    <t>Ex Legat</t>
  </si>
  <si>
    <t>Mme Hossepied 0659913747 bureau 0169081742</t>
  </si>
  <si>
    <t>GAZ CREP</t>
  </si>
  <si>
    <t>Ex potier</t>
  </si>
  <si>
    <t>PREPARATION MUR PLAFOND CHAMBRE</t>
  </si>
  <si>
    <t>2 av Gugnon</t>
  </si>
  <si>
    <t>village des artistes</t>
  </si>
  <si>
    <t>M. BENBELLOUT 06.16.29.01.39</t>
  </si>
  <si>
    <t>Ex Gianini</t>
  </si>
  <si>
    <t>M. EL OUAHADANI 06 25 03 81 49</t>
  </si>
  <si>
    <t>Ex Bochet</t>
  </si>
  <si>
    <t>M. EL OUAHADANI 06 25 03 81 49 M. YAPO 06.46.03.21.92</t>
  </si>
  <si>
    <t>peinture mur plafond piece humide + plafond piece seche remplacement sol ( voir avec mr Yapo )</t>
  </si>
  <si>
    <t>4 res. Du port galand</t>
  </si>
  <si>
    <t>Ex Khalout</t>
  </si>
  <si>
    <t>preparations murs plafonds cuisine + entrée + wc + sdb + chambre 1 , preparation murs chambre + sejour lessivage mur degagement</t>
  </si>
  <si>
    <t xml:space="preserve">12 rue de la marne </t>
  </si>
  <si>
    <t>Ex Jebli</t>
  </si>
  <si>
    <t xml:space="preserve">mise en securité , faience evier + meuble evier , sol cuisine , sejour et entrée , murs et plafond cuisine , chambre et sanitaire </t>
  </si>
  <si>
    <t xml:space="preserve">GALLOIS/LECOQ
06 50 49 52 53 /  06-13-63-18-00  </t>
  </si>
  <si>
    <t>Ex Chenaoui</t>
  </si>
  <si>
    <t>peinture mur plafond ensembles des pieces . Sols ensembles des pieces . Remplacement evier / alimentation et faience / remplacement baignoire .</t>
  </si>
  <si>
    <t xml:space="preserve">Ex Semega </t>
  </si>
  <si>
    <t>peinture cuisine , wc , sdb</t>
  </si>
  <si>
    <t>6 rue des giroflées</t>
  </si>
  <si>
    <t>Ex Demirhan</t>
  </si>
  <si>
    <t>sols chambres sdb wc</t>
  </si>
  <si>
    <t>Ex Sylla</t>
  </si>
  <si>
    <t xml:space="preserve">peinture cuisine wc sdb sejour chambre 1 et 3 entree dgt sol sejour </t>
  </si>
  <si>
    <t>Ex Coallia</t>
  </si>
  <si>
    <t xml:space="preserve">pas sols pas peintures </t>
  </si>
  <si>
    <t>Ex Duquenoy</t>
  </si>
  <si>
    <t>19-0508</t>
  </si>
  <si>
    <t>7 RUE DU VAL CONTENT</t>
  </si>
  <si>
    <t>Ex Paillet</t>
  </si>
  <si>
    <t>peinture murs plafonds dgt + sejour + chambre x3 remplacement sols cuisines + chambres x3 + sejour + dgt</t>
  </si>
  <si>
    <t>19-0514</t>
  </si>
  <si>
    <t>19-0515</t>
  </si>
  <si>
    <t>19-0513</t>
  </si>
  <si>
    <t>19-0512</t>
  </si>
  <si>
    <t>19-0510</t>
  </si>
  <si>
    <t>PREPARATION MUR PLAFOND CUISINE + SEJOUR</t>
  </si>
  <si>
    <t>60 rue gambetta</t>
  </si>
  <si>
    <t>Ex Nyemeck</t>
  </si>
  <si>
    <t>Ex Fissourou</t>
  </si>
  <si>
    <t>revisin elec + plomberie + menuiserie interieur , remplacement tablier baignoire peinture complete cuisine et chambre ( voir avec gardien )</t>
  </si>
  <si>
    <t>Mme THEZENAS 07.77.86.91.61</t>
  </si>
  <si>
    <t>M. CAPOU 06 34 13 55 92</t>
  </si>
  <si>
    <t>FA-OSI-19-196</t>
  </si>
  <si>
    <t>07/08/2019</t>
  </si>
  <si>
    <t>FA-OSI-19-197</t>
  </si>
  <si>
    <t>FA-OSI-19-198</t>
  </si>
  <si>
    <t>FA-OSI-19-199</t>
  </si>
  <si>
    <t>FA-OSI-19-200</t>
  </si>
  <si>
    <t>FA-OSI-19-201</t>
  </si>
  <si>
    <t>FA-OSI-19-202</t>
  </si>
  <si>
    <t>FA-OSI-19-203</t>
  </si>
  <si>
    <t>FA-OSI-19-204</t>
  </si>
  <si>
    <t>FA-OSI-19-205</t>
  </si>
  <si>
    <t>FA-OSI-19-206</t>
  </si>
  <si>
    <t>FA-OSI-19-207</t>
  </si>
  <si>
    <t>19-0517</t>
  </si>
  <si>
    <t>19-0518</t>
  </si>
  <si>
    <t>19-0516</t>
  </si>
  <si>
    <t>Mme LEROY 06 29 13 86 06 Mme Foligne 07-77-86-91-66</t>
  </si>
  <si>
    <t>revient le 14/08/2019</t>
  </si>
  <si>
    <t>3 rue ancienne ecole l'hay les roses</t>
  </si>
  <si>
    <t>Mme Cornil 06-19-46-09-43</t>
  </si>
  <si>
    <t>complement DAT</t>
  </si>
  <si>
    <t>remplacement faience baignoire</t>
  </si>
  <si>
    <t>18 rue des giroflees</t>
  </si>
  <si>
    <t>Ex Chouki</t>
  </si>
  <si>
    <t>revision elec + plomberie + menuiserie interieur , peinture plafonds ensemble pieces seches , peinture murs plafonds pieces humides + remplacement sol cuisine</t>
  </si>
  <si>
    <t>Voir avec Fasquel</t>
  </si>
  <si>
    <t>3 chemin des ecoliers</t>
  </si>
  <si>
    <t xml:space="preserve"> M. BOUBOO
07 77 38 07 52  </t>
  </si>
  <si>
    <t>EX LUQUIN</t>
  </si>
  <si>
    <t xml:space="preserve">Réfection complète de toute les pièces en peintures
Rplct de tous les sols
Révision et mise en sécu elec
Révision installation plomberie et gaz et remplacement ROAI
Révision des menuiseries intérieures et rplct cylindres
</t>
  </si>
  <si>
    <t>72 allée des Hortensias</t>
  </si>
  <si>
    <t>Du parc</t>
  </si>
  <si>
    <t>Mme CAILL
0617680173</t>
  </si>
  <si>
    <t>Préparation des murs ensemble du logt
Rplct meuble évier complet
Rplct ROAI
Rplct sols toutes pièces
Révision elec et rplct applique Sdb</t>
  </si>
  <si>
    <t>6 rue Georges Seurat</t>
  </si>
  <si>
    <t>M. YAPO 06.46.03.21.92</t>
  </si>
  <si>
    <t>EX NYOKA</t>
  </si>
  <si>
    <t>Peintures murs et plafond de tout l'appartement
Rplct sols de tous l'appartement</t>
  </si>
  <si>
    <t>32 avenue JB Clément</t>
  </si>
  <si>
    <t>EX ZID</t>
  </si>
  <si>
    <t>FA-OSI-19-208</t>
  </si>
  <si>
    <t>12/08/2019</t>
  </si>
  <si>
    <t>FA-OSI-19-209</t>
  </si>
  <si>
    <t>FA-OSI-19-210</t>
  </si>
  <si>
    <t>FA-OSI-19-211</t>
  </si>
  <si>
    <t>19-0523</t>
  </si>
  <si>
    <t>19-0524</t>
  </si>
  <si>
    <t>19-0525</t>
  </si>
  <si>
    <t>19-0526</t>
  </si>
  <si>
    <t>19-0527</t>
  </si>
  <si>
    <t>19-0528</t>
  </si>
  <si>
    <t>"Mr  Camara 
06 19 66 75 68 - 
M. BOUBOO
07 77 38 07 52 Mr bendiaff
 06 50 12 10 97 Mr Bacconnet
06 12 89 24 53  bureau 
01 39 22 97 41</t>
  </si>
  <si>
    <t>3 Allées des mimosas</t>
  </si>
  <si>
    <t>Ex Baci</t>
  </si>
  <si>
    <t>revision elec + mise en securité remplacement aplique sdb revision plomberie remplacement ROAI revision menuiserie démolition closon legere entre sejour et chambre ( ex salon ) refection peinture toutes pieces ( preparation murs plafonds ) remplacement sol wc cuisine et chambre</t>
  </si>
  <si>
    <t>Ex Khanchouch</t>
  </si>
  <si>
    <t>remplacement sols chambre + dgt</t>
  </si>
  <si>
    <t>1 rue francois arago</t>
  </si>
  <si>
    <t>Mr Camara                                       
06 27 18 38 70
mRAMON 0626028790</t>
  </si>
  <si>
    <t>ex Oumensour</t>
  </si>
  <si>
    <t>Ex Hambali</t>
  </si>
  <si>
    <t xml:space="preserve">Mur entrée , sejour , chambre , sdb , cuisine  plafonds sdb , cuisine  sols sdb , cuisine , changement baignoire </t>
  </si>
  <si>
    <t>M. ROSTAL
0603496252 2eme gardien 0617119141</t>
  </si>
  <si>
    <t>13 allées des epines</t>
  </si>
  <si>
    <t>les epines</t>
  </si>
  <si>
    <t>Ex Marboua</t>
  </si>
  <si>
    <t>remplacement sols sejour entrée dgt</t>
  </si>
  <si>
    <r>
      <t xml:space="preserve">Mme SILVA 06,07,95,98,60
</t>
    </r>
    <r>
      <rPr>
        <sz val="9"/>
        <color rgb="FFFF0000"/>
        <rFont val="Calibri"/>
        <family val="2"/>
        <scheme val="minor"/>
      </rPr>
      <t>M. JONCOUR 06,18,32,42,58</t>
    </r>
  </si>
  <si>
    <t>ex malik</t>
  </si>
  <si>
    <r>
      <rPr>
        <sz val="9"/>
        <color rgb="FFFF0000"/>
        <rFont val="Calibri"/>
        <family val="2"/>
        <scheme val="minor"/>
      </rPr>
      <t xml:space="preserve">M. Joncourt
0618324258
</t>
    </r>
    <r>
      <rPr>
        <sz val="9"/>
        <color theme="1"/>
        <rFont val="Calibri"/>
        <family val="2"/>
        <scheme val="minor"/>
      </rPr>
      <t>DA SILVA
0607959860</t>
    </r>
  </si>
  <si>
    <t>récupere les clés a cette adresse</t>
  </si>
  <si>
    <t>code 1329</t>
  </si>
  <si>
    <t>crep prendre garde-corps</t>
  </si>
  <si>
    <t>19-0531</t>
  </si>
  <si>
    <t>19-0532</t>
  </si>
  <si>
    <t>1 rue gutenburg  78200 mantes la jolie</t>
  </si>
  <si>
    <t>Gardienne en vacance jusqu'au 23/08 numero locataire incomplet</t>
  </si>
  <si>
    <t>19-0533</t>
  </si>
  <si>
    <t>19-0534</t>
  </si>
  <si>
    <t>19-0535</t>
  </si>
  <si>
    <t>19-0536</t>
  </si>
  <si>
    <t>19-0537</t>
  </si>
  <si>
    <t>FA-OSI-19-212</t>
  </si>
  <si>
    <t>14/08/2019</t>
  </si>
  <si>
    <t>19-0541</t>
  </si>
  <si>
    <t>19-0538</t>
  </si>
  <si>
    <t>19-0539</t>
  </si>
  <si>
    <t>Verification Electrique, +rplt ROAI, peinture de tous les plafonds + peinture murs de la SDB/Cuisine/WC/des 3 chambres/séjour/ de l'entrée et DGT. Recouvrement des sols du séjour/Ch1/ch2/WC/Sdb + Démolition cloison entre séjour et ch1/rplt  lavabo.</t>
  </si>
  <si>
    <t>FA-OSI-19-213</t>
  </si>
  <si>
    <t>19/08/2019</t>
  </si>
  <si>
    <t>FA-OSI-19-214</t>
  </si>
  <si>
    <t>FA-OSI-19-215</t>
  </si>
  <si>
    <t>FA-OSI-19-216</t>
  </si>
  <si>
    <t>FA-OSI-19-217</t>
  </si>
  <si>
    <t>FA-OSI-19-218</t>
  </si>
  <si>
    <t>GALLOIS/LECOQ
06 50 49 52 53 /  06-13-63-18-00</t>
  </si>
  <si>
    <t>Ex Kumbu</t>
  </si>
  <si>
    <t xml:space="preserve">Ex Girre </t>
  </si>
  <si>
    <t>peinture murs plafonds chambre x1 + cuisine , remplacement sol chambre x1</t>
  </si>
  <si>
    <t>5 rue du val content</t>
  </si>
  <si>
    <t xml:space="preserve">Ex niamke </t>
  </si>
  <si>
    <t>peinture mur plafond cuisine remplacement sol cuisine</t>
  </si>
  <si>
    <t>FA-OSI-19-219</t>
  </si>
  <si>
    <t>21/08/2019</t>
  </si>
  <si>
    <t>FA-OSI-19-220</t>
  </si>
  <si>
    <t>FA-OSI-19-221</t>
  </si>
  <si>
    <t>19-0543</t>
  </si>
  <si>
    <t>19-0544</t>
  </si>
  <si>
    <t>Mr  Camara 
06 19 66 75 68 - 
M. BOUBOO
07 77 38 07 52 Mr bendiaff
 06 50 12 10 97 Mr Bacconnet
06 12 89 24 53  bureau 
01 39 22 97 41</t>
  </si>
  <si>
    <t>Makaya 0611287335</t>
  </si>
  <si>
    <t xml:space="preserve">revision et mise en securité elec revision des menuiseries interieurs plomberie avec remplacement ROAI peinture complete des pieces humides peinture murs entrée , dgt , les 3 chambres , remplacement des sols dans 2 chambres ( voir avec gardien ) demolitin cloison entre sejour et chambre attenante </t>
  </si>
  <si>
    <t>Ex Barrier</t>
  </si>
  <si>
    <t>Ex Guillaume</t>
  </si>
  <si>
    <t>preparation murs et plafonds cuisine + chambre x3 remplacement sols cuisine + chambre 1 remplacement evier</t>
  </si>
  <si>
    <t>19-456/-0552</t>
  </si>
  <si>
    <t>19-0522</t>
  </si>
  <si>
    <t xml:space="preserve">8 rue Maurice Ravel </t>
  </si>
  <si>
    <t>Ex Durmaz</t>
  </si>
  <si>
    <t>mur et plafond ch1 ch2 sdb wc cuisine plafond dgt sols entrée sdb cuisine remplacement evier</t>
  </si>
  <si>
    <t>FA-OSI-19-222</t>
  </si>
  <si>
    <t>FA-OSI-19-223</t>
  </si>
  <si>
    <t>FA-OSI-19-224</t>
  </si>
  <si>
    <t>FA-OSI-19-225</t>
  </si>
  <si>
    <t>FA-OSI-19-226</t>
  </si>
  <si>
    <t>22/08/2019</t>
  </si>
  <si>
    <t>FA-OSI-19-227</t>
  </si>
  <si>
    <t>19-0557</t>
  </si>
  <si>
    <t>19-0556</t>
  </si>
  <si>
    <t>19-0555</t>
  </si>
  <si>
    <t>19-0554</t>
  </si>
  <si>
    <r>
      <t>Peinture mur plafond piece humide peinture  plafond piece seche preparation mur sejour + entrée + degagement + chambre +</t>
    </r>
    <r>
      <rPr>
        <sz val="8"/>
        <color rgb="FFFF0000"/>
        <rFont val="Calibri"/>
        <family val="2"/>
        <scheme val="minor"/>
      </rPr>
      <t xml:space="preserve">( rplt faïence évier+ rplt évier cuisine ) </t>
    </r>
  </si>
  <si>
    <t>8 rue des coquarts</t>
  </si>
  <si>
    <t>Ex Guilbert</t>
  </si>
  <si>
    <t>preparation mur et plafond sejour remplacement sol sejour</t>
  </si>
  <si>
    <t>Ex Berdous</t>
  </si>
  <si>
    <t>peintures murs plafonds pieces humides + plafonds puieces seches  preparation murs entree + sejour + dgt  remplacements sols pieces humides + pieces seches</t>
  </si>
  <si>
    <t>12 rue jj rousseau</t>
  </si>
  <si>
    <t xml:space="preserve">Ex Sall </t>
  </si>
  <si>
    <t>peinture cuisine ,chambre ,petit dgt ,escalier ,sol cuisine ,dgt ,chambre ,</t>
  </si>
  <si>
    <t>Jacotin 0664106935</t>
  </si>
  <si>
    <t xml:space="preserve">revision et mise en securité electrique du logement revision plomberie avec remplacement ROAI remplacement de la colonne de lavabo et tablier de baignoir , revision des menuiseries interieur peinture complete de la salle de bain wc et cuisine peinture des murs de l'entrée du degagement du séjour et des 2 chambres demolition de la cloison séjour/chambre attenante remplacement des sols du degagement , du séjour + surface chambre attenante </t>
  </si>
  <si>
    <t>74 allée reseda</t>
  </si>
  <si>
    <t>19-0558</t>
  </si>
  <si>
    <t>19-0559</t>
  </si>
  <si>
    <t>Sols cuisine + loggia + sdb + sanitaire + mur celier</t>
  </si>
  <si>
    <t>LIBRE MARDI MATIN</t>
  </si>
  <si>
    <t>COMPLEMENT DAT</t>
  </si>
  <si>
    <t>Pas la bonne clefs Me fasquel  ne répond pas</t>
  </si>
  <si>
    <t>clé dispo en loge le 03/09/2019</t>
  </si>
  <si>
    <t xml:space="preserve">clé dispo en loge le 03/09/2019 </t>
  </si>
  <si>
    <t>19-0560</t>
  </si>
  <si>
    <t xml:space="preserve">9 rue lea maury </t>
  </si>
  <si>
    <t>Ex Evrard</t>
  </si>
  <si>
    <t xml:space="preserve">preparations murs et plafonds cuisine sdb sanitaire chambre x1 dagagement </t>
  </si>
  <si>
    <t xml:space="preserve">4 rue de la sarrazine </t>
  </si>
  <si>
    <t>Ex Collard</t>
  </si>
  <si>
    <t>14 rue jean de la fontaine</t>
  </si>
  <si>
    <t>ex Diallo</t>
  </si>
  <si>
    <t>peinture cuisine SDB wc sols cuisine wc chambre 1</t>
  </si>
  <si>
    <t>FA-OSI-19-228</t>
  </si>
  <si>
    <t>27/08/2019</t>
  </si>
  <si>
    <t>FA-OSI-19-229</t>
  </si>
  <si>
    <t>FA-OSI-19-230</t>
  </si>
  <si>
    <t>FA-OSI-19-231</t>
  </si>
  <si>
    <t>FA-OSI-19-232</t>
  </si>
  <si>
    <t>FA-OSI-19-233</t>
  </si>
  <si>
    <t>FA-OSI-19-234</t>
  </si>
  <si>
    <t>FA-OSI-19-235</t>
  </si>
  <si>
    <t>FA-OSI-19-236</t>
  </si>
  <si>
    <t>FA-OSI-19-237</t>
  </si>
  <si>
    <t>FA-OSI-19-238</t>
  </si>
  <si>
    <t>FA-OSI-19-239</t>
  </si>
  <si>
    <t>FA-OSI-19-240</t>
  </si>
  <si>
    <t>FA-OSI-19-241</t>
  </si>
  <si>
    <t>RDV 20 bd albert 1 er appelez le gardien</t>
  </si>
  <si>
    <t>19-0564</t>
  </si>
  <si>
    <t>19-0561</t>
  </si>
  <si>
    <t>19-0563</t>
  </si>
  <si>
    <t>19-0562</t>
  </si>
  <si>
    <t>FA-OSI-19-242</t>
  </si>
  <si>
    <t>28/08/2019</t>
  </si>
  <si>
    <t>FA-OSI-19-243</t>
  </si>
  <si>
    <t>19-0565</t>
  </si>
  <si>
    <t>30 rue jean bleuzen</t>
  </si>
  <si>
    <t>Ex Lecornec</t>
  </si>
  <si>
    <t>peinture entoilage sur murs et plafonds du logement</t>
  </si>
  <si>
    <t>Mme HIDARI
07 77 86 91 63 - Mme BETHENCOURT
06,11,70,99,24</t>
  </si>
  <si>
    <t>remplacement faience sdb</t>
  </si>
  <si>
    <t>Ex Haneche</t>
  </si>
  <si>
    <t>remplacement sol chambre 2 peinture plafond chambre 2 et 5</t>
  </si>
  <si>
    <t>19-0569</t>
  </si>
  <si>
    <t>19-0568</t>
  </si>
  <si>
    <t>19-0540
 19-0567</t>
  </si>
  <si>
    <t>19-0509
 19-0566</t>
  </si>
  <si>
    <t>11 rue pierre poli</t>
  </si>
  <si>
    <t>issy les moulineaux</t>
  </si>
  <si>
    <t>pierre poli</t>
  </si>
  <si>
    <t>M. AGBETOR 06,81,67,58,26</t>
  </si>
  <si>
    <t>Mme Delsaut 0662790636</t>
  </si>
  <si>
    <r>
      <t xml:space="preserve">Peintures murs et plafond WC
Préparation murs cuisine (crep prendre le garde-corps) </t>
    </r>
    <r>
      <rPr>
        <sz val="8"/>
        <color rgb="FFFF0000"/>
        <rFont val="Calibri"/>
        <family val="2"/>
        <scheme val="minor"/>
      </rPr>
      <t xml:space="preserve">preparation mur plafond celier/dressing </t>
    </r>
  </si>
  <si>
    <t>19-0570</t>
  </si>
  <si>
    <t>19-0572</t>
  </si>
  <si>
    <t>19-0573</t>
  </si>
  <si>
    <t>06 27 18 38 70</t>
  </si>
  <si>
    <t xml:space="preserve">Mr Camara                                       
06 27 18 38 70                                    </t>
  </si>
  <si>
    <r>
      <t>peinture murs plafonds toutes les pieces sols toutes les pieces</t>
    </r>
    <r>
      <rPr>
        <sz val="8"/>
        <color rgb="FFFF0000"/>
        <rFont val="Calibri"/>
        <family val="2"/>
        <scheme val="minor"/>
      </rPr>
      <t xml:space="preserve"> remplacements baignoire et faience remplacement evier</t>
    </r>
    <r>
      <rPr>
        <sz val="8"/>
        <color theme="1"/>
        <rFont val="Calibri"/>
        <family val="2"/>
        <scheme val="minor"/>
      </rPr>
      <t xml:space="preserve"> </t>
    </r>
  </si>
  <si>
    <t xml:space="preserve">PMR : sol mur et faience sdb </t>
  </si>
  <si>
    <t>20 allées des pervenches</t>
  </si>
  <si>
    <t>Mr bouras 0667571411 , 0980863064</t>
  </si>
  <si>
    <t>787 rue de Bernau</t>
  </si>
  <si>
    <t>Ex Rameau</t>
  </si>
  <si>
    <t xml:space="preserve">peintures murs plafonds pieces humides + peintures plafonds pieces seches preparations murs sejour + entrée + degagement + chambre </t>
  </si>
  <si>
    <t xml:space="preserve">8 square stendhal </t>
  </si>
  <si>
    <t>Ex Fouche</t>
  </si>
  <si>
    <t>mise en securité elec remplacement baignoire lavabo sur colone peinture complete piece humide et peinture complete des 2 chambres</t>
  </si>
  <si>
    <t>1 square stendhal</t>
  </si>
  <si>
    <t>mr Fofana tef 
06 75 75 74 82</t>
  </si>
  <si>
    <t>Ex Terreros</t>
  </si>
  <si>
    <t xml:space="preserve">peinture complete du logement murs et plafonds , remplacement sols wc et les 2 chambres , remplacement meuble évier , revision elec logement pour mise en securité </t>
  </si>
  <si>
    <t>Ex Kono</t>
  </si>
  <si>
    <t xml:space="preserve">peintures murs plafonds sejour + chambre + entrée + cuisine + sanitaire </t>
  </si>
  <si>
    <t>19-0545
19-0579</t>
  </si>
  <si>
    <t>19-580</t>
  </si>
  <si>
    <t>74 alles des resedas</t>
  </si>
  <si>
    <t xml:space="preserve">mise en securité forfait ploimberie forfait gaz forfait menuiserie peinture murs plafonds cuisine lessivage murs chambre et degagement </t>
  </si>
  <si>
    <t xml:space="preserve">48 rue des berges </t>
  </si>
  <si>
    <t>Ex Richard</t>
  </si>
  <si>
    <t>Mur : cuisine + chambre + sejour , plafond  cuisine + chambre + sejour , sols cuisine + remplacement baignoire  remplacement douche</t>
  </si>
  <si>
    <t>4 av jean moulin</t>
  </si>
  <si>
    <t>C-23</t>
  </si>
  <si>
    <t>Mme Merland 
06 11 01 32 84</t>
  </si>
  <si>
    <t>Ex Herradi</t>
  </si>
  <si>
    <t>Ex Folio</t>
  </si>
  <si>
    <t>mise en secu forfait plomberie forfait gaz forfait menuiserie peinture murs et plafonds cuisine</t>
  </si>
  <si>
    <t>pieces humides  wc, cuisine complete plafonds , pieces seches entrée sejour 1 chambre degagement ( preparation murs ) sol 1 chambre, cuisine + sdb</t>
  </si>
  <si>
    <t>19-0581</t>
  </si>
  <si>
    <t>19-0582</t>
  </si>
  <si>
    <t>EX Charf</t>
  </si>
  <si>
    <t>mise en securité , peinture murs plafonds séjour , peinture plafonds cuisine et chambre , PC gaz</t>
  </si>
  <si>
    <t>FA-OSI-19-244</t>
  </si>
  <si>
    <t>04/09/2019</t>
  </si>
  <si>
    <t>FA-OSI-19-246</t>
  </si>
  <si>
    <t>FA-OSI-19-247</t>
  </si>
  <si>
    <t>FA-OSI-19-248</t>
  </si>
  <si>
    <t>FA-OSI-19-249</t>
  </si>
  <si>
    <t>FA-OSI-19-250</t>
  </si>
  <si>
    <t>FA-OSI-19-251</t>
  </si>
  <si>
    <t>FA-OSI-19-252</t>
  </si>
  <si>
    <t>FA-OSI-19-253</t>
  </si>
  <si>
    <t>FA-OSI-19-254</t>
  </si>
  <si>
    <t>FA-OSI-19-255</t>
  </si>
  <si>
    <t>FA-OSI-19-256</t>
  </si>
  <si>
    <t>FA-OSI-19-257</t>
  </si>
  <si>
    <t>FA-OSI-19-258</t>
  </si>
  <si>
    <t>19-0587</t>
  </si>
  <si>
    <t>19-0586</t>
  </si>
  <si>
    <t>19-0585</t>
  </si>
  <si>
    <t>Ex Niakate</t>
  </si>
  <si>
    <t>preparation murs cuisine + sanitaire + sdb + peinture plafond sdb</t>
  </si>
  <si>
    <t>Ex Manlay</t>
  </si>
  <si>
    <t>peintures murs plafonds cuisine + sdb peinture plafonds chambre x2</t>
  </si>
  <si>
    <t>Mme SILVA 06,07,95,98,60
M. JONCOUR 06,18,32,42,58</t>
  </si>
  <si>
    <t>Ex Maliki</t>
  </si>
  <si>
    <t>peinture mur plafond chambre + sejour</t>
  </si>
  <si>
    <t>2 av jean moulin</t>
  </si>
  <si>
    <t>D-23</t>
  </si>
  <si>
    <t>Bouamrame 0609742969</t>
  </si>
  <si>
    <t>6 allée des girofles</t>
  </si>
  <si>
    <t>Ex Murthen</t>
  </si>
  <si>
    <t>peinture complete ensemble du logement remplacement de tout les sols du logement ,</t>
  </si>
  <si>
    <t>19-0590</t>
  </si>
  <si>
    <t>19-0589</t>
  </si>
  <si>
    <t xml:space="preserve">Mme DEJESUS 06 99 91 05 20 </t>
  </si>
  <si>
    <t>SDB - PMR sol, faience, mur, plafond, tampon bitumineux</t>
  </si>
  <si>
    <t>Mme CARLI 01 48 98 46 01</t>
  </si>
  <si>
    <t xml:space="preserve">8, rue de la sarrazine </t>
  </si>
  <si>
    <t xml:space="preserve">MESSAOUDI 01 46 64 41 36      </t>
  </si>
  <si>
    <t>19-0551
19-0577</t>
  </si>
  <si>
    <t>4 résidence du port galand</t>
  </si>
  <si>
    <t>du port galand</t>
  </si>
  <si>
    <t>Ex Asmar</t>
  </si>
  <si>
    <t>peinture murs et plafonds pieces humides peinture plafonds pieces seches preparation murs chambres x2 Remplacement sol SDB</t>
  </si>
  <si>
    <t>FA-OSI-19-259</t>
  </si>
  <si>
    <t>09/09/2019</t>
  </si>
  <si>
    <t>FA-OSI-19-260</t>
  </si>
  <si>
    <t>FA-OSI-19-261</t>
  </si>
  <si>
    <t>FA-OSI-19-262</t>
  </si>
  <si>
    <t>FA-OSI-19-263</t>
  </si>
  <si>
    <t>FA-OSI-19-264</t>
  </si>
  <si>
    <t>FA-OSI-19-265</t>
  </si>
  <si>
    <t>FA-OSI-19-266</t>
  </si>
  <si>
    <t>FA-OSI-19-267</t>
  </si>
  <si>
    <t>FA-OSI-19-268</t>
  </si>
  <si>
    <t>19-0511
19-0592</t>
  </si>
  <si>
    <t>retour lundi</t>
  </si>
  <si>
    <t>mme Fernandes 06-16-85-10-70</t>
  </si>
  <si>
    <t>FA-OSI-19-269</t>
  </si>
  <si>
    <t>10/09/2019</t>
  </si>
  <si>
    <t>FA-OSI-19-270</t>
  </si>
  <si>
    <t>FA-OSI-19-271</t>
  </si>
  <si>
    <t>FA-OSI-19-272</t>
  </si>
  <si>
    <t>FA-OSI-19-273</t>
  </si>
  <si>
    <t>FA-OSI-19-274</t>
  </si>
  <si>
    <t>FA-OSI-19-275</t>
  </si>
  <si>
    <t>FA-OSI-19-276</t>
  </si>
  <si>
    <t>FA-OSI-19-277</t>
  </si>
  <si>
    <t>FA-OSI-19-278</t>
  </si>
  <si>
    <t>FA-OSI-19-279</t>
  </si>
  <si>
    <t>24 allée des Pétunias</t>
  </si>
  <si>
    <t>Mme KEBA
0612733227</t>
  </si>
  <si>
    <t>Mise en secu, forfait plomberie et gaz et menuiserie
Peintures complète dans pièces humides y compris cellier
Plafonds boiserie pièces sèches
ROAI
Préparation murs séjour, chambres, entrée et degt
Démolition cloison
Sols cuisine, sdb, wc, chambres et séjour</t>
  </si>
  <si>
    <t>Ex Helias</t>
  </si>
  <si>
    <t>preparation murs plafonds entrée + séjour + chambre 1
préparation murs dégagement + ch 2+ ch 3
Rplct sols entrée+séjour+cuisine+degt+ch2+ch3
Rplct évier</t>
  </si>
  <si>
    <t>FA-OSI-19-280</t>
  </si>
  <si>
    <t>FA-OSI-19-281</t>
  </si>
  <si>
    <t>FA-OSI-19-282</t>
  </si>
  <si>
    <t>FA-OSI-19-283</t>
  </si>
  <si>
    <t>Remplacement sols séjour + entrée + chambre</t>
  </si>
  <si>
    <t>EX Joubert</t>
  </si>
  <si>
    <t>Peintures murs et plafonds pièces humides
Peintures plafonds pièces sèches
Préparation murs entrée + degt + séjour + Ch 3</t>
  </si>
  <si>
    <t>Mme Nasrine GUIDOUM 06.35.81.33.81 
M. DELEHAYE 06.23.03.68.13 
Mme CHALON 07,77,86,91,68</t>
  </si>
  <si>
    <t>19-0571
19-0593</t>
  </si>
  <si>
    <t>19-0597</t>
  </si>
  <si>
    <t>19-0598</t>
  </si>
  <si>
    <t>19-0599</t>
  </si>
  <si>
    <t>19-0583</t>
  </si>
  <si>
    <t>matin</t>
  </si>
  <si>
    <t>Ex Vaillant</t>
  </si>
  <si>
    <t>Ne répond pas</t>
  </si>
  <si>
    <t>19-0605</t>
  </si>
  <si>
    <t>33 bis rue Gabriel Péri</t>
  </si>
  <si>
    <t>Montrouge</t>
  </si>
  <si>
    <t>Gabriel Péri</t>
  </si>
  <si>
    <t>EX Belavic</t>
  </si>
  <si>
    <t>Peintures murs et plafond chambre</t>
  </si>
  <si>
    <t>FA-OSI-19-284</t>
  </si>
  <si>
    <t>16/09/2019</t>
  </si>
  <si>
    <t>FA-OSI-19-285</t>
  </si>
  <si>
    <t>19-0606</t>
  </si>
  <si>
    <t xml:space="preserve"> AGBETOR 06,81,67,58,26</t>
  </si>
  <si>
    <t>Mme Merland 
06 10 64 97 19</t>
  </si>
  <si>
    <t>19-607</t>
  </si>
  <si>
    <t>19-608</t>
  </si>
  <si>
    <t>19-609</t>
  </si>
  <si>
    <t xml:space="preserve">5 allée de la sirène creteil </t>
  </si>
  <si>
    <t>5 rue Mozart</t>
  </si>
  <si>
    <t>Debussy Ravel</t>
  </si>
  <si>
    <t>EX AKAZEN</t>
  </si>
  <si>
    <t>Sols murs et plafond ttes les pièces</t>
  </si>
  <si>
    <t>51 rue Lamartine</t>
  </si>
  <si>
    <t>Les Gibets</t>
  </si>
  <si>
    <t>EX BENMATI</t>
  </si>
  <si>
    <t>Préparation murs chambres x 3
Peintures murs et plafond cellier
Peinture plafond sdb
Rplct sols entrée + degt + séjour</t>
  </si>
  <si>
    <t>FA-OSI-19-286</t>
  </si>
  <si>
    <t>17/09/2019</t>
  </si>
  <si>
    <t>19-0612</t>
  </si>
  <si>
    <t>19-0611</t>
  </si>
  <si>
    <t>Ex Laygnez</t>
  </si>
  <si>
    <t>preparation murs plafonds chambres x3 + cuisine + sejour preparation mur celier + dgt + entrée remplacement sols chambre x3 + cuisine + entree + dgt</t>
  </si>
  <si>
    <t>Ex Sarr</t>
  </si>
  <si>
    <t>peintures murs plafonds pieces humides peinture plafonds pieces seche preparation mur chambre remplacement sols cuisine + sdb + sanitaire remplacement evier</t>
  </si>
  <si>
    <t xml:space="preserve">18 rue ledru rollin </t>
  </si>
  <si>
    <t>le val pli</t>
  </si>
  <si>
    <t>Ex Bretecher</t>
  </si>
  <si>
    <t xml:space="preserve">peintures murs cuisine + chambre </t>
  </si>
  <si>
    <t>Lomuscio 0641782999</t>
  </si>
  <si>
    <t>19-0616</t>
  </si>
  <si>
    <t>19-0617</t>
  </si>
  <si>
    <t xml:space="preserve">22 ter rue du general Sarrail </t>
  </si>
  <si>
    <t>Creteil</t>
  </si>
  <si>
    <t>peintures murs et plafonds cuisine + sdb + chambres x2 peinture plafond sejour remplacement sols sejour</t>
  </si>
  <si>
    <t>8 h 30</t>
  </si>
  <si>
    <t>19-0614</t>
  </si>
  <si>
    <t>Mme LAURENCE
06 77 31 57 74</t>
  </si>
  <si>
    <t>Matin</t>
  </si>
  <si>
    <t>Mme Dugue 0687673318  0139658832</t>
  </si>
  <si>
    <t>mise en securité , peinture des pieces humides y compris cellier  plafonds et boiserie des pieces seches preparation des murs du sejour chambre entrée dgt sols sdb sanitaire cuisine sejour chambre entée et dgt</t>
  </si>
  <si>
    <t>Mme Vialtet 0616161672  0139154215</t>
  </si>
  <si>
    <t>mur et plafond chambre a coté de la cuisine</t>
  </si>
  <si>
    <t>19-0621</t>
  </si>
  <si>
    <t>19-0620</t>
  </si>
  <si>
    <t>Benfatah 0631821336 - 0148981105 -</t>
  </si>
  <si>
    <t>19-623</t>
  </si>
  <si>
    <t>19-624</t>
  </si>
  <si>
    <t>19-625</t>
  </si>
  <si>
    <t>SEBIRE Francis
01 39 11 59 89</t>
  </si>
  <si>
    <t>Murs et plafonds pièce principale</t>
  </si>
  <si>
    <t>6 rue de la Marne</t>
  </si>
  <si>
    <t>Mme THOMAS 0674755073</t>
  </si>
  <si>
    <t>Murs séjour, cuisine et sdb
Plafonds de tous le logement</t>
  </si>
  <si>
    <t>Mme Bayon
01 39 13 88 39</t>
  </si>
  <si>
    <t>Mme TOUBAIS
0616364129</t>
  </si>
  <si>
    <t>19-0626</t>
  </si>
  <si>
    <t>Peinture ensemble des plafonds du logement et peinture plafonds et murs des pièces humides.</t>
  </si>
  <si>
    <t>18 Avenue de la république</t>
  </si>
  <si>
    <t>Ex Bourhis</t>
  </si>
  <si>
    <t>Peinture de tout le logement/ remplacement sols de tout le logement/ remplacement évier 2 bacs</t>
  </si>
  <si>
    <t>47 rue lamartine</t>
  </si>
  <si>
    <t>Ex lelong</t>
  </si>
  <si>
    <t>Peinture de tout le logement / remplacement de tous les sols / remplacement évier(2 bacs) /remplacement faience lavabo +évier 2 bacs</t>
  </si>
  <si>
    <t>19-0627</t>
  </si>
  <si>
    <t xml:space="preserve">8 rue de la marne </t>
  </si>
  <si>
    <t>Mr Mme Chapelot 0172556310 0623212075</t>
  </si>
  <si>
    <t xml:space="preserve">peinture murs plafonds pieces humides et sols entrée et degagement + peinture murs et plafonds séjour et 3 chambres </t>
  </si>
  <si>
    <t>Ex Maka</t>
  </si>
  <si>
    <t>peinture murs palafonds cuisine + SDB remplacement evier ( 2 Bacs ) preparation murs chambre</t>
  </si>
  <si>
    <t>avant 12h</t>
  </si>
  <si>
    <t>FA-OSI-19-287</t>
  </si>
  <si>
    <t>23/09/2019</t>
  </si>
  <si>
    <t>FA-OSI-19-288</t>
  </si>
  <si>
    <t>FA-OSI-19-289</t>
  </si>
  <si>
    <t>FA-OSI-19-290</t>
  </si>
  <si>
    <t>FA-OSI-19-291</t>
  </si>
  <si>
    <t>FA-OSI-19-292</t>
  </si>
  <si>
    <t>apres-midi</t>
  </si>
  <si>
    <t>Appelé  pour savoir si la personne est presente</t>
  </si>
  <si>
    <t>FA-OSI-19-293</t>
  </si>
  <si>
    <t>FA-OSI-19-294</t>
  </si>
  <si>
    <t>FA-OSI-19-295</t>
  </si>
  <si>
    <t>FA-OSI-19-296</t>
  </si>
  <si>
    <t>FA-OSI-19-297</t>
  </si>
  <si>
    <t>FA-OSI-19-298</t>
  </si>
  <si>
    <t>FA-OSI-19-299</t>
  </si>
  <si>
    <t>FA-OSI-19-300</t>
  </si>
  <si>
    <t>FA-OSI-19-301</t>
  </si>
  <si>
    <t>FA-OSI-19-302</t>
  </si>
  <si>
    <t>FA-OSI-19-303</t>
  </si>
  <si>
    <t>FA-OSI-19-304</t>
  </si>
  <si>
    <t>19-628</t>
  </si>
  <si>
    <t>19-629</t>
  </si>
  <si>
    <t>19-631</t>
  </si>
  <si>
    <t>19-630</t>
  </si>
  <si>
    <t>RDV Locataire</t>
  </si>
  <si>
    <t>EX Saint Maxent</t>
  </si>
  <si>
    <t>Remplacement évier 2 bacs</t>
  </si>
  <si>
    <t>FA-OSI-19-305</t>
  </si>
  <si>
    <t>25/09/2019</t>
  </si>
  <si>
    <t>FA-OSI-19-306</t>
  </si>
  <si>
    <t>22 promenade maxime gorki</t>
  </si>
  <si>
    <t>promenade maxime gorki</t>
  </si>
  <si>
    <t>Melle Jean Baptiste 0668581086 0130093349</t>
  </si>
  <si>
    <t xml:space="preserve">Plafond toute les pieces logement mur piece humide + entrée et 1er degagement </t>
  </si>
  <si>
    <t>19-632</t>
  </si>
  <si>
    <t>19-633</t>
  </si>
  <si>
    <t>19-634</t>
  </si>
  <si>
    <t xml:space="preserve">Mme THOUEMENT 06 20 97 41 02 </t>
  </si>
  <si>
    <t>Mr Vogin 06 10 64 97 49</t>
  </si>
  <si>
    <t>clé chez le gardien a partir du 15/10/2019</t>
  </si>
  <si>
    <t xml:space="preserve">36 allées des pinsons </t>
  </si>
  <si>
    <t xml:space="preserve">Ex Milfort </t>
  </si>
  <si>
    <r>
      <t xml:space="preserve">mise en securité forfait plomberie forfait gaz </t>
    </r>
    <r>
      <rPr>
        <sz val="8"/>
        <color rgb="FFFF0000"/>
        <rFont val="Calibri"/>
        <family val="2"/>
        <scheme val="minor"/>
      </rPr>
      <t>peinture des pieces humides y compris celier plafonds pieces seches preparation murs entrée degagement sejour chambre depose etagere sols sejour entrée chambres meuble evier</t>
    </r>
  </si>
  <si>
    <t>13h30</t>
  </si>
  <si>
    <t>rdv locataire</t>
  </si>
  <si>
    <t>4 av de la republique</t>
  </si>
  <si>
    <t xml:space="preserve">Ex Djetou </t>
  </si>
  <si>
    <t xml:space="preserve">refection electrique complete du logement  </t>
  </si>
  <si>
    <t xml:space="preserve">22 bis rue du général Sarrail </t>
  </si>
  <si>
    <t>clé chez le gardien a partir du 25/09/2019</t>
  </si>
  <si>
    <t>19-0636</t>
  </si>
  <si>
    <t>0141986316 mme ouissi</t>
  </si>
  <si>
    <t>46 rue august blanqui gentilly</t>
  </si>
  <si>
    <t>6 chemins des ecoliers</t>
  </si>
  <si>
    <r>
      <t xml:space="preserve">mise en securité forfait plomberie forfait gaz </t>
    </r>
    <r>
      <rPr>
        <b/>
        <sz val="8"/>
        <color rgb="FFFF0000"/>
        <rFont val="Calibri"/>
        <family val="2"/>
        <scheme val="minor"/>
      </rPr>
      <t>peinture murs plafonds cuisine sols cuisine et sejour</t>
    </r>
  </si>
  <si>
    <t>FA-OSI-19-307</t>
  </si>
  <si>
    <t>27/09/2019</t>
  </si>
  <si>
    <t>FA-OSI-19-308</t>
  </si>
  <si>
    <t>FA-OSI-19-309</t>
  </si>
  <si>
    <t>FA-OSI-19-310</t>
  </si>
  <si>
    <t>FA-OSI-19-311</t>
  </si>
  <si>
    <t>FA-OSI-19-312</t>
  </si>
  <si>
    <t>FA-OSI-19-313</t>
  </si>
  <si>
    <t>FA-OSI-19-314</t>
  </si>
  <si>
    <t>19-641</t>
  </si>
  <si>
    <t>19-0637</t>
  </si>
  <si>
    <t>19-0639</t>
  </si>
  <si>
    <t>11h/12h</t>
  </si>
  <si>
    <t xml:space="preserve">Ex Akourbal </t>
  </si>
  <si>
    <t>tel gardien remplacant 0629679857</t>
  </si>
  <si>
    <t>2 alleés des glycines</t>
  </si>
  <si>
    <t xml:space="preserve">PMR : sol mur plafond et faience tampon sdb </t>
  </si>
  <si>
    <t>Mme Drillon  0618455968</t>
  </si>
  <si>
    <t>19-0642</t>
  </si>
  <si>
    <t>FA-OSI-19-315</t>
  </si>
  <si>
    <t>30/09/2019</t>
  </si>
  <si>
    <t>FA-OSI-19-316</t>
  </si>
  <si>
    <t>Mr Ginestet 0770314376</t>
  </si>
  <si>
    <t>2 res du port galand</t>
  </si>
  <si>
    <t>Mr Jaffre 0671959456 0146654943</t>
  </si>
  <si>
    <t>preparation mur et plafond entree + degagement + cuisine + chambre + sejour peinture mur plafond sanitaire + sdb</t>
  </si>
  <si>
    <t>19-643</t>
  </si>
  <si>
    <t>19-644</t>
  </si>
  <si>
    <t>FA-OSI-19-317</t>
  </si>
  <si>
    <t xml:space="preserve">Ex Mezrag </t>
  </si>
  <si>
    <t xml:space="preserve">preparation murs plafond cuisine </t>
  </si>
  <si>
    <t>Mle Degras
0680929277</t>
  </si>
  <si>
    <t>peinture murs et plafonds de tout l'appartement Remplacements sols de tout l'appartement</t>
  </si>
  <si>
    <t>19-0646</t>
  </si>
  <si>
    <t>19-0647</t>
  </si>
  <si>
    <t xml:space="preserve">Mr touil 
06 21 64 75 07 </t>
  </si>
  <si>
    <t>5 allées Camille Pissaro</t>
  </si>
  <si>
    <t>Ex Ramounhi</t>
  </si>
  <si>
    <t xml:space="preserve">Mur et plafond sols ensermble des pieces </t>
  </si>
  <si>
    <t>49 rue Roche</t>
  </si>
  <si>
    <t>Oliere 0684389940</t>
  </si>
  <si>
    <t xml:space="preserve">Houilles </t>
  </si>
  <si>
    <t>Ex Chaussee</t>
  </si>
  <si>
    <t xml:space="preserve">Sol chambre + plafonds toutes les pieces murs pieces humides  </t>
  </si>
  <si>
    <t>15 rue JM Jacquard</t>
  </si>
  <si>
    <t>Ex Gomes</t>
  </si>
  <si>
    <t xml:space="preserve">peinture mur et plafond cuisine </t>
  </si>
  <si>
    <t>Mme Deryckx 0610503718</t>
  </si>
  <si>
    <t>crep</t>
  </si>
  <si>
    <t xml:space="preserve">5 allees des presses plomb </t>
  </si>
  <si>
    <t>conflans st honorine</t>
  </si>
  <si>
    <t>le clos d, renouveau</t>
  </si>
  <si>
    <t>A203</t>
  </si>
  <si>
    <t>Ex Caquelard</t>
  </si>
  <si>
    <t>Mr Tadjine 0758031283</t>
  </si>
  <si>
    <t xml:space="preserve">55 allees des capucines </t>
  </si>
  <si>
    <t>Mr Zair</t>
  </si>
  <si>
    <t>mise en securité forfait plomberie forfait gaz forfait menuiserie peinture dans l'ensemble des pieces et reprise des sol evier deux bacs</t>
  </si>
  <si>
    <t>mise en securité forfait  plomberie forfait gaz forfait menuiserie peinture des pieces humides y compris celliers pieces seches sur les plafonds et la boisure peinture murs entrées sejours chambre sol chambre</t>
  </si>
  <si>
    <t>19-0654</t>
  </si>
  <si>
    <t>Ex Bouin</t>
  </si>
  <si>
    <t xml:space="preserve">mur et plafond chambre  </t>
  </si>
  <si>
    <t>Ex Lewandowska</t>
  </si>
  <si>
    <t>peinture plafond ensemble logement + mur pieces humides + ROAI</t>
  </si>
  <si>
    <t>19-0656</t>
  </si>
  <si>
    <t xml:space="preserve">73 rue des bons raisin </t>
  </si>
  <si>
    <t>Ex Cantin</t>
  </si>
  <si>
    <t>preparatin murs cuisine remplacement sols chambre x2 + sejour</t>
  </si>
  <si>
    <t>FA-OSI-19-318</t>
  </si>
  <si>
    <t>07/10/2019</t>
  </si>
  <si>
    <t>FA-OSI-19-319</t>
  </si>
  <si>
    <t>FA-OSI-19-320</t>
  </si>
  <si>
    <t>FA-OSI-19-321</t>
  </si>
  <si>
    <t>FA-OSI-19-322</t>
  </si>
  <si>
    <t>FA-OSI-19-323</t>
  </si>
  <si>
    <t>FA-OSI-19-324</t>
  </si>
  <si>
    <t>08/10/2019</t>
  </si>
  <si>
    <t>FA-OSI-19-325</t>
  </si>
  <si>
    <t>FA-OSI-19-326</t>
  </si>
  <si>
    <t>FA-OSI-19-327</t>
  </si>
  <si>
    <t>FA-OSI-19-328</t>
  </si>
  <si>
    <t>FA-OSI-19-329</t>
  </si>
  <si>
    <t>Mr  Camara 
06 19 66 75 68 - 
 Mr  Bacconnet
06 12 89 24 53  bureau 
01 39 22 97 42      Jorge 0633568782</t>
  </si>
  <si>
    <t>19-0657</t>
  </si>
  <si>
    <t>19-0659</t>
  </si>
  <si>
    <t>19-0661</t>
  </si>
  <si>
    <t>19-0660</t>
  </si>
  <si>
    <t>19-0658</t>
  </si>
  <si>
    <t>murs plafond piece principal</t>
  </si>
  <si>
    <t>19-0662</t>
  </si>
  <si>
    <t>19-0663</t>
  </si>
  <si>
    <t>Diallo 0636364348</t>
  </si>
  <si>
    <t>mise en securité peinture murs et plafond cuisine sol cuisine peinture mur salle de bain</t>
  </si>
  <si>
    <t>Mr Sebire 0139115989</t>
  </si>
  <si>
    <t>11 allée de l'ivraie</t>
  </si>
  <si>
    <t>B051</t>
  </si>
  <si>
    <t xml:space="preserve">Ex Veroudart </t>
  </si>
  <si>
    <t xml:space="preserve">sols ch 1,2,3 peinture mur ch2 dejour entree dgt peinture plafond ch2 ch3 sejour entree degagement </t>
  </si>
  <si>
    <t>Mr Azzabi 0777831044</t>
  </si>
  <si>
    <t>Peinture mur placard retrait sol parquet + plastique sejour</t>
  </si>
  <si>
    <t>Gardien ne repond pas</t>
  </si>
  <si>
    <t xml:space="preserve">3 moulins des bassins </t>
  </si>
  <si>
    <t>villejuif</t>
  </si>
  <si>
    <t xml:space="preserve">moulin des bassins </t>
  </si>
  <si>
    <t>M. CANSIER 06 22 33 43 51</t>
  </si>
  <si>
    <t>ex De pascal</t>
  </si>
  <si>
    <t xml:space="preserve">peintures murs plafonds pieces humides peinture plafonds pieces seches preparation murs cuisine + chambre 1 et 2  + degagement + séjour </t>
  </si>
  <si>
    <t>FA-OSI-19-330</t>
  </si>
  <si>
    <t>14/10/2019</t>
  </si>
  <si>
    <t>FA-OSI-19-331</t>
  </si>
  <si>
    <t>FA-OSI-19-332</t>
  </si>
  <si>
    <t>FA-OSI-19-333</t>
  </si>
  <si>
    <t>FA-OSI-19-334</t>
  </si>
  <si>
    <t>FA-OSI-19-335</t>
  </si>
  <si>
    <t>FA-OSI-19-336</t>
  </si>
  <si>
    <t>FA-OSI-19-337</t>
  </si>
  <si>
    <t>FA-OSI-19-338</t>
  </si>
  <si>
    <t>Ex Mendes luis</t>
  </si>
  <si>
    <t xml:space="preserve">15 rue Nelaton </t>
  </si>
  <si>
    <t>Nelaton</t>
  </si>
  <si>
    <t>Ex Ronsin</t>
  </si>
  <si>
    <r>
      <t xml:space="preserve">Peinture murs et plafonds piéces humides, peinture plafonds piéces séches, remplacement sol cuisine, remplacement évier </t>
    </r>
    <r>
      <rPr>
        <sz val="8"/>
        <color rgb="FFFF0000"/>
        <rFont val="Calibri"/>
        <family val="2"/>
        <scheme val="minor"/>
      </rPr>
      <t>(tampon)</t>
    </r>
  </si>
  <si>
    <t>Sols : entrée/Wc/ - Murs : SDB/WC/Cuisine/- Remplacement Baignoire / - Plafonds : Ch1 - Ch 3/SDB/Cuisine/ WC./- Remplacement faïences cuisine</t>
  </si>
  <si>
    <t>FA-OSI-19-339</t>
  </si>
  <si>
    <t>15/10/2019</t>
  </si>
  <si>
    <t>FA-OSI-19-340</t>
  </si>
  <si>
    <t>75 rue des bons raisins</t>
  </si>
  <si>
    <t>gardienne / 
06 29 13 86 06</t>
  </si>
  <si>
    <t>Melle Couegnas</t>
  </si>
  <si>
    <t>démolition d'ouvrage, dépose de cloison (voir avec gardien)</t>
  </si>
  <si>
    <t>Me Labat
0660628148</t>
  </si>
  <si>
    <t>Travaux de plomberie</t>
  </si>
  <si>
    <t>Mr Camara                                       
06 27 18 38 70
Me RAMON 0626028790</t>
  </si>
  <si>
    <t>16h30</t>
  </si>
  <si>
    <t>FA-OSI-19-341</t>
  </si>
  <si>
    <t xml:space="preserve">Mme DEJESUS 06 99 91 05 20   </t>
  </si>
  <si>
    <t xml:space="preserve">Mme DEJESUS 06 99 91 05 20  </t>
  </si>
  <si>
    <t xml:space="preserve">Mme DEJESUS 06 99 91 05 20                                                                                                                                                                                                                       </t>
  </si>
  <si>
    <t xml:space="preserve">Mme DEJESUS 06 99 91 05 20                                                                                                                                                                                                                         </t>
  </si>
  <si>
    <t xml:space="preserve">Mme DEJESUS 06 99 91 05 20                                                                                                                                                                                                                        </t>
  </si>
  <si>
    <t>19-0669</t>
  </si>
  <si>
    <t>19-0667</t>
  </si>
  <si>
    <t>19-0668</t>
  </si>
  <si>
    <t>FA-OSI-19-342</t>
  </si>
  <si>
    <t>Me MEDELLEL
0601632108/0605969623</t>
  </si>
  <si>
    <t>Refection faïence pourtour de la baignoire + refection paillasse baignoire, évier, douche</t>
  </si>
  <si>
    <t>19-0671</t>
  </si>
  <si>
    <t>19-0670</t>
  </si>
  <si>
    <t>19-0672</t>
  </si>
  <si>
    <t>clé chez le gardien 23/10/2019</t>
  </si>
  <si>
    <t>19-0673</t>
  </si>
  <si>
    <t>FA-OSI-19-343</t>
  </si>
  <si>
    <t>17/10/2019</t>
  </si>
  <si>
    <t>19-0674</t>
  </si>
  <si>
    <t>FA-OSI-19-344</t>
  </si>
  <si>
    <t>FA-OSI-19-345</t>
  </si>
  <si>
    <t>M. Joncourt
0618324258</t>
  </si>
  <si>
    <t>FA-OSI-19-346</t>
  </si>
  <si>
    <t>21/10/2019</t>
  </si>
  <si>
    <t>FA-OSI-19-347</t>
  </si>
  <si>
    <t>FA-OSI-19-348</t>
  </si>
  <si>
    <t>FA-OSI-19-349</t>
  </si>
  <si>
    <t>FA-OSI-19-350</t>
  </si>
  <si>
    <t>FA-OSI-19-351</t>
  </si>
  <si>
    <t>FA-OSI-19-352</t>
  </si>
  <si>
    <t>FA-OSI-19-353</t>
  </si>
  <si>
    <t>34 rue chef de ville</t>
  </si>
  <si>
    <t>clamart</t>
  </si>
  <si>
    <t>ville st christophe</t>
  </si>
  <si>
    <t>ex yousaf</t>
  </si>
  <si>
    <t xml:space="preserve">preparation mur sejour remplacement sol chambre </t>
  </si>
  <si>
    <t>16 rue du canal</t>
  </si>
  <si>
    <t>ex samardziev</t>
  </si>
  <si>
    <t>peinture mur plafond cuisine sdb preparation mur chambre x2 cellier</t>
  </si>
  <si>
    <t>ex Wane</t>
  </si>
  <si>
    <t xml:space="preserve">peinture mur plafond cuisine sdb preparation mur et plafond sejour chambre 1 et 2 cellier </t>
  </si>
  <si>
    <t>1 rue arthur honegger</t>
  </si>
  <si>
    <t>Ex Jarrar</t>
  </si>
  <si>
    <t>preparation mur plafond cuisine chambre 2 et 4 peinture mur sdb</t>
  </si>
  <si>
    <t>41 ter rue de glatigny</t>
  </si>
  <si>
    <t>glatigny</t>
  </si>
  <si>
    <t>ex larek</t>
  </si>
  <si>
    <t>41 bis rue de glatigny</t>
  </si>
  <si>
    <t>ex decaux</t>
  </si>
  <si>
    <t>calstran 0611903797</t>
  </si>
  <si>
    <t>mur et plafond cuisine sejour et salle de bain + ROAI</t>
  </si>
  <si>
    <t xml:space="preserve">12 av jean moulin </t>
  </si>
  <si>
    <t>A-36</t>
  </si>
  <si>
    <t>Mme Merland 
06 10 64 97 20</t>
  </si>
  <si>
    <t>Ngoma 0752233412</t>
  </si>
  <si>
    <t>Dawatsang 0758183891</t>
  </si>
  <si>
    <t>depose meuble evier remplacement canalisation evacuation piochage voile beton et rebouchage</t>
  </si>
  <si>
    <t xml:space="preserve">48 allées des mesanges </t>
  </si>
  <si>
    <t>ex drouin</t>
  </si>
  <si>
    <t>mise en securité forfait plomberie forfait menuiserie peinture piece humide y compris cellier plafond et boiserie des pieces seches meuble sous evier peinture mur entree sejour chambre sols entree sejour wc chambre</t>
  </si>
  <si>
    <t>FA-OSI-19-354</t>
  </si>
  <si>
    <t>19-0678</t>
  </si>
  <si>
    <t>Chifflet djerbi 0652111485</t>
  </si>
  <si>
    <t>19-0683</t>
  </si>
  <si>
    <t>19-0684</t>
  </si>
  <si>
    <t>19-0682</t>
  </si>
  <si>
    <t>19-0685</t>
  </si>
  <si>
    <t>28 Res des taratres</t>
  </si>
  <si>
    <t>Ex Gruel</t>
  </si>
  <si>
    <t>coulibaly 0620920654</t>
  </si>
  <si>
    <t xml:space="preserve">peinture murs plafonds toutes les pieces sols toutes les pieces changement baignoire et faience sdb remplacement evier et fazience cuisine </t>
  </si>
  <si>
    <t>Mr GALLOIS 
06-13-63-18-00</t>
  </si>
  <si>
    <t>Mme Logez 0677315430</t>
  </si>
  <si>
    <t>Mme Fasquel
06 10 64 97 46</t>
  </si>
  <si>
    <t>locataire refuse les visites explusion en mars</t>
  </si>
  <si>
    <t xml:space="preserve">preparation mur cuisine </t>
  </si>
  <si>
    <t>preparation mur cuisine sdb/wc remplacement evier sol sejour</t>
  </si>
  <si>
    <t>preparation mur cuisine sol chambre remplacement baignoire</t>
  </si>
  <si>
    <t>gardienne en congé reviens le 28/10/2019</t>
  </si>
  <si>
    <t>19-0688</t>
  </si>
  <si>
    <t>19-0687</t>
  </si>
  <si>
    <t>19-0689</t>
  </si>
  <si>
    <t>Sol entrée, sejour</t>
  </si>
  <si>
    <t>Mr LEGER 06,82,83,86,93</t>
  </si>
  <si>
    <t>Ex Geneus</t>
  </si>
  <si>
    <t>19-0692</t>
  </si>
  <si>
    <t>19-0699</t>
  </si>
  <si>
    <t>19-0698</t>
  </si>
  <si>
    <t>19-0697</t>
  </si>
  <si>
    <t>19-0638       19-0677</t>
  </si>
  <si>
    <t>36 rue du 8 mai 1945</t>
  </si>
  <si>
    <t>Ex houegban</t>
  </si>
  <si>
    <t>murs et plafonds de tout le logement, Sols cuisine et chambre</t>
  </si>
  <si>
    <t>mr ansellem
0623148836</t>
  </si>
  <si>
    <t>peinture plafond séjour+chambre Remplacement évier (2 bacs) Remplacement baignoire</t>
  </si>
  <si>
    <t>Ex Entreprise Lesueur</t>
  </si>
  <si>
    <t>Mr Yatera
06 24 68 02 10
01 30 99 68 07</t>
  </si>
  <si>
    <t>FA-OSI-19-355</t>
  </si>
  <si>
    <t>28/10/2019</t>
  </si>
  <si>
    <t>FA-OSI-19-356</t>
  </si>
  <si>
    <t>FA-OSI-19-357</t>
  </si>
  <si>
    <t>FA-OSI-19-358</t>
  </si>
  <si>
    <t>12 allée de l'ivraie</t>
  </si>
  <si>
    <t>FA-OSI-19-359</t>
  </si>
  <si>
    <t>Ensemble Peintures : Sdb/WC/Cuisine, Peinture plafonds pièces sèches,  Sols:
Cuisine, Chambre</t>
  </si>
  <si>
    <t>Ensemble Peinture: SDB+ WC+ Cuisine</t>
  </si>
  <si>
    <t>22 rue des giroflées</t>
  </si>
  <si>
    <t>Ex de oliveira</t>
  </si>
  <si>
    <t>Plafonds: séjour, Ch1, Cuisine, Cellier, Murs: Ch1, Cuisine, cellier Sols: CellierCh1 , cuisine</t>
  </si>
  <si>
    <t>Ex Mallet</t>
  </si>
  <si>
    <t>Préparation murs et plafonds Cuisine+SDB- Remplacement sol Séjour+Chambre 1 et 2- Peinture plafond entrée</t>
  </si>
  <si>
    <t>19-0703</t>
  </si>
  <si>
    <t>19-0704</t>
  </si>
  <si>
    <t>19-0705</t>
  </si>
  <si>
    <t>19-0706</t>
  </si>
  <si>
    <t>Mme BOUGHAMNI 06 16 21 55 96</t>
  </si>
  <si>
    <t>AMIROUCHE 0140860993 0658511543 0665141779</t>
  </si>
  <si>
    <t>PREPARATION MUR ET PLAFOND CHAMBRE + ENTREE +SEJOUR +CUISINE</t>
  </si>
  <si>
    <t>19-0707</t>
  </si>
  <si>
    <t>19-0708</t>
  </si>
  <si>
    <t>Mme Thomas 0667301587</t>
  </si>
  <si>
    <t>FA-OSI-19-360</t>
  </si>
  <si>
    <t>30/10/2019</t>
  </si>
  <si>
    <t>7 allees camille pissarro</t>
  </si>
  <si>
    <t>Mme fortes 0627212284</t>
  </si>
  <si>
    <t>35 Rue du R. Père Gilbert</t>
  </si>
  <si>
    <t>ex Polanis</t>
  </si>
  <si>
    <t>RRA/A et B+DAT+GAZ + Crep</t>
  </si>
  <si>
    <t>Préparation Murs et plafons cuisine, Rplt Sol SDB, Préparation plafond SDB</t>
  </si>
  <si>
    <t>25 place le Vau</t>
  </si>
  <si>
    <t>2 rue pau casals</t>
  </si>
  <si>
    <t>Ex Jacomme</t>
  </si>
  <si>
    <t xml:space="preserve">preparation murs sejour  </t>
  </si>
  <si>
    <t>Code portique 1326</t>
  </si>
  <si>
    <t>19-0712</t>
  </si>
  <si>
    <t>Mme RENOUX
0610649780 0626348527</t>
  </si>
  <si>
    <t>Ex Amouri</t>
  </si>
  <si>
    <t>Murs sejour et dgt + sols sejour cuisine entree et dgt</t>
  </si>
  <si>
    <t>Ex Jointier</t>
  </si>
  <si>
    <t>peinture murs plafond pieces humides peintures plafonds pieces seches remplacements sols cuisine + séjour + entrée remplacement wc preparation mur chambre</t>
  </si>
  <si>
    <t>Ex Laquitaine</t>
  </si>
  <si>
    <t xml:space="preserve">peinture murs et plafonds pieces humides peinture plafonds pieces seches remplacement evier 2 bacs remplacements sols cuisine + sdb + wc + chambre 2 et 3 + sejour + entrée preparation murs chambre 1 remplacement baignoire </t>
  </si>
  <si>
    <t>6 avenue gugnon</t>
  </si>
  <si>
    <t>Ex Gaillot</t>
  </si>
  <si>
    <t>peinture murs plafond ensemble logement remplacement sol ensemble logement</t>
  </si>
  <si>
    <t>locataire ne repond pas clé chez le gardien le 30/12/2019</t>
  </si>
  <si>
    <t>44 rue henri barbusse</t>
  </si>
  <si>
    <t>henri barbusse</t>
  </si>
  <si>
    <t>Ex Clavier</t>
  </si>
  <si>
    <t>peinture murs et plafonds pieces humides peintures plafonds pieces seches remplacement evier 2 bacs remplacements sols cuisine + entrée + wc + chambre 1 preparations murs dgt</t>
  </si>
  <si>
    <t>Bourlet 0147121569 0670925429 0147443372</t>
  </si>
  <si>
    <t>travaux de plomberie voir devis</t>
  </si>
  <si>
    <t>3 rue jean pierre laurens</t>
  </si>
  <si>
    <t xml:space="preserve">Mme THOUEMENT    06 20 97 41 02 </t>
  </si>
  <si>
    <t>Ex Noita</t>
  </si>
  <si>
    <t>Peinture plafond cuisine + sdb remplacement sol cuisine remplacement evier 2 bacs preparation murs chambre 1 et 2</t>
  </si>
  <si>
    <t xml:space="preserve">43 rue lamartine </t>
  </si>
  <si>
    <t xml:space="preserve">Mr et Mme Sadoun 0147510622 0783111685 </t>
  </si>
  <si>
    <t>21 allées des pervenches</t>
  </si>
  <si>
    <t>Ex Dahbi</t>
  </si>
  <si>
    <t>mise en securité forfait gaz menuiserie et plomberie peinture mur et plafond ensemble des pieces reprise des sols ensemble pieces remplacement baignoire et sa faience remplacement evier 2 bacs + faience remplacement lavabo + faience remplacement wc</t>
  </si>
  <si>
    <t>19-0713</t>
  </si>
  <si>
    <t>19-0716</t>
  </si>
  <si>
    <t>19-0714</t>
  </si>
  <si>
    <t>19-0715</t>
  </si>
  <si>
    <t>19-0724</t>
  </si>
  <si>
    <t>19-0723</t>
  </si>
  <si>
    <t>7 rue jm jacquard</t>
  </si>
  <si>
    <t>Loango</t>
  </si>
  <si>
    <t>plafond toute les pieces murs sdb wc cuisine dgt</t>
  </si>
  <si>
    <t>26 place levau</t>
  </si>
  <si>
    <t>Bukonzo 0627884199</t>
  </si>
  <si>
    <t>PEINTURES MURS PLAFONDS PIECES HUMIDES PEINTURES PLAFONDS PIECES SECHES PREPARATIONS MURS ET PLAFONDS CUISINE + SEJOUR + DEGAGEMENT REMPLACERMENT SOLS SDB + CUISINE</t>
  </si>
  <si>
    <t>Mme HIDARI
07 77 86 91 63 - Mme BETHENCOURT
06,11,70,99,25</t>
  </si>
  <si>
    <t>Ex Harrache</t>
  </si>
  <si>
    <t>1 allée des mimosas</t>
  </si>
  <si>
    <t>Ex Traoré</t>
  </si>
  <si>
    <t>mise en sécurité forfait plomberie forfait menuiserie ROAI flexible peinture mur entrée sejour chambre dgt sols entrée sejour chambre et dgt</t>
  </si>
  <si>
    <t>12 Square du Mantois</t>
  </si>
  <si>
    <t>Ex Benard</t>
  </si>
  <si>
    <t>peinture murs et plafonds ch1/ch2/cuisine</t>
  </si>
  <si>
    <t>19-0726</t>
  </si>
  <si>
    <t>19-0727</t>
  </si>
  <si>
    <t>08/11/2019</t>
  </si>
  <si>
    <t>FA-OSI-19-361</t>
  </si>
  <si>
    <t>FA-OSI-19-362</t>
  </si>
  <si>
    <t>FA-OSI-19-363</t>
  </si>
  <si>
    <t>FA-OSI-19-364</t>
  </si>
  <si>
    <t>FA-OSI-19-365</t>
  </si>
  <si>
    <t>FA-OSI-19-366</t>
  </si>
  <si>
    <t>FA-OSI-19-367</t>
  </si>
  <si>
    <t>FA-OSI-19-368</t>
  </si>
  <si>
    <t>19 rue des marais</t>
  </si>
  <si>
    <t>le marais</t>
  </si>
  <si>
    <t>Mr lefevre 0611013284</t>
  </si>
  <si>
    <t>Ex Lermarchand</t>
  </si>
  <si>
    <t>Sols et murs de l'ensemble du logement</t>
  </si>
  <si>
    <t>19-0729</t>
  </si>
  <si>
    <t>22 allee des pervenches</t>
  </si>
  <si>
    <t>Ex Bouarourou</t>
  </si>
  <si>
    <t>mise en sécurité forfait plomberie forfait gaz forfait menuiserie peinture dans l'ensemble des pieces et reprise des sols remplacement lavabo complet baignoire complet depose etagere placard</t>
  </si>
  <si>
    <t>19-0718</t>
  </si>
  <si>
    <t>18/11/2019</t>
  </si>
  <si>
    <t>FA-OSI-19-369</t>
  </si>
  <si>
    <t>FA-OSI-19-370</t>
  </si>
  <si>
    <t>FA-OSI-19-371</t>
  </si>
  <si>
    <t>FA-OSI-19-372</t>
  </si>
  <si>
    <t>FA-OSI-19-373</t>
  </si>
  <si>
    <t>FA-OSI-19-374</t>
  </si>
  <si>
    <t>FA-OSI-19-375</t>
  </si>
  <si>
    <t>FA-OSI-19-376</t>
  </si>
  <si>
    <t>FA-OSI-19-377</t>
  </si>
  <si>
    <t>FA-OSI-19-378</t>
  </si>
  <si>
    <t>FA-OSI-19-379</t>
  </si>
  <si>
    <t>FA-OSI-19-380</t>
  </si>
  <si>
    <t>FA-OSI-19-381</t>
  </si>
  <si>
    <t>2 rue saint Christophe</t>
  </si>
  <si>
    <t>Camus 0634077527</t>
  </si>
  <si>
    <t>appelé la gardienne sur place</t>
  </si>
  <si>
    <t>15 allée des pervenches</t>
  </si>
  <si>
    <t>Cherchour 0613701555 0952723085</t>
  </si>
  <si>
    <t>mise en securité forfait plomberie forfait menuiserie peinture pieces humide y compris cellier plafond pieces seche murs chambre sejour entrée dgt sols cuisine sdb</t>
  </si>
  <si>
    <t>DAT/CREP</t>
  </si>
  <si>
    <t>19-0732</t>
  </si>
  <si>
    <t>FA-OSI-19-382</t>
  </si>
  <si>
    <t>21/11/2019</t>
  </si>
  <si>
    <t>FA-OSI-19-383</t>
  </si>
  <si>
    <t>FA-OSI-19-384</t>
  </si>
  <si>
    <t>FA-OSI-19-385</t>
  </si>
  <si>
    <t>FA-OSI-19-386</t>
  </si>
  <si>
    <t>FA-OSI-19-387</t>
  </si>
  <si>
    <t>FA-OSI-19-388</t>
  </si>
  <si>
    <t>FA-OSI-19-389</t>
  </si>
  <si>
    <t>FA-OSI-19-390</t>
  </si>
  <si>
    <t>FA-OSI-19-391</t>
  </si>
  <si>
    <t>Avant 9 h 15</t>
  </si>
  <si>
    <t>remplacement sol entrée dgt et sejour</t>
  </si>
  <si>
    <t xml:space="preserve">ne répond pas </t>
  </si>
  <si>
    <t>prelevement pour PMR dans sdb murs plafond enduit faience baignoire</t>
  </si>
  <si>
    <t>11h 11 h 30</t>
  </si>
  <si>
    <t>Clefs Merlan
rue du 8 mai</t>
  </si>
  <si>
    <t>Passer au Bureau</t>
  </si>
  <si>
    <t>Rplct d'élèment d'étage complet en fonte
Percement de plancher voile béton y compris rebouchage
(Voir gardien)</t>
  </si>
  <si>
    <t>Mme SILVA 06,07,95,98,60
rita.silva@cdc-habitat.fr
M. JONCOUR 06,18,32,42,58</t>
  </si>
  <si>
    <t>1 Square des Gaudonnes</t>
  </si>
  <si>
    <t>Hauts de Buzenval</t>
  </si>
  <si>
    <t>M. VELIA
0601678253</t>
  </si>
  <si>
    <t>Mme MEYER
0761110336</t>
  </si>
  <si>
    <t>Réfection totale salle de douche
Saignée sur mur
Faience</t>
  </si>
  <si>
    <t>BUCIUMAN
0626883865</t>
  </si>
  <si>
    <t>EX SIDIBE</t>
  </si>
  <si>
    <t>Peintures murs et plafond cuisine
Rplct sols séjours + 2 chambres</t>
  </si>
  <si>
    <t>19-0733</t>
  </si>
  <si>
    <t>19-0736</t>
  </si>
  <si>
    <t>19-0734</t>
  </si>
  <si>
    <t>19-0735</t>
  </si>
  <si>
    <t>Mr  Camara 
06 19 66 75 68 - 
 Mr  Bacconnet
06 12 89 24 53  bureau 
01 39 22 97 42      Jorge 0633568782 michel 0670055031</t>
  </si>
  <si>
    <t>10 allee des livrés montigny</t>
  </si>
  <si>
    <t>19-0739</t>
  </si>
  <si>
    <t>19-0740</t>
  </si>
  <si>
    <t>19-0741</t>
  </si>
  <si>
    <t>FA-OSI-19-392</t>
  </si>
  <si>
    <t>26/11/2019</t>
  </si>
  <si>
    <t>FA-OSI-19-393</t>
  </si>
  <si>
    <t>FA-OSI-19-394</t>
  </si>
  <si>
    <t>19-0742</t>
  </si>
  <si>
    <t>Ex El Ghouaouta</t>
  </si>
  <si>
    <t xml:space="preserve">mise en securité forfait plomberie forfait gaz forfait menuiserie sol cuisine sdb wc baignoire complete ( tampon et faience ) faience lavabo remplacement evier et meuble </t>
  </si>
  <si>
    <t>Ex Mbeng Nguema</t>
  </si>
  <si>
    <t xml:space="preserve">remplacement sols sejour + ch2 + ch3 </t>
  </si>
  <si>
    <t>6 res du port galand</t>
  </si>
  <si>
    <t>Ex Zani</t>
  </si>
  <si>
    <t xml:space="preserve">remplacement baignoire </t>
  </si>
  <si>
    <t>19-0743</t>
  </si>
  <si>
    <t>19-0744</t>
  </si>
  <si>
    <t>19-0745</t>
  </si>
  <si>
    <t>FA-OSI-19-395</t>
  </si>
  <si>
    <t>27/11/2019</t>
  </si>
  <si>
    <t>FA-OSI-19-396</t>
  </si>
  <si>
    <t>FA-OSI-19-397</t>
  </si>
  <si>
    <t>FA-OSI-19-398</t>
  </si>
  <si>
    <t>Mr Benini- 06,17,11,91,41-</t>
  </si>
  <si>
    <t>Mme Nasrine GUIDOUM 06.35.81.33.81 
M. DELEHAYE 06.23.03.68.13 
Mme CHALON 07.77.86.91.68</t>
  </si>
  <si>
    <t>Mme FOLIGNE 07.77.86.91.66</t>
  </si>
  <si>
    <t>19-0746</t>
  </si>
  <si>
    <t>DAT/CREP/GAZ</t>
  </si>
  <si>
    <t xml:space="preserve">Lessivage plafond cuisine preparation mur cuisine chambre x2 dgt, preparation mur plafond cellier </t>
  </si>
  <si>
    <t>FA-OSI-19-399</t>
  </si>
  <si>
    <t>02/12/2019</t>
  </si>
  <si>
    <t>FA-OSI-19-400</t>
  </si>
  <si>
    <t>FA-OSI-19-401</t>
  </si>
  <si>
    <t>FA-OSI-19-402</t>
  </si>
  <si>
    <t>04/12/2019</t>
  </si>
  <si>
    <t>FA-OSI-19-403</t>
  </si>
  <si>
    <t>19-0752</t>
  </si>
  <si>
    <t>19-0750</t>
  </si>
  <si>
    <t>19-0749</t>
  </si>
  <si>
    <t>8 res du port galand</t>
  </si>
  <si>
    <t>Ex Roum</t>
  </si>
  <si>
    <t>mme Lamand 0683506895</t>
  </si>
  <si>
    <t>PMR remplacement baignoire douche dans salle de bain peinture mur et plafond remplacement sol faience baignoire retrait baignoire</t>
  </si>
  <si>
    <t>Mr Benini                    06-17-11-91-41</t>
  </si>
  <si>
    <t>Me de Jesus 
06-16-65-34-02 M. PETIOT 06,27,54,03,73  M. LAURENT Vincent 06.71.61.10.17</t>
  </si>
  <si>
    <t>Mme Diarra 0623728036</t>
  </si>
  <si>
    <t>Mr Ait Daoub</t>
  </si>
  <si>
    <t>Mr Guimbeau 0645084955</t>
  </si>
  <si>
    <t>Rey Cardonna 0637036533</t>
  </si>
  <si>
    <t>Mme Marques 0698361970</t>
  </si>
  <si>
    <t>Mr Atayi 0614477239</t>
  </si>
  <si>
    <t>5 allées michel ange</t>
  </si>
  <si>
    <t xml:space="preserve">Mme GARCIA C. 06,70,16,81,06           M. DELEHAYE 06.23.03.68.13       Mme DEJESUS          06 99 91 05 20 </t>
  </si>
  <si>
    <t>16 allée paul signac</t>
  </si>
  <si>
    <t>Mme Okka 0669105033</t>
  </si>
  <si>
    <t>Mr Benini- 06,17,11,91,41</t>
  </si>
  <si>
    <t>Mme Narbonne 0686876368</t>
  </si>
  <si>
    <t>19-0753</t>
  </si>
  <si>
    <t>13 rue mozart</t>
  </si>
  <si>
    <t>res debussy ravel</t>
  </si>
  <si>
    <t>Ex Ait Lamellem</t>
  </si>
  <si>
    <t>19-0754</t>
  </si>
  <si>
    <t>Mur plafond cuisine salle de bain mur séjour ch1, 2, 3 sols cuisine dégagement</t>
  </si>
  <si>
    <t>FA-OSI-19-404</t>
  </si>
  <si>
    <t>09/12/2019</t>
  </si>
  <si>
    <t>FA-OSI-19-405</t>
  </si>
  <si>
    <t>FA-OSI-19-406</t>
  </si>
  <si>
    <t>FA-OSI-19-407</t>
  </si>
  <si>
    <t>FA-OSI-19-408</t>
  </si>
  <si>
    <t>FA-OSI-19-409</t>
  </si>
  <si>
    <t>FA-OSI-19-410</t>
  </si>
  <si>
    <t>FA-OSI-19-411</t>
  </si>
  <si>
    <t>FA-OSI-19-412</t>
  </si>
  <si>
    <t>17 h</t>
  </si>
  <si>
    <t>FA-OSI-19-413</t>
  </si>
  <si>
    <t>10/12/2019</t>
  </si>
  <si>
    <t>FA-OSI-19-414</t>
  </si>
  <si>
    <t>FA-OSI-19-415</t>
  </si>
  <si>
    <t>FA-OSI-19-416</t>
  </si>
  <si>
    <t>FA-OSI-19-417</t>
  </si>
  <si>
    <t>FA-OSI-19-418</t>
  </si>
  <si>
    <t>19-0760</t>
  </si>
  <si>
    <t>2 rue camille jenatzy</t>
  </si>
  <si>
    <t>henri rol-tanguy</t>
  </si>
  <si>
    <t>B32</t>
  </si>
  <si>
    <t>ADM mairie conflans</t>
  </si>
  <si>
    <t>D32</t>
  </si>
  <si>
    <t>Ex Sidney</t>
  </si>
  <si>
    <t>D43</t>
  </si>
  <si>
    <t>Ex Nivolle</t>
  </si>
  <si>
    <t>Carvalho 0613908046</t>
  </si>
  <si>
    <t>refection sols murs plafonds ensemble logement</t>
  </si>
  <si>
    <t>17 rue des marais</t>
  </si>
  <si>
    <t>Ex De graca</t>
  </si>
  <si>
    <t>El Gennouni 0617181133</t>
  </si>
  <si>
    <t>revision et mise en securité electrique du logement revision des menuiseries et plomberie remplacement ROAI preparation mur entrée sejour et chambre x3 recouvrement sols ensemble logement</t>
  </si>
  <si>
    <t>FA-OSI-19-419</t>
  </si>
  <si>
    <t xml:space="preserve">2 rue des Coquarts </t>
  </si>
  <si>
    <t>BLASCO Jean 0627001869</t>
  </si>
  <si>
    <t xml:space="preserve"> peinture murs et plafond sdb faïence baignoire
 retrait baignoire sol</t>
  </si>
  <si>
    <t>Entre 10 h et 12 h</t>
  </si>
  <si>
    <t>19-0765</t>
  </si>
  <si>
    <t>19-0767</t>
  </si>
  <si>
    <t>19-0768</t>
  </si>
  <si>
    <t xml:space="preserve">PMR: peinture murs et plafond sdb faïence baignoire retrait baignoire sol </t>
  </si>
  <si>
    <t>Pas avant le 30/12</t>
  </si>
  <si>
    <t xml:space="preserve">Mme Kalheb numero fils 0637224075
</t>
  </si>
  <si>
    <t>8h30</t>
  </si>
  <si>
    <t>Remplacement sol sdb + wc + chambres x 3 + cuisine
Remplacement faïence baignoire
Préparation murs chambre 2 côté salle de bain
Remplacement baignoire + évier</t>
  </si>
  <si>
    <t>19-0773</t>
  </si>
  <si>
    <t>Mr Meirland 0603385331</t>
  </si>
  <si>
    <t>19-0776</t>
  </si>
  <si>
    <t>Peinture plafond dégagement
Préparations murs ch 2+ ch 3
Préparations murs et plafonds ch 4</t>
  </si>
  <si>
    <t>Peintures murs et plafonds cuisine + SDB
Remplacement lavabo</t>
  </si>
  <si>
    <t>20-0004</t>
  </si>
  <si>
    <t>20-0005</t>
  </si>
  <si>
    <t>75621 Paris Cedex 13</t>
  </si>
  <si>
    <t>Relations Fournisseurs</t>
  </si>
  <si>
    <t>TSA 41432</t>
  </si>
  <si>
    <t>FA-DIM-19-</t>
  </si>
  <si>
    <t>20-0006</t>
  </si>
  <si>
    <t>FA-OSI-19-245</t>
  </si>
  <si>
    <t>G99075</t>
  </si>
  <si>
    <t>G99146</t>
  </si>
  <si>
    <t>G79282</t>
  </si>
  <si>
    <t>G76492</t>
  </si>
  <si>
    <t>G79243</t>
  </si>
  <si>
    <t>G77670</t>
  </si>
  <si>
    <t>G79139</t>
  </si>
  <si>
    <t>G79201</t>
  </si>
  <si>
    <t>FA-DIM-20-0014</t>
  </si>
  <si>
    <t>FA-DIM-20-0016</t>
  </si>
  <si>
    <t>FA-DIM-20-0018</t>
  </si>
  <si>
    <t>FA-DIM-20-0019</t>
  </si>
  <si>
    <t>FA-DIM-20-0022</t>
  </si>
  <si>
    <t>FA-DIM-20-0021</t>
  </si>
  <si>
    <t>29/01/2020</t>
  </si>
  <si>
    <t>FA-DIM-20-0015</t>
  </si>
  <si>
    <t>FA-DIM-20-0020</t>
  </si>
  <si>
    <t>Peinture murs et plafonds :séjour, dgt, cuisine, Peinture murs : sdb</t>
  </si>
  <si>
    <t>G80650</t>
  </si>
  <si>
    <t>19/02/2020</t>
  </si>
  <si>
    <t>FA-DIM-20-0046</t>
  </si>
  <si>
    <t>G80597</t>
  </si>
  <si>
    <t>03/03/2020</t>
  </si>
  <si>
    <t>FA-DIM-20-0122</t>
  </si>
  <si>
    <t>H74512</t>
  </si>
  <si>
    <t>FA-DIM-20-0142</t>
  </si>
  <si>
    <t>02/06/2020</t>
  </si>
  <si>
    <t>CKOESFKSOFS</t>
  </si>
  <si>
    <t>Non</t>
  </si>
  <si>
    <t>Oui</t>
  </si>
  <si>
    <t>21/08/2021</t>
  </si>
  <si>
    <t>A4245</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</si>
</sst>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6">
    <numFmt numFmtId="44" formatCode="_-* #,##0.00\ &quot;€&quot;_-;\-* #,##0.00\ &quot;€&quot;_-;_-* &quot;-&quot;??\ &quot;€&quot;_-;_-@_-"/>
    <numFmt numFmtId="164" formatCode="_-* #,##0.00\ _€_-;\-* #,##0.00\ _€_-;_-* &quot;-&quot;??\ _€_-;_-@_-"/>
    <numFmt numFmtId="165" formatCode="_(&quot;€&quot;* #,##0.00_);_(&quot;€&quot;* \(#,##0.00\);_(&quot;€&quot;* &quot;-&quot;??_);_(@_)"/>
    <numFmt numFmtId="166" formatCode="_-* #,##0.00\ [$€-40C]_-;\-* #,##0.00\ [$€-40C]_-;_-* &quot;-&quot;??\ [$€-40C]_-;_-@_-"/>
    <numFmt numFmtId="167" formatCode="#,##0.00\ [$€-40C];\-#,##0.00\ [$€-40C]"/>
    <numFmt numFmtId="168" formatCode="#,##0.00\ &quot;€&quot;"/>
  </numFmts>
  <fonts count="47" x14ac:knownFonts="1">
    <font>
      <sz val="11"/>
      <color theme="1"/>
      <name val="Calibri"/>
      <family val="2"/>
      <scheme val="minor"/>
    </font>
    <font>
      <sz val="11"/>
      <color theme="1"/>
      <name val="Calibri"/>
      <family val="2"/>
      <scheme val="minor"/>
    </font>
    <font>
      <sz val="11"/>
      <color indexed="63"/>
      <name val="Calibri"/>
      <family val="2"/>
    </font>
    <font>
      <b/>
      <sz val="11"/>
      <color indexed="63"/>
      <name val="Calibri"/>
      <family val="2"/>
    </font>
    <font>
      <b/>
      <sz val="14"/>
      <color indexed="63"/>
      <name val="Calibri"/>
      <family val="2"/>
    </font>
    <font>
      <b/>
      <sz val="48"/>
      <color indexed="63"/>
      <name val="Calibri"/>
      <family val="2"/>
    </font>
    <font>
      <b/>
      <sz val="11"/>
      <name val="Calibri"/>
      <family val="2"/>
    </font>
    <font>
      <sz val="11"/>
      <name val="Calibri"/>
      <family val="2"/>
    </font>
    <font>
      <sz val="10"/>
      <name val="Calibri"/>
      <family val="2"/>
    </font>
    <font>
      <sz val="12"/>
      <name val="Calibri"/>
      <family val="2"/>
    </font>
    <font>
      <b/>
      <sz val="11"/>
      <color indexed="9"/>
      <name val="Calibri"/>
      <family val="2"/>
    </font>
    <font>
      <b/>
      <sz val="12"/>
      <color indexed="63"/>
      <name val="Calibri"/>
      <family val="2"/>
    </font>
    <font>
      <sz val="12"/>
      <color indexed="63"/>
      <name val="Calibri"/>
      <family val="2"/>
    </font>
    <font>
      <sz val="11"/>
      <color indexed="8"/>
      <name val="Calibri"/>
      <family val="2"/>
    </font>
    <font>
      <sz val="8"/>
      <name val="Calibri"/>
      <family val="2"/>
    </font>
    <font>
      <sz val="7"/>
      <color indexed="63"/>
      <name val="Calibri"/>
      <family val="2"/>
    </font>
    <font>
      <sz val="8"/>
      <color indexed="63"/>
      <name val="Calibri"/>
      <family val="2"/>
    </font>
    <font>
      <b/>
      <sz val="12"/>
      <color indexed="9"/>
      <name val="Calibri"/>
      <family val="2"/>
    </font>
    <font>
      <u/>
      <sz val="11"/>
      <color indexed="63"/>
      <name val="Calibri"/>
      <family val="2"/>
    </font>
    <font>
      <sz val="10"/>
      <color indexed="63"/>
      <name val="Calibri"/>
      <family val="2"/>
    </font>
    <font>
      <i/>
      <sz val="10"/>
      <name val="Calibri"/>
      <family val="2"/>
    </font>
    <font>
      <b/>
      <sz val="10"/>
      <color indexed="63"/>
      <name val="Calibri"/>
      <family val="2"/>
    </font>
    <font>
      <b/>
      <sz val="16"/>
      <color indexed="63"/>
      <name val="Calibri"/>
      <family val="2"/>
    </font>
    <font>
      <i/>
      <sz val="8"/>
      <name val="Calibri"/>
      <family val="2"/>
    </font>
    <font>
      <sz val="14"/>
      <color rgb="FF222222"/>
      <name val="Arial"/>
      <family val="2"/>
    </font>
    <font>
      <sz val="9"/>
      <color indexed="81"/>
      <name val="Tahoma"/>
      <family val="2"/>
    </font>
    <font>
      <b/>
      <sz val="9"/>
      <color indexed="81"/>
      <name val="Tahoma"/>
      <family val="2"/>
    </font>
    <font>
      <b/>
      <sz val="10"/>
      <color theme="0"/>
      <name val="Calibri"/>
      <family val="2"/>
      <scheme val="minor"/>
    </font>
    <font>
      <sz val="9"/>
      <color theme="1"/>
      <name val="Calibri"/>
      <family val="2"/>
      <scheme val="minor"/>
    </font>
    <font>
      <sz val="9"/>
      <name val="Calibri"/>
      <family val="2"/>
      <scheme val="minor"/>
    </font>
    <font>
      <sz val="8"/>
      <color theme="1"/>
      <name val="Calibri"/>
      <family val="2"/>
      <scheme val="minor"/>
    </font>
    <font>
      <sz val="11"/>
      <color theme="1"/>
      <name val="Calibri"/>
      <family val="2"/>
      <scheme val="minor"/>
    </font>
    <font>
      <sz val="10"/>
      <color theme="1"/>
      <name val="Calibri"/>
      <family val="2"/>
      <scheme val="minor"/>
    </font>
    <font>
      <sz val="8"/>
      <name val="Calibri"/>
      <family val="2"/>
      <scheme val="minor"/>
    </font>
    <font>
      <sz val="10"/>
      <name val="Arial"/>
      <family val="2"/>
    </font>
    <font>
      <sz val="9"/>
      <color rgb="FFFF0000"/>
      <name val="Calibri"/>
      <family val="2"/>
      <scheme val="minor"/>
    </font>
    <font>
      <b/>
      <sz val="9"/>
      <color rgb="FFFF0000"/>
      <name val="Calibri"/>
      <family val="2"/>
      <scheme val="minor"/>
    </font>
    <font>
      <b/>
      <sz val="9"/>
      <color theme="1"/>
      <name val="Calibri"/>
      <family val="2"/>
      <scheme val="minor"/>
    </font>
    <font>
      <sz val="11"/>
      <color theme="1"/>
      <name val="Calibri"/>
      <family val="2"/>
      <scheme val="minor"/>
    </font>
    <font>
      <sz val="9"/>
      <color theme="1"/>
      <name val="Calibri"/>
      <family val="2"/>
      <scheme val="minor"/>
    </font>
    <font>
      <sz val="8"/>
      <color rgb="FFFF0000"/>
      <name val="Calibri"/>
      <family val="2"/>
      <scheme val="minor"/>
    </font>
    <font>
      <sz val="9"/>
      <color theme="1"/>
      <name val="Calibri"/>
      <family val="2"/>
      <scheme val="minor"/>
    </font>
    <font>
      <sz val="8"/>
      <color theme="1"/>
      <name val="Calibri"/>
      <family val="2"/>
      <scheme val="minor"/>
    </font>
    <font>
      <sz val="10"/>
      <name val="Arial"/>
      <family val="2"/>
    </font>
    <font>
      <b/>
      <sz val="8"/>
      <color rgb="FFFF0000"/>
      <name val="Calibri"/>
      <family val="2"/>
      <scheme val="minor"/>
    </font>
    <font>
      <sz val="9"/>
      <color theme="1"/>
      <name val="Calibri"/>
      <scheme val="minor"/>
    </font>
    <font>
      <sz val="8"/>
      <color theme="1"/>
      <name val="Calibri"/>
      <scheme val="minor"/>
    </font>
  </fonts>
  <fills count="14">
    <fill>
      <patternFill patternType="none"/>
    </fill>
    <fill>
      <patternFill patternType="gray125"/>
    </fill>
    <fill>
      <patternFill patternType="solid">
        <fgColor rgb="FF002060"/>
        <bgColor indexed="64"/>
      </patternFill>
    </fill>
    <fill>
      <patternFill patternType="solid">
        <fgColor indexed="9"/>
        <bgColor indexed="64"/>
      </patternFill>
    </fill>
    <fill>
      <patternFill patternType="solid">
        <fgColor rgb="FF92D050"/>
        <bgColor indexed="64"/>
      </patternFill>
    </fill>
    <fill>
      <patternFill patternType="solid">
        <fgColor theme="0"/>
        <bgColor indexed="64"/>
      </patternFill>
    </fill>
    <fill>
      <patternFill patternType="solid">
        <fgColor theme="9" tint="0.59999389629810485"/>
        <bgColor indexed="64"/>
      </patternFill>
    </fill>
    <fill>
      <patternFill patternType="solid">
        <fgColor rgb="FFFFFF00"/>
        <bgColor indexed="64"/>
      </patternFill>
    </fill>
    <fill>
      <patternFill patternType="solid">
        <fgColor theme="5"/>
        <bgColor indexed="64"/>
      </patternFill>
    </fill>
    <fill>
      <patternFill patternType="solid">
        <fgColor theme="5" tint="0.59999389629810485"/>
        <bgColor indexed="64"/>
      </patternFill>
    </fill>
    <fill>
      <patternFill patternType="solid">
        <fgColor theme="5" tint="0.39997558519241921"/>
        <bgColor indexed="64"/>
      </patternFill>
    </fill>
    <fill>
      <patternFill patternType="solid">
        <fgColor theme="9" tint="0.39997558519241921"/>
        <bgColor indexed="64"/>
      </patternFill>
    </fill>
    <fill>
      <patternFill patternType="solid">
        <fgColor rgb="FFFF0000"/>
        <bgColor indexed="64"/>
      </patternFill>
    </fill>
    <fill>
      <patternFill patternType="solid">
        <fgColor theme="8"/>
        <bgColor indexed="64"/>
      </patternFill>
    </fill>
  </fills>
  <borders count="16">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right/>
      <top style="thin">
        <color indexed="64"/>
      </top>
      <bottom/>
      <diagonal/>
    </border>
    <border>
      <left/>
      <right/>
      <top/>
      <bottom style="thin">
        <color indexed="64"/>
      </bottom>
      <diagonal/>
    </border>
    <border>
      <left/>
      <right/>
      <top style="thin">
        <color indexed="64"/>
      </top>
      <bottom style="thin">
        <color indexed="64"/>
      </bottom>
      <diagonal/>
    </border>
    <border>
      <left style="thin">
        <color indexed="64"/>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style="thin">
        <color indexed="64"/>
      </right>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s>
  <cellStyleXfs count="6">
    <xf numFmtId="0" fontId="0" fillId="0" borderId="0"/>
    <xf numFmtId="164" fontId="1" fillId="0" borderId="0" applyFont="0" applyFill="0" applyBorder="0" applyAlignment="0" applyProtection="0"/>
    <xf numFmtId="44" fontId="1" fillId="0" borderId="0" applyFont="0" applyFill="0" applyBorder="0" applyAlignment="0" applyProtection="0"/>
    <xf numFmtId="165" fontId="13" fillId="0" borderId="0" applyFont="0" applyFill="0" applyBorder="0" applyAlignment="0" applyProtection="0"/>
    <xf numFmtId="0" fontId="34" fillId="0" borderId="0"/>
    <xf numFmtId="0" fontId="43" fillId="0" borderId="0"/>
  </cellStyleXfs>
  <cellXfs count="181">
    <xf numFmtId="0" fontId="0" fillId="0" borderId="0" xfId="0"/>
    <xf numFmtId="0" fontId="2" fillId="3" borderId="0" xfId="0" applyFont="1" applyFill="1" applyAlignment="1">
      <alignment vertical="center"/>
    </xf>
    <xf numFmtId="0" fontId="3" fillId="3" borderId="0" xfId="0" applyFont="1" applyFill="1" applyAlignment="1">
      <alignment vertical="center"/>
    </xf>
    <xf numFmtId="0" fontId="5" fillId="3" borderId="0" xfId="0" applyFont="1" applyFill="1" applyAlignment="1">
      <alignment horizontal="center" vertical="center"/>
    </xf>
    <xf numFmtId="0" fontId="4" fillId="3" borderId="0" xfId="0" applyFont="1" applyFill="1" applyAlignment="1">
      <alignment horizontal="left" vertical="center"/>
    </xf>
    <xf numFmtId="0" fontId="7" fillId="3" borderId="0" xfId="0" applyFont="1" applyFill="1" applyAlignment="1">
      <alignment horizontal="left" vertical="center"/>
    </xf>
    <xf numFmtId="0" fontId="2" fillId="3" borderId="0" xfId="0" applyFont="1" applyFill="1" applyAlignment="1">
      <alignment horizontal="left" vertical="center"/>
    </xf>
    <xf numFmtId="1" fontId="7" fillId="3" borderId="0" xfId="0" quotePrefix="1" applyNumberFormat="1" applyFont="1" applyFill="1" applyAlignment="1">
      <alignment horizontal="left" vertical="center"/>
    </xf>
    <xf numFmtId="0" fontId="7" fillId="3" borderId="9" xfId="0" applyFont="1" applyFill="1" applyBorder="1" applyAlignment="1">
      <alignment vertical="center"/>
    </xf>
    <xf numFmtId="0" fontId="7" fillId="3" borderId="0" xfId="0" applyFont="1" applyFill="1" applyAlignment="1">
      <alignment vertical="center"/>
    </xf>
    <xf numFmtId="0" fontId="7" fillId="3" borderId="10" xfId="0" applyFont="1" applyFill="1" applyBorder="1" applyAlignment="1">
      <alignment vertical="center"/>
    </xf>
    <xf numFmtId="0" fontId="5" fillId="3" borderId="0" xfId="0" applyFont="1" applyFill="1" applyAlignment="1">
      <alignment vertical="center"/>
    </xf>
    <xf numFmtId="0" fontId="7" fillId="3" borderId="11" xfId="0" applyFont="1" applyFill="1" applyBorder="1" applyAlignment="1">
      <alignment vertical="center"/>
    </xf>
    <xf numFmtId="0" fontId="7" fillId="3" borderId="5" xfId="0" applyFont="1" applyFill="1" applyBorder="1" applyAlignment="1">
      <alignment vertical="center"/>
    </xf>
    <xf numFmtId="0" fontId="7" fillId="3" borderId="12" xfId="0" applyFont="1" applyFill="1" applyBorder="1" applyAlignment="1">
      <alignment vertical="center"/>
    </xf>
    <xf numFmtId="0" fontId="6" fillId="4" borderId="1" xfId="0" applyFont="1" applyFill="1" applyBorder="1" applyAlignment="1">
      <alignment horizontal="center" vertical="center" wrapText="1"/>
    </xf>
    <xf numFmtId="0" fontId="6" fillId="4" borderId="6" xfId="0" applyFont="1" applyFill="1" applyBorder="1" applyAlignment="1">
      <alignment horizontal="center" vertical="center" wrapText="1"/>
    </xf>
    <xf numFmtId="0" fontId="12" fillId="3" borderId="0" xfId="0" applyFont="1" applyFill="1" applyAlignment="1">
      <alignment horizontal="center" vertical="center"/>
    </xf>
    <xf numFmtId="0" fontId="12" fillId="3" borderId="2" xfId="0" applyFont="1" applyFill="1" applyBorder="1" applyAlignment="1">
      <alignment horizontal="center" vertical="center"/>
    </xf>
    <xf numFmtId="0" fontId="2" fillId="3" borderId="5" xfId="0" applyFont="1" applyFill="1" applyBorder="1" applyAlignment="1">
      <alignment horizontal="center" vertical="center"/>
    </xf>
    <xf numFmtId="0" fontId="2" fillId="3" borderId="3" xfId="0" applyFont="1" applyFill="1" applyBorder="1" applyAlignment="1">
      <alignment horizontal="center" vertical="center"/>
    </xf>
    <xf numFmtId="0" fontId="12" fillId="3" borderId="0" xfId="0" applyFont="1" applyFill="1" applyAlignment="1">
      <alignment vertical="center"/>
    </xf>
    <xf numFmtId="0" fontId="14" fillId="3" borderId="0" xfId="0" applyFont="1" applyFill="1" applyAlignment="1">
      <alignment horizontal="left" vertical="center"/>
    </xf>
    <xf numFmtId="0" fontId="15" fillId="3" borderId="0" xfId="0" applyFont="1" applyFill="1" applyAlignment="1">
      <alignment horizontal="left" vertical="center" indent="1"/>
    </xf>
    <xf numFmtId="0" fontId="12" fillId="3" borderId="0" xfId="0" applyFont="1" applyFill="1" applyAlignment="1">
      <alignment vertical="center" wrapText="1"/>
    </xf>
    <xf numFmtId="0" fontId="12" fillId="3" borderId="0" xfId="0" applyFont="1" applyFill="1" applyAlignment="1">
      <alignment vertical="top" wrapText="1"/>
    </xf>
    <xf numFmtId="0" fontId="16" fillId="3" borderId="0" xfId="0" applyFont="1" applyFill="1" applyAlignment="1">
      <alignment vertical="top" wrapText="1"/>
    </xf>
    <xf numFmtId="0" fontId="19" fillId="3" borderId="0" xfId="0" applyFont="1" applyFill="1" applyAlignment="1">
      <alignment vertical="center"/>
    </xf>
    <xf numFmtId="0" fontId="2" fillId="3" borderId="0" xfId="0" applyFont="1" applyFill="1" applyAlignment="1">
      <alignment horizontal="center" vertical="center" wrapText="1"/>
    </xf>
    <xf numFmtId="0" fontId="0" fillId="0" borderId="0" xfId="0" applyAlignment="1">
      <alignment horizontal="center" vertical="center"/>
    </xf>
    <xf numFmtId="44" fontId="0" fillId="0" borderId="0" xfId="2" applyFont="1" applyAlignment="1">
      <alignment horizontal="center" vertical="center"/>
    </xf>
    <xf numFmtId="44" fontId="0" fillId="0" borderId="0" xfId="2" applyFont="1" applyAlignment="1">
      <alignment vertical="center"/>
    </xf>
    <xf numFmtId="0" fontId="0" fillId="0" borderId="0" xfId="0" applyAlignment="1">
      <alignment horizontal="center"/>
    </xf>
    <xf numFmtId="44" fontId="0" fillId="0" borderId="0" xfId="2" applyFont="1" applyAlignment="1">
      <alignment horizontal="center"/>
    </xf>
    <xf numFmtId="0" fontId="0" fillId="0" borderId="0" xfId="0" applyAlignment="1">
      <alignment horizontal="left" vertical="center" wrapText="1"/>
    </xf>
    <xf numFmtId="0" fontId="24" fillId="0" borderId="0" xfId="0" applyFont="1"/>
    <xf numFmtId="0" fontId="7" fillId="5" borderId="0" xfId="0" applyFont="1" applyFill="1" applyAlignment="1">
      <alignment horizontal="left" vertical="center"/>
    </xf>
    <xf numFmtId="0" fontId="7" fillId="5" borderId="10" xfId="0" applyFont="1" applyFill="1" applyBorder="1" applyAlignment="1">
      <alignment horizontal="left" vertical="center"/>
    </xf>
    <xf numFmtId="0" fontId="7" fillId="5" borderId="0" xfId="0" applyFont="1" applyFill="1" applyAlignment="1">
      <alignment vertical="center"/>
    </xf>
    <xf numFmtId="0" fontId="7" fillId="5" borderId="10" xfId="0" applyFont="1" applyFill="1" applyBorder="1" applyAlignment="1">
      <alignment vertical="center"/>
    </xf>
    <xf numFmtId="0" fontId="2" fillId="5" borderId="0" xfId="0" applyFont="1" applyFill="1" applyAlignment="1">
      <alignment horizontal="center" vertical="center"/>
    </xf>
    <xf numFmtId="166" fontId="2" fillId="5" borderId="0" xfId="3" applyNumberFormat="1" applyFont="1" applyFill="1" applyAlignment="1">
      <alignment vertical="center"/>
    </xf>
    <xf numFmtId="166" fontId="2" fillId="5" borderId="9" xfId="0" applyNumberFormat="1" applyFont="1" applyFill="1" applyBorder="1" applyAlignment="1">
      <alignment vertical="center"/>
    </xf>
    <xf numFmtId="166" fontId="2" fillId="5" borderId="10" xfId="0" applyNumberFormat="1" applyFont="1" applyFill="1" applyBorder="1" applyAlignment="1">
      <alignment vertical="center"/>
    </xf>
    <xf numFmtId="0" fontId="2" fillId="5" borderId="9" xfId="0" applyFont="1" applyFill="1" applyBorder="1" applyAlignment="1">
      <alignment vertical="center"/>
    </xf>
    <xf numFmtId="0" fontId="2" fillId="5" borderId="0" xfId="0" applyFont="1" applyFill="1" applyAlignment="1">
      <alignment vertical="center"/>
    </xf>
    <xf numFmtId="0" fontId="2" fillId="5" borderId="10" xfId="0" applyFont="1" applyFill="1" applyBorder="1" applyAlignment="1">
      <alignment vertical="center"/>
    </xf>
    <xf numFmtId="0" fontId="2" fillId="5" borderId="9" xfId="0" applyFont="1" applyFill="1" applyBorder="1" applyAlignment="1">
      <alignment horizontal="left" vertical="center"/>
    </xf>
    <xf numFmtId="0" fontId="2" fillId="5" borderId="0" xfId="0" applyFont="1" applyFill="1" applyAlignment="1">
      <alignment horizontal="left" vertical="center"/>
    </xf>
    <xf numFmtId="49" fontId="2" fillId="5" borderId="0" xfId="0" applyNumberFormat="1" applyFont="1" applyFill="1" applyAlignment="1">
      <alignment horizontal="left" vertical="center"/>
    </xf>
    <xf numFmtId="0" fontId="2" fillId="5" borderId="10" xfId="0" applyFont="1" applyFill="1" applyBorder="1" applyAlignment="1">
      <alignment horizontal="left" vertical="center"/>
    </xf>
    <xf numFmtId="0" fontId="11" fillId="5" borderId="0" xfId="0" applyFont="1" applyFill="1" applyAlignment="1">
      <alignment horizontal="left" vertical="center"/>
    </xf>
    <xf numFmtId="14" fontId="11" fillId="5" borderId="0" xfId="0" applyNumberFormat="1" applyFont="1" applyFill="1" applyAlignment="1">
      <alignment horizontal="left" vertical="center"/>
    </xf>
    <xf numFmtId="0" fontId="3" fillId="5" borderId="0" xfId="0" applyFont="1" applyFill="1" applyAlignment="1">
      <alignment vertical="center"/>
    </xf>
    <xf numFmtId="168" fontId="2" fillId="5" borderId="2" xfId="0" applyNumberFormat="1" applyFont="1" applyFill="1" applyBorder="1" applyAlignment="1">
      <alignment horizontal="center" vertical="center"/>
    </xf>
    <xf numFmtId="0" fontId="27" fillId="2" borderId="15" xfId="0" applyFont="1" applyFill="1" applyBorder="1" applyAlignment="1">
      <alignment horizontal="center" vertical="center" wrapText="1"/>
    </xf>
    <xf numFmtId="9" fontId="27" fillId="2" borderId="15" xfId="0" applyNumberFormat="1" applyFont="1" applyFill="1" applyBorder="1" applyAlignment="1">
      <alignment horizontal="center" vertical="center" wrapText="1"/>
    </xf>
    <xf numFmtId="0" fontId="27" fillId="2" borderId="2" xfId="0" applyFont="1" applyFill="1" applyBorder="1" applyAlignment="1">
      <alignment horizontal="center" vertical="center" wrapText="1"/>
    </xf>
    <xf numFmtId="0" fontId="6" fillId="5" borderId="7" xfId="0" applyFont="1" applyFill="1" applyBorder="1" applyAlignment="1">
      <alignment vertical="center"/>
    </xf>
    <xf numFmtId="0" fontId="6" fillId="5" borderId="4" xfId="0" applyFont="1" applyFill="1" applyBorder="1" applyAlignment="1">
      <alignment vertical="center"/>
    </xf>
    <xf numFmtId="0" fontId="7" fillId="5" borderId="8" xfId="0" applyFont="1" applyFill="1" applyBorder="1" applyAlignment="1">
      <alignment vertical="center"/>
    </xf>
    <xf numFmtId="0" fontId="7" fillId="5" borderId="9" xfId="0" applyFont="1" applyFill="1" applyBorder="1" applyAlignment="1">
      <alignment vertical="center"/>
    </xf>
    <xf numFmtId="0" fontId="9" fillId="5" borderId="9" xfId="0" applyFont="1" applyFill="1" applyBorder="1" applyAlignment="1">
      <alignment vertical="center"/>
    </xf>
    <xf numFmtId="0" fontId="9" fillId="5" borderId="0" xfId="0" applyFont="1" applyFill="1" applyAlignment="1">
      <alignment vertical="center"/>
    </xf>
    <xf numFmtId="0" fontId="18" fillId="5" borderId="0" xfId="0" applyFont="1" applyFill="1" applyAlignment="1">
      <alignment vertical="center"/>
    </xf>
    <xf numFmtId="0" fontId="19" fillId="5" borderId="0" xfId="0" applyFont="1" applyFill="1" applyAlignment="1">
      <alignment vertical="center"/>
    </xf>
    <xf numFmtId="0" fontId="20" fillId="5" borderId="0" xfId="0" applyFont="1" applyFill="1" applyAlignment="1">
      <alignment horizontal="left" vertical="center"/>
    </xf>
    <xf numFmtId="0" fontId="21" fillId="5" borderId="0" xfId="0" applyFont="1" applyFill="1" applyAlignment="1">
      <alignment horizontal="center" vertical="center"/>
    </xf>
    <xf numFmtId="0" fontId="23" fillId="5" borderId="0" xfId="0" applyFont="1" applyFill="1" applyAlignment="1">
      <alignment horizontal="left" vertical="center"/>
    </xf>
    <xf numFmtId="0" fontId="28" fillId="5" borderId="1" xfId="0" applyFont="1" applyFill="1" applyBorder="1" applyAlignment="1" applyProtection="1">
      <alignment horizontal="center" vertical="center" wrapText="1"/>
      <protection locked="0"/>
    </xf>
    <xf numFmtId="44" fontId="28" fillId="5" borderId="1" xfId="2" applyFont="1" applyFill="1" applyBorder="1" applyAlignment="1">
      <alignment horizontal="center" vertical="center" wrapText="1"/>
    </xf>
    <xf numFmtId="14" fontId="28" fillId="5" borderId="1" xfId="0" applyNumberFormat="1" applyFont="1" applyFill="1" applyBorder="1" applyAlignment="1" applyProtection="1">
      <alignment horizontal="center" vertical="center" wrapText="1"/>
      <protection locked="0"/>
    </xf>
    <xf numFmtId="0" fontId="28" fillId="5" borderId="1" xfId="1" applyNumberFormat="1" applyFont="1" applyFill="1" applyBorder="1" applyAlignment="1" applyProtection="1">
      <alignment horizontal="center" vertical="center" wrapText="1"/>
      <protection locked="0"/>
    </xf>
    <xf numFmtId="0" fontId="30" fillId="5" borderId="1" xfId="0" applyFont="1" applyFill="1" applyBorder="1" applyAlignment="1" applyProtection="1">
      <alignment horizontal="center" vertical="center" wrapText="1"/>
      <protection locked="0"/>
    </xf>
    <xf numFmtId="16" fontId="28" fillId="5" borderId="1" xfId="0" applyNumberFormat="1" applyFont="1" applyFill="1" applyBorder="1" applyAlignment="1" applyProtection="1">
      <alignment horizontal="center" vertical="center" wrapText="1"/>
      <protection locked="0"/>
    </xf>
    <xf numFmtId="0" fontId="0" fillId="4" borderId="0" xfId="0" applyFill="1" applyAlignment="1">
      <alignment horizontal="center" vertical="center" wrapText="1"/>
    </xf>
    <xf numFmtId="0" fontId="0" fillId="4" borderId="0" xfId="0" applyFill="1" applyAlignment="1">
      <alignment horizontal="center" vertical="center"/>
    </xf>
    <xf numFmtId="0" fontId="0" fillId="4" borderId="0" xfId="0" applyFill="1" applyAlignment="1">
      <alignment horizontal="center"/>
    </xf>
    <xf numFmtId="44" fontId="31" fillId="0" borderId="0" xfId="2" applyFont="1" applyAlignment="1">
      <alignment horizontal="center" vertical="center"/>
    </xf>
    <xf numFmtId="0" fontId="29" fillId="5" borderId="1" xfId="0" applyFont="1" applyFill="1" applyBorder="1" applyAlignment="1" applyProtection="1">
      <alignment horizontal="center" vertical="center" wrapText="1"/>
      <protection locked="0"/>
    </xf>
    <xf numFmtId="14" fontId="29" fillId="5" borderId="1" xfId="0" applyNumberFormat="1" applyFont="1" applyFill="1" applyBorder="1" applyAlignment="1" applyProtection="1">
      <alignment horizontal="center" vertical="center" wrapText="1"/>
      <protection locked="0"/>
    </xf>
    <xf numFmtId="17" fontId="28" fillId="5" borderId="1" xfId="0" applyNumberFormat="1" applyFont="1" applyFill="1" applyBorder="1" applyAlignment="1" applyProtection="1">
      <alignment horizontal="center" vertical="center" wrapText="1"/>
      <protection locked="0"/>
    </xf>
    <xf numFmtId="0" fontId="1" fillId="5" borderId="1" xfId="0" applyFont="1" applyFill="1" applyBorder="1" applyAlignment="1" applyProtection="1">
      <alignment horizontal="center" vertical="center" wrapText="1"/>
      <protection locked="0"/>
    </xf>
    <xf numFmtId="0" fontId="0" fillId="5" borderId="1" xfId="0" applyFill="1" applyBorder="1" applyAlignment="1" applyProtection="1">
      <alignment horizontal="center" vertical="center" wrapText="1"/>
      <protection locked="0"/>
    </xf>
    <xf numFmtId="0" fontId="32" fillId="5" borderId="1" xfId="0" applyFont="1" applyFill="1" applyBorder="1" applyAlignment="1" applyProtection="1">
      <alignment horizontal="center" vertical="center" wrapText="1"/>
      <protection locked="0"/>
    </xf>
    <xf numFmtId="0" fontId="33" fillId="5" borderId="1" xfId="0" applyFont="1" applyFill="1" applyBorder="1" applyAlignment="1" applyProtection="1">
      <alignment horizontal="center" vertical="center" wrapText="1"/>
      <protection locked="0"/>
    </xf>
    <xf numFmtId="49" fontId="28" fillId="5" borderId="1" xfId="0" applyNumberFormat="1" applyFont="1" applyFill="1" applyBorder="1" applyAlignment="1" applyProtection="1">
      <alignment horizontal="center" vertical="center" wrapText="1"/>
      <protection locked="0"/>
    </xf>
    <xf numFmtId="20" fontId="28" fillId="5" borderId="1" xfId="0" applyNumberFormat="1" applyFont="1" applyFill="1" applyBorder="1" applyAlignment="1" applyProtection="1">
      <alignment horizontal="center" vertical="center" wrapText="1"/>
      <protection locked="0"/>
    </xf>
    <xf numFmtId="0" fontId="28" fillId="5" borderId="2" xfId="0" applyFont="1" applyFill="1" applyBorder="1" applyAlignment="1" applyProtection="1">
      <alignment horizontal="center" vertical="center" wrapText="1"/>
      <protection locked="0"/>
    </xf>
    <xf numFmtId="0" fontId="0" fillId="5" borderId="2" xfId="0" applyFill="1" applyBorder="1" applyProtection="1">
      <protection locked="0"/>
    </xf>
    <xf numFmtId="0" fontId="28" fillId="6" borderId="1" xfId="0" applyFont="1" applyFill="1" applyBorder="1" applyAlignment="1" applyProtection="1">
      <alignment horizontal="center" vertical="center" wrapText="1"/>
      <protection locked="0"/>
    </xf>
    <xf numFmtId="0" fontId="35" fillId="5" borderId="1" xfId="0" applyFont="1" applyFill="1" applyBorder="1" applyAlignment="1" applyProtection="1">
      <alignment horizontal="center" vertical="center" wrapText="1"/>
      <protection locked="0"/>
    </xf>
    <xf numFmtId="0" fontId="28" fillId="7" borderId="1" xfId="0" applyFont="1" applyFill="1" applyBorder="1" applyAlignment="1" applyProtection="1">
      <alignment horizontal="center" vertical="center" wrapText="1"/>
      <protection locked="0"/>
    </xf>
    <xf numFmtId="0" fontId="28" fillId="8" borderId="1" xfId="0" applyFont="1" applyFill="1" applyBorder="1" applyAlignment="1" applyProtection="1">
      <alignment horizontal="center" vertical="center" wrapText="1"/>
      <protection locked="0"/>
    </xf>
    <xf numFmtId="44" fontId="38" fillId="0" borderId="0" xfId="2" applyFont="1" applyAlignment="1">
      <alignment vertical="center"/>
    </xf>
    <xf numFmtId="0" fontId="30" fillId="7" borderId="1" xfId="0" applyFont="1" applyFill="1" applyBorder="1" applyAlignment="1" applyProtection="1">
      <alignment horizontal="center" vertical="center" wrapText="1"/>
      <protection locked="0"/>
    </xf>
    <xf numFmtId="0" fontId="28" fillId="4" borderId="1" xfId="0" applyFont="1" applyFill="1" applyBorder="1" applyAlignment="1" applyProtection="1">
      <alignment horizontal="center" vertical="center" wrapText="1"/>
      <protection locked="0"/>
    </xf>
    <xf numFmtId="0" fontId="28" fillId="9" borderId="1" xfId="0" applyFont="1" applyFill="1" applyBorder="1" applyAlignment="1" applyProtection="1">
      <alignment horizontal="center" vertical="center" wrapText="1"/>
      <protection locked="0"/>
    </xf>
    <xf numFmtId="0" fontId="0" fillId="5" borderId="1" xfId="0" applyFont="1" applyFill="1" applyBorder="1" applyAlignment="1" applyProtection="1">
      <alignment horizontal="center" vertical="center" wrapText="1"/>
      <protection locked="0"/>
    </xf>
    <xf numFmtId="0" fontId="28" fillId="10" borderId="1" xfId="0" applyFont="1" applyFill="1" applyBorder="1" applyAlignment="1" applyProtection="1">
      <alignment horizontal="center" vertical="center" wrapText="1"/>
      <protection locked="0"/>
    </xf>
    <xf numFmtId="3" fontId="28" fillId="5" borderId="1" xfId="0" applyNumberFormat="1" applyFont="1" applyFill="1" applyBorder="1" applyAlignment="1" applyProtection="1">
      <alignment horizontal="center" vertical="center" wrapText="1"/>
      <protection locked="0"/>
    </xf>
    <xf numFmtId="0" fontId="28" fillId="0" borderId="2" xfId="0" applyFont="1" applyBorder="1" applyAlignment="1" applyProtection="1">
      <alignment horizontal="center" vertical="center" wrapText="1"/>
      <protection locked="0"/>
    </xf>
    <xf numFmtId="14" fontId="28" fillId="7" borderId="1" xfId="0" applyNumberFormat="1" applyFont="1" applyFill="1" applyBorder="1" applyAlignment="1" applyProtection="1">
      <alignment horizontal="center" vertical="center" wrapText="1"/>
      <protection locked="0"/>
    </xf>
    <xf numFmtId="0" fontId="39" fillId="5" borderId="1" xfId="0" applyFont="1" applyFill="1" applyBorder="1" applyAlignment="1" applyProtection="1">
      <alignment horizontal="center" vertical="center" wrapText="1"/>
      <protection locked="0"/>
    </xf>
    <xf numFmtId="14" fontId="39" fillId="5" borderId="1" xfId="0" applyNumberFormat="1" applyFont="1" applyFill="1" applyBorder="1" applyAlignment="1" applyProtection="1">
      <alignment horizontal="center" vertical="center" wrapText="1"/>
      <protection locked="0"/>
    </xf>
    <xf numFmtId="44" fontId="39" fillId="5" borderId="1" xfId="2" applyNumberFormat="1" applyFont="1" applyFill="1" applyBorder="1" applyAlignment="1">
      <alignment horizontal="center" vertical="center" wrapText="1"/>
    </xf>
    <xf numFmtId="44" fontId="39" fillId="5" borderId="1" xfId="2" applyNumberFormat="1" applyFont="1" applyFill="1" applyBorder="1" applyAlignment="1" applyProtection="1">
      <alignment horizontal="center" vertical="center" wrapText="1"/>
      <protection locked="0"/>
    </xf>
    <xf numFmtId="49" fontId="39" fillId="5" borderId="1" xfId="0" applyNumberFormat="1" applyFont="1" applyFill="1" applyBorder="1" applyAlignment="1" applyProtection="1">
      <alignment horizontal="center" vertical="center" wrapText="1"/>
      <protection locked="0"/>
    </xf>
    <xf numFmtId="0" fontId="28" fillId="11" borderId="1" xfId="0" applyFont="1" applyFill="1" applyBorder="1" applyAlignment="1" applyProtection="1">
      <alignment horizontal="center" vertical="center" wrapText="1"/>
      <protection locked="0"/>
    </xf>
    <xf numFmtId="0" fontId="40" fillId="5" borderId="1" xfId="0" applyFont="1" applyFill="1" applyBorder="1" applyAlignment="1" applyProtection="1">
      <alignment horizontal="center" vertical="center" wrapText="1"/>
      <protection locked="0"/>
    </xf>
    <xf numFmtId="0" fontId="41" fillId="5" borderId="2" xfId="0" applyFont="1" applyFill="1" applyBorder="1" applyAlignment="1" applyProtection="1">
      <alignment horizontal="center" vertical="center" wrapText="1"/>
      <protection locked="0"/>
    </xf>
    <xf numFmtId="44" fontId="41" fillId="5" borderId="15" xfId="2" applyNumberFormat="1" applyFont="1" applyFill="1" applyBorder="1" applyAlignment="1" applyProtection="1">
      <alignment horizontal="center" vertical="center" wrapText="1"/>
      <protection locked="0"/>
    </xf>
    <xf numFmtId="44" fontId="41" fillId="5" borderId="15" xfId="2" applyNumberFormat="1" applyFont="1" applyFill="1" applyBorder="1" applyAlignment="1">
      <alignment horizontal="center" vertical="center" wrapText="1"/>
    </xf>
    <xf numFmtId="0" fontId="41" fillId="5" borderId="0" xfId="0" applyFont="1" applyFill="1" applyBorder="1" applyAlignment="1" applyProtection="1">
      <alignment horizontal="center" vertical="center" wrapText="1"/>
      <protection locked="0"/>
    </xf>
    <xf numFmtId="0" fontId="41" fillId="5" borderId="10" xfId="1" applyNumberFormat="1" applyFont="1" applyFill="1" applyBorder="1" applyAlignment="1" applyProtection="1">
      <alignment horizontal="center" vertical="center" wrapText="1"/>
      <protection locked="0"/>
    </xf>
    <xf numFmtId="0" fontId="28" fillId="5" borderId="10" xfId="0" applyFont="1" applyFill="1" applyBorder="1" applyAlignment="1" applyProtection="1">
      <alignment horizontal="center" vertical="center" wrapText="1"/>
      <protection locked="0"/>
    </xf>
    <xf numFmtId="14" fontId="41" fillId="5" borderId="2" xfId="0" applyNumberFormat="1" applyFont="1" applyFill="1" applyBorder="1" applyAlignment="1" applyProtection="1">
      <alignment horizontal="center" vertical="center" wrapText="1"/>
      <protection locked="0"/>
    </xf>
    <xf numFmtId="0" fontId="42" fillId="5" borderId="2" xfId="0" applyFont="1" applyFill="1" applyBorder="1" applyAlignment="1" applyProtection="1">
      <alignment horizontal="center" vertical="center" wrapText="1"/>
      <protection locked="0"/>
    </xf>
    <xf numFmtId="44" fontId="41" fillId="5" borderId="2" xfId="2" applyNumberFormat="1" applyFont="1" applyFill="1" applyBorder="1" applyAlignment="1">
      <alignment horizontal="center" vertical="center" wrapText="1"/>
    </xf>
    <xf numFmtId="0" fontId="30" fillId="5" borderId="2" xfId="0" applyFont="1" applyFill="1" applyBorder="1" applyAlignment="1" applyProtection="1">
      <alignment horizontal="center" vertical="center" wrapText="1"/>
      <protection locked="0"/>
    </xf>
    <xf numFmtId="0" fontId="36" fillId="5" borderId="1" xfId="0" applyFont="1" applyFill="1" applyBorder="1" applyAlignment="1" applyProtection="1">
      <alignment horizontal="center" vertical="center" wrapText="1"/>
      <protection locked="0"/>
    </xf>
    <xf numFmtId="0" fontId="28" fillId="12" borderId="1" xfId="0" applyFont="1" applyFill="1" applyBorder="1" applyAlignment="1" applyProtection="1">
      <alignment horizontal="center" vertical="center" wrapText="1"/>
      <protection locked="0"/>
    </xf>
    <xf numFmtId="44" fontId="28" fillId="7" borderId="1" xfId="2" applyFont="1" applyFill="1" applyBorder="1" applyAlignment="1">
      <alignment horizontal="center" vertical="center" wrapText="1"/>
    </xf>
    <xf numFmtId="0" fontId="28" fillId="7" borderId="1" xfId="1" applyNumberFormat="1" applyFont="1" applyFill="1" applyBorder="1" applyAlignment="1" applyProtection="1">
      <alignment horizontal="center" vertical="center" wrapText="1"/>
      <protection locked="0"/>
    </xf>
    <xf numFmtId="0" fontId="28" fillId="13" borderId="1" xfId="0" applyFont="1" applyFill="1" applyBorder="1" applyAlignment="1" applyProtection="1">
      <alignment horizontal="center" vertical="center" wrapText="1"/>
      <protection locked="0"/>
    </xf>
    <xf numFmtId="0" fontId="28" fillId="13" borderId="1" xfId="1" applyNumberFormat="1" applyFont="1" applyFill="1" applyBorder="1" applyAlignment="1" applyProtection="1">
      <alignment horizontal="center" vertical="center" wrapText="1"/>
      <protection locked="0"/>
    </xf>
    <xf numFmtId="14" fontId="28" fillId="13" borderId="1" xfId="0" applyNumberFormat="1" applyFont="1" applyFill="1" applyBorder="1" applyAlignment="1" applyProtection="1">
      <alignment horizontal="center" vertical="center" wrapText="1"/>
      <protection locked="0"/>
    </xf>
    <xf numFmtId="0" fontId="30" fillId="13" borderId="1" xfId="0" applyFont="1" applyFill="1" applyBorder="1" applyAlignment="1" applyProtection="1">
      <alignment horizontal="center" vertical="center" wrapText="1"/>
      <protection locked="0"/>
    </xf>
    <xf numFmtId="44" fontId="28" fillId="13" borderId="1" xfId="2" applyFont="1" applyFill="1" applyBorder="1" applyAlignment="1">
      <alignment horizontal="center" vertical="center" wrapText="1"/>
    </xf>
    <xf numFmtId="49" fontId="28" fillId="13" borderId="1" xfId="0" applyNumberFormat="1" applyFont="1" applyFill="1" applyBorder="1" applyAlignment="1" applyProtection="1">
      <alignment horizontal="center" vertical="center" wrapText="1"/>
      <protection locked="0"/>
    </xf>
    <xf numFmtId="0" fontId="28" fillId="5" borderId="1" xfId="0" applyNumberFormat="1" applyFont="1" applyFill="1" applyBorder="1" applyAlignment="1" applyProtection="1">
      <alignment horizontal="center" vertical="center" wrapText="1"/>
      <protection locked="0"/>
    </xf>
    <xf numFmtId="0" fontId="41" fillId="7" borderId="0" xfId="0" applyFont="1" applyFill="1" applyBorder="1" applyAlignment="1" applyProtection="1">
      <alignment horizontal="center" vertical="center" wrapText="1"/>
      <protection locked="0"/>
    </xf>
    <xf numFmtId="0" fontId="45" fillId="0" borderId="10" xfId="1" applyNumberFormat="1" applyFont="1" applyBorder="1" applyAlignment="1" applyProtection="1">
      <alignment horizontal="center" vertical="center" wrapText="1"/>
      <protection locked="0"/>
    </xf>
    <xf numFmtId="0" fontId="45" fillId="0" borderId="10" xfId="0" applyFont="1" applyBorder="1" applyAlignment="1" applyProtection="1">
      <alignment horizontal="center" vertical="center" wrapText="1"/>
      <protection locked="0"/>
    </xf>
    <xf numFmtId="0" fontId="45" fillId="0" borderId="2" xfId="0" applyFont="1" applyBorder="1" applyAlignment="1" applyProtection="1">
      <alignment horizontal="center" vertical="center" wrapText="1"/>
      <protection locked="0"/>
    </xf>
    <xf numFmtId="0" fontId="45" fillId="5" borderId="2" xfId="0" applyFont="1" applyFill="1" applyBorder="1" applyAlignment="1" applyProtection="1">
      <alignment horizontal="center" vertical="center" wrapText="1"/>
      <protection locked="0"/>
    </xf>
    <xf numFmtId="0" fontId="46" fillId="0" borderId="2" xfId="0" applyFont="1" applyBorder="1" applyAlignment="1" applyProtection="1">
      <alignment horizontal="center" vertical="center" wrapText="1"/>
      <protection locked="0"/>
    </xf>
    <xf numFmtId="44" fontId="45" fillId="0" borderId="2" xfId="2" applyNumberFormat="1" applyFont="1" applyBorder="1" applyAlignment="1">
      <alignment horizontal="center" vertical="center" wrapText="1"/>
    </xf>
    <xf numFmtId="49" fontId="45" fillId="0" borderId="2" xfId="0" applyNumberFormat="1" applyFont="1" applyBorder="1" applyAlignment="1" applyProtection="1">
      <alignment horizontal="center" vertical="center" wrapText="1"/>
      <protection locked="0"/>
    </xf>
    <xf numFmtId="0" fontId="45" fillId="0" borderId="9" xfId="0" applyFont="1" applyBorder="1" applyAlignment="1" applyProtection="1">
      <alignment horizontal="center" vertical="center" wrapText="1"/>
      <protection locked="0"/>
    </xf>
    <xf numFmtId="0" fontId="45" fillId="0" borderId="0" xfId="0" applyFont="1" applyBorder="1" applyAlignment="1" applyProtection="1">
      <alignment horizontal="center" vertical="center" wrapText="1"/>
      <protection locked="0"/>
    </xf>
    <xf numFmtId="44" fontId="45" fillId="5" borderId="15" xfId="2" applyNumberFormat="1" applyFont="1" applyFill="1" applyBorder="1" applyAlignment="1" applyProtection="1">
      <alignment horizontal="center" vertical="center" wrapText="1"/>
      <protection locked="0"/>
    </xf>
    <xf numFmtId="44" fontId="45" fillId="5" borderId="15" xfId="2" applyNumberFormat="1" applyFont="1" applyFill="1" applyBorder="1" applyAlignment="1">
      <alignment horizontal="center" vertical="center" wrapText="1"/>
    </xf>
    <xf numFmtId="0" fontId="45" fillId="0" borderId="0" xfId="0" applyFont="1" applyAlignment="1" applyProtection="1">
      <alignment horizontal="center" vertical="center" wrapText="1"/>
      <protection locked="0"/>
    </xf>
    <xf numFmtId="44" fontId="45" fillId="5" borderId="1" xfId="2" applyNumberFormat="1" applyFont="1" applyFill="1" applyBorder="1" applyAlignment="1" applyProtection="1">
      <alignment horizontal="center" vertical="center" wrapText="1"/>
      <protection locked="0"/>
    </xf>
    <xf numFmtId="44" fontId="45" fillId="5" borderId="1" xfId="2" applyNumberFormat="1" applyFont="1" applyFill="1" applyBorder="1" applyAlignment="1">
      <alignment horizontal="center" vertical="center" wrapText="1"/>
    </xf>
    <xf numFmtId="0" fontId="28" fillId="0" borderId="0" xfId="0" applyFont="1" applyAlignment="1" applyProtection="1">
      <alignment horizontal="center" vertical="center" wrapText="1"/>
      <protection locked="0"/>
    </xf>
    <xf numFmtId="0" fontId="28" fillId="0" borderId="10" xfId="1" applyNumberFormat="1" applyFont="1" applyBorder="1" applyAlignment="1" applyProtection="1">
      <alignment horizontal="center" vertical="center" wrapText="1"/>
      <protection locked="0"/>
    </xf>
    <xf numFmtId="0" fontId="28" fillId="0" borderId="10" xfId="0" applyFont="1" applyBorder="1" applyAlignment="1" applyProtection="1">
      <alignment horizontal="center" vertical="center" wrapText="1"/>
      <protection locked="0"/>
    </xf>
    <xf numFmtId="0" fontId="30" fillId="0" borderId="2" xfId="0" applyFont="1" applyBorder="1" applyAlignment="1" applyProtection="1">
      <alignment horizontal="center" vertical="center" wrapText="1"/>
      <protection locked="0"/>
    </xf>
    <xf numFmtId="49" fontId="28" fillId="0" borderId="2" xfId="0" applyNumberFormat="1" applyFont="1" applyBorder="1" applyAlignment="1" applyProtection="1">
      <alignment horizontal="center" vertical="center" wrapText="1"/>
      <protection locked="0"/>
    </xf>
    <xf numFmtId="0" fontId="22" fillId="5" borderId="0" xfId="0" applyFont="1" applyFill="1" applyAlignment="1">
      <alignment horizontal="center" vertical="center"/>
    </xf>
    <xf numFmtId="0" fontId="15" fillId="5" borderId="0" xfId="0" applyFont="1" applyFill="1" applyAlignment="1">
      <alignment horizontal="center" vertical="center" wrapText="1"/>
    </xf>
    <xf numFmtId="0" fontId="12" fillId="4" borderId="1" xfId="0" applyFont="1" applyFill="1" applyBorder="1" applyAlignment="1">
      <alignment horizontal="right" vertical="center" indent="1"/>
    </xf>
    <xf numFmtId="167" fontId="12" fillId="3" borderId="1" xfId="0" applyNumberFormat="1" applyFont="1" applyFill="1" applyBorder="1" applyAlignment="1">
      <alignment horizontal="right" vertical="center"/>
    </xf>
    <xf numFmtId="0" fontId="4" fillId="4" borderId="1" xfId="0" applyFont="1" applyFill="1" applyBorder="1" applyAlignment="1">
      <alignment horizontal="right" vertical="center" indent="1"/>
    </xf>
    <xf numFmtId="168" fontId="17" fillId="2" borderId="1" xfId="0" applyNumberFormat="1" applyFont="1" applyFill="1" applyBorder="1" applyAlignment="1">
      <alignment horizontal="right" vertical="center"/>
    </xf>
    <xf numFmtId="166" fontId="12" fillId="3" borderId="0" xfId="3" applyNumberFormat="1" applyFont="1" applyFill="1" applyAlignment="1">
      <alignment horizontal="center" vertical="center"/>
    </xf>
    <xf numFmtId="166" fontId="12" fillId="3" borderId="9" xfId="0" applyNumberFormat="1" applyFont="1" applyFill="1" applyBorder="1" applyAlignment="1">
      <alignment horizontal="center" vertical="center"/>
    </xf>
    <xf numFmtId="166" fontId="12" fillId="3" borderId="10" xfId="0" applyNumberFormat="1" applyFont="1" applyFill="1" applyBorder="1" applyAlignment="1">
      <alignment horizontal="center" vertical="center"/>
    </xf>
    <xf numFmtId="0" fontId="2" fillId="3" borderId="11" xfId="0" applyFont="1" applyFill="1" applyBorder="1" applyAlignment="1">
      <alignment horizontal="left" vertical="center"/>
    </xf>
    <xf numFmtId="0" fontId="2" fillId="3" borderId="5" xfId="0" applyFont="1" applyFill="1" applyBorder="1" applyAlignment="1">
      <alignment horizontal="left" vertical="center"/>
    </xf>
    <xf numFmtId="0" fontId="2" fillId="3" borderId="12" xfId="0" applyFont="1" applyFill="1" applyBorder="1" applyAlignment="1">
      <alignment horizontal="left" vertical="center"/>
    </xf>
    <xf numFmtId="166" fontId="2" fillId="3" borderId="5" xfId="3" applyNumberFormat="1" applyFont="1" applyFill="1" applyBorder="1" applyAlignment="1">
      <alignment horizontal="center" vertical="center"/>
    </xf>
    <xf numFmtId="166" fontId="2" fillId="3" borderId="11" xfId="0" applyNumberFormat="1" applyFont="1" applyFill="1" applyBorder="1" applyAlignment="1">
      <alignment horizontal="center" vertical="center"/>
    </xf>
    <xf numFmtId="166" fontId="2" fillId="3" borderId="12" xfId="0" applyNumberFormat="1" applyFont="1" applyFill="1" applyBorder="1" applyAlignment="1">
      <alignment horizontal="center" vertical="center"/>
    </xf>
    <xf numFmtId="0" fontId="7" fillId="5" borderId="9" xfId="0" applyFont="1" applyFill="1" applyBorder="1" applyAlignment="1">
      <alignment horizontal="left" vertical="center"/>
    </xf>
    <xf numFmtId="0" fontId="7" fillId="5" borderId="0" xfId="0" applyFont="1" applyFill="1" applyAlignment="1">
      <alignment horizontal="left" vertical="center"/>
    </xf>
    <xf numFmtId="0" fontId="7" fillId="5" borderId="10" xfId="0" applyFont="1" applyFill="1" applyBorder="1" applyAlignment="1">
      <alignment horizontal="left" vertical="center"/>
    </xf>
    <xf numFmtId="0" fontId="6" fillId="4" borderId="13" xfId="0" applyFont="1" applyFill="1" applyBorder="1" applyAlignment="1">
      <alignment horizontal="center" vertical="center" wrapText="1"/>
    </xf>
    <xf numFmtId="0" fontId="6" fillId="4" borderId="6" xfId="0" applyFont="1" applyFill="1" applyBorder="1" applyAlignment="1">
      <alignment horizontal="center" vertical="center" wrapText="1"/>
    </xf>
    <xf numFmtId="0" fontId="6" fillId="4" borderId="14" xfId="0" applyFont="1" applyFill="1" applyBorder="1" applyAlignment="1">
      <alignment horizontal="center" vertical="center" wrapText="1"/>
    </xf>
    <xf numFmtId="0" fontId="10" fillId="3" borderId="0" xfId="0" applyFont="1" applyFill="1" applyAlignment="1">
      <alignment vertical="center"/>
    </xf>
    <xf numFmtId="0" fontId="6" fillId="3" borderId="0" xfId="0" applyFont="1" applyFill="1" applyAlignment="1">
      <alignment horizontal="right" vertical="center"/>
    </xf>
    <xf numFmtId="0" fontId="3" fillId="3" borderId="0" xfId="0" applyFont="1" applyFill="1" applyAlignment="1">
      <alignment vertical="center"/>
    </xf>
    <xf numFmtId="0" fontId="1" fillId="0" borderId="0" xfId="0" applyFont="1" applyAlignment="1">
      <alignment vertical="center"/>
    </xf>
    <xf numFmtId="0" fontId="2" fillId="3" borderId="0" xfId="0" applyFont="1" applyFill="1" applyAlignment="1">
      <alignment horizontal="left" vertical="center"/>
    </xf>
    <xf numFmtId="14" fontId="2" fillId="3" borderId="0" xfId="0" applyNumberFormat="1" applyFont="1" applyFill="1" applyAlignment="1">
      <alignment horizontal="right" vertical="center"/>
    </xf>
    <xf numFmtId="0" fontId="9" fillId="5" borderId="0" xfId="0" applyFont="1" applyFill="1" applyAlignment="1">
      <alignment horizontal="center" vertical="center"/>
    </xf>
    <xf numFmtId="0" fontId="4" fillId="3" borderId="0" xfId="0" applyFont="1" applyFill="1" applyAlignment="1">
      <alignment horizontal="left" vertical="center"/>
    </xf>
    <xf numFmtId="0" fontId="8" fillId="5" borderId="0" xfId="0" applyFont="1" applyFill="1" applyAlignment="1">
      <alignment horizontal="center" vertical="center" wrapText="1"/>
    </xf>
  </cellXfs>
  <cellStyles count="6">
    <cellStyle name="Milliers" xfId="1" builtinId="3"/>
    <cellStyle name="Monétaire" xfId="2" builtinId="4"/>
    <cellStyle name="Monétaire 2" xfId="3" xr:uid="{00000000-0005-0000-0000-000002000000}"/>
    <cellStyle name="Normal" xfId="0" builtinId="0"/>
    <cellStyle name="Normal 2" xfId="4" xr:uid="{97795D75-5939-43B4-9FE2-6253FF50C7DD}"/>
    <cellStyle name="Normal 3" xfId="5" xr:uid="{5C9DA4AC-4170-4284-86B7-956AF5DEA5C5}"/>
  </cellStyles>
  <dxfs count="78">
    <dxf>
      <fill>
        <patternFill>
          <bgColor rgb="FF0070C0"/>
        </patternFill>
      </fill>
    </dxf>
    <dxf>
      <fill>
        <patternFill>
          <bgColor rgb="FF92D050"/>
        </patternFill>
      </fill>
    </dxf>
    <dxf>
      <fill>
        <patternFill>
          <bgColor theme="5" tint="0.39994506668294322"/>
        </patternFill>
      </fill>
    </dxf>
    <dxf>
      <fill>
        <patternFill>
          <bgColor theme="8" tint="0.59996337778862885"/>
        </patternFill>
      </fill>
    </dxf>
    <dxf>
      <fill>
        <patternFill>
          <bgColor rgb="FFFFC000"/>
        </patternFill>
      </fill>
    </dxf>
    <dxf>
      <fill>
        <patternFill>
          <bgColor theme="7" tint="0.59996337778862885"/>
        </patternFill>
      </fill>
    </dxf>
    <dxf>
      <fill>
        <patternFill>
          <bgColor theme="7" tint="0.59996337778862885"/>
        </patternFill>
      </fill>
    </dxf>
    <dxf>
      <font>
        <b val="0"/>
        <i val="0"/>
        <strike val="0"/>
        <condense val="0"/>
        <extend val="0"/>
        <outline val="0"/>
        <shadow val="0"/>
        <u val="none"/>
        <vertAlign val="baseline"/>
        <sz val="11"/>
        <color theme="1"/>
        <name val="Calibri"/>
        <scheme val="minor"/>
      </font>
      <alignment horizontal="general" vertical="center" textRotation="0" wrapText="0" indent="0" justifyLastLine="0" shrinkToFit="0" readingOrder="0"/>
    </dxf>
    <dxf>
      <alignment horizontal="left" vertical="center" textRotation="0" wrapText="1" indent="0" justifyLastLine="0" shrinkToFit="0" readingOrder="0"/>
    </dxf>
    <dxf>
      <fill>
        <patternFill patternType="solid">
          <fgColor indexed="64"/>
          <bgColor rgb="FF92D050"/>
        </patternFill>
      </fill>
      <alignment horizontal="center" vertical="center" textRotation="0" wrapText="1" indent="0" justifyLastLine="0" shrinkToFit="0" readingOrder="0"/>
    </dxf>
    <dxf>
      <fill>
        <patternFill patternType="solid">
          <fgColor indexed="64"/>
          <bgColor rgb="FF92D050"/>
        </patternFill>
      </fill>
      <alignment horizontal="center" vertical="bottom" textRotation="0" wrapText="0" indent="0" justifyLastLine="0" shrinkToFit="0" readingOrder="0"/>
    </dxf>
    <dxf>
      <fill>
        <patternFill patternType="solid">
          <fgColor indexed="64"/>
          <bgColor rgb="FF92D050"/>
        </patternFill>
      </fill>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fill>
        <patternFill patternType="solid">
          <fgColor indexed="64"/>
          <bgColor rgb="FF92D050"/>
        </patternFill>
      </fill>
      <alignment horizontal="center" vertical="center"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fill>
        <patternFill patternType="solid">
          <fgColor indexed="64"/>
          <bgColor rgb="FF92D050"/>
        </patternFill>
      </fill>
      <alignment horizontal="center" vertical="bottom" textRotation="0" wrapText="0"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fill>
        <patternFill patternType="solid">
          <fgColor indexed="64"/>
          <bgColor rgb="FF92D050"/>
        </patternFill>
      </fill>
      <alignment horizontal="center" vertical="center" textRotation="0" wrapText="0" indent="0" justifyLastLine="0" shrinkToFit="0" readingOrder="0"/>
    </dxf>
    <dxf>
      <font>
        <b val="0"/>
        <i val="0"/>
        <strike val="0"/>
        <condense val="0"/>
        <extend val="0"/>
        <outline val="0"/>
        <shadow val="0"/>
        <u val="none"/>
        <vertAlign val="baseline"/>
        <sz val="11"/>
        <color theme="1"/>
        <name val="Calibri"/>
        <scheme val="minor"/>
      </font>
      <alignment horizontal="general" vertical="center" textRotation="0" wrapText="0" indent="0" justifyLastLine="0" shrinkToFit="0" readingOrder="0"/>
    </dxf>
    <dxf>
      <alignment horizontal="left" vertical="center" textRotation="0" wrapText="1" indent="0" justifyLastLine="0" shrinkToFit="0" readingOrder="0"/>
    </dxf>
    <dxf>
      <fill>
        <patternFill patternType="solid">
          <fgColor indexed="64"/>
          <bgColor rgb="FF92D050"/>
        </patternFill>
      </fill>
      <alignment horizontal="center" vertical="center" textRotation="0" wrapText="1" indent="0" justifyLastLine="0" shrinkToFit="0" readingOrder="0"/>
    </dxf>
    <dxf>
      <font>
        <strike val="0"/>
        <outline val="0"/>
        <shadow val="0"/>
        <u val="none"/>
        <vertAlign val="baseline"/>
        <sz val="9"/>
        <color theme="1"/>
        <name val="Calibri"/>
        <scheme val="minor"/>
      </font>
      <alignment horizontal="center" vertical="center" textRotation="0" wrapText="1" indent="0" justifyLastLine="0" shrinkToFit="0" readingOrder="0"/>
      <border outline="0">
        <left style="thin">
          <color indexed="64"/>
        </left>
      </border>
      <protection locked="0" hidden="0"/>
    </dxf>
    <dxf>
      <font>
        <strike val="0"/>
        <outline val="0"/>
        <shadow val="0"/>
        <u val="none"/>
        <vertAlign val="baseline"/>
        <sz val="9"/>
        <color theme="1"/>
        <name val="Calibri"/>
        <scheme val="minor"/>
      </font>
      <numFmt numFmtId="30" formatCode="@"/>
      <alignment horizontal="center" vertical="center" textRotation="0" wrapText="1" indent="0" justifyLastLine="0" shrinkToFit="0" readingOrder="0"/>
      <border outline="0">
        <left style="thin">
          <color indexed="64"/>
        </left>
        <right style="thin">
          <color indexed="64"/>
        </right>
      </border>
      <protection locked="0" hidden="0"/>
    </dxf>
    <dxf>
      <font>
        <strike val="0"/>
        <outline val="0"/>
        <shadow val="0"/>
        <u val="none"/>
        <vertAlign val="baseline"/>
        <sz val="9"/>
        <color theme="1"/>
        <name val="Calibri"/>
        <scheme val="minor"/>
      </font>
      <alignment horizontal="center" vertical="center" textRotation="0" wrapText="1" indent="0" justifyLastLine="0" shrinkToFit="0" readingOrder="0"/>
      <border outline="0">
        <left style="thin">
          <color indexed="64"/>
        </left>
        <right style="thin">
          <color indexed="64"/>
        </right>
      </border>
      <protection locked="0" hidden="0"/>
    </dxf>
    <dxf>
      <font>
        <strike val="0"/>
        <outline val="0"/>
        <shadow val="0"/>
        <u val="none"/>
        <vertAlign val="baseline"/>
        <sz val="9"/>
        <color theme="1"/>
        <name val="Calibri"/>
        <scheme val="minor"/>
      </font>
      <numFmt numFmtId="34" formatCode="_-* #,##0.00\ &quot;€&quot;_-;\-* #,##0.00\ &quot;€&quot;_-;_-* &quot;-&quot;??\ &quot;€&quot;_-;_-@_-"/>
      <alignment horizontal="center" vertical="center" textRotation="0" wrapText="1" indent="0" justifyLastLine="0" shrinkToFit="0" readingOrder="0"/>
      <border>
        <left style="thin">
          <color indexed="64"/>
        </left>
        <right style="thin">
          <color indexed="64"/>
        </right>
      </border>
    </dxf>
    <dxf>
      <font>
        <strike val="0"/>
        <outline val="0"/>
        <shadow val="0"/>
        <u val="none"/>
        <vertAlign val="baseline"/>
        <sz val="9"/>
        <color theme="1"/>
        <name val="Calibri"/>
        <scheme val="minor"/>
      </font>
      <numFmt numFmtId="34" formatCode="_-* #,##0.00\ &quot;€&quot;_-;\-* #,##0.00\ &quot;€&quot;_-;_-* &quot;-&quot;??\ &quot;€&quot;_-;_-@_-"/>
      <alignment horizontal="center" vertical="center" textRotation="0" wrapText="1" indent="0" justifyLastLine="0" shrinkToFit="0" readingOrder="0"/>
      <border>
        <left style="thin">
          <color indexed="64"/>
        </left>
        <right style="thin">
          <color indexed="64"/>
        </right>
      </border>
    </dxf>
    <dxf>
      <font>
        <strike val="0"/>
        <outline val="0"/>
        <shadow val="0"/>
        <u val="none"/>
        <vertAlign val="baseline"/>
        <sz val="9"/>
        <color theme="1"/>
        <name val="Calibri"/>
        <scheme val="minor"/>
      </font>
      <numFmt numFmtId="34" formatCode="_-* #,##0.00\ &quot;€&quot;_-;\-* #,##0.00\ &quot;€&quot;_-;_-* &quot;-&quot;??\ &quot;€&quot;_-;_-@_-"/>
      <alignment horizontal="center" vertical="center" textRotation="0" wrapText="1" indent="0" justifyLastLine="0" shrinkToFit="0" readingOrder="0"/>
      <border>
        <left style="thin">
          <color indexed="64"/>
        </left>
        <right style="thin">
          <color indexed="64"/>
        </right>
      </border>
    </dxf>
    <dxf>
      <font>
        <strike val="0"/>
        <outline val="0"/>
        <shadow val="0"/>
        <u val="none"/>
        <vertAlign val="baseline"/>
        <sz val="9"/>
        <color theme="1"/>
        <name val="Calibri"/>
        <scheme val="minor"/>
      </font>
      <alignment horizontal="center" vertical="center" textRotation="0" wrapText="1" indent="0" justifyLastLine="0" shrinkToFit="0" readingOrder="0"/>
      <border outline="0">
        <left style="thin">
          <color indexed="64"/>
        </left>
        <right style="thin">
          <color indexed="64"/>
        </right>
      </border>
      <protection locked="0" hidden="0"/>
    </dxf>
    <dxf>
      <font>
        <strike val="0"/>
        <outline val="0"/>
        <shadow val="0"/>
        <u val="none"/>
        <vertAlign val="baseline"/>
        <sz val="9"/>
        <color theme="1"/>
        <name val="Calibri"/>
        <scheme val="minor"/>
      </font>
      <alignment horizontal="center" vertical="center" textRotation="0" wrapText="1" indent="0" justifyLastLine="0" shrinkToFit="0" readingOrder="0"/>
      <border outline="0">
        <left style="thin">
          <color indexed="64"/>
        </left>
        <right style="thin">
          <color indexed="64"/>
        </right>
      </border>
      <protection locked="0" hidden="0"/>
    </dxf>
    <dxf>
      <font>
        <strike val="0"/>
        <outline val="0"/>
        <shadow val="0"/>
        <u val="none"/>
        <vertAlign val="baseline"/>
        <sz val="9"/>
        <color theme="1"/>
        <name val="Calibri"/>
        <scheme val="minor"/>
      </font>
      <numFmt numFmtId="34" formatCode="_-* #,##0.00\ &quot;€&quot;_-;\-* #,##0.00\ &quot;€&quot;_-;_-* &quot;-&quot;??\ &quot;€&quot;_-;_-@_-"/>
      <alignment horizontal="center" vertical="center" textRotation="0" wrapText="1" indent="0" justifyLastLine="0" shrinkToFit="0" readingOrder="0"/>
      <border>
        <left style="thin">
          <color indexed="64"/>
        </left>
        <right style="thin">
          <color indexed="64"/>
        </right>
      </border>
    </dxf>
    <dxf>
      <font>
        <strike val="0"/>
        <outline val="0"/>
        <shadow val="0"/>
        <u val="none"/>
        <vertAlign val="baseline"/>
        <sz val="9"/>
        <color theme="1"/>
        <name val="Calibri"/>
        <scheme val="minor"/>
      </font>
      <alignment horizontal="center" vertical="center" textRotation="0" wrapText="1" indent="0" justifyLastLine="0" shrinkToFit="0" readingOrder="0"/>
      <border outline="0">
        <left style="thin">
          <color indexed="64"/>
        </left>
        <right style="thin">
          <color indexed="64"/>
        </right>
      </border>
      <protection locked="0" hidden="0"/>
    </dxf>
    <dxf>
      <font>
        <b val="0"/>
        <i val="0"/>
        <strike val="0"/>
        <condense val="0"/>
        <extend val="0"/>
        <outline val="0"/>
        <shadow val="0"/>
        <u val="none"/>
        <vertAlign val="baseline"/>
        <sz val="9"/>
        <color theme="1"/>
        <name val="Calibri"/>
        <scheme val="minor"/>
      </font>
      <numFmt numFmtId="34" formatCode="_-* #,##0.00\ &quot;€&quot;_-;\-* #,##0.00\ &quot;€&quot;_-;_-* &quot;-&quot;??\ &quot;€&quot;_-;_-@_-"/>
      <fill>
        <patternFill patternType="solid">
          <fgColor indexed="64"/>
          <bgColor theme="0"/>
        </patternFill>
      </fill>
      <alignment horizontal="center"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9"/>
        <color theme="1"/>
        <name val="Calibri"/>
        <scheme val="minor"/>
      </font>
      <numFmt numFmtId="34" formatCode="_-* #,##0.00\ &quot;€&quot;_-;\-* #,##0.00\ &quot;€&quot;_-;_-* &quot;-&quot;??\ &quot;€&quot;_-;_-@_-"/>
      <fill>
        <patternFill patternType="solid">
          <fgColor indexed="64"/>
          <bgColor theme="0"/>
        </patternFill>
      </fill>
      <alignment horizontal="center"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ont>
        <strike val="0"/>
        <outline val="0"/>
        <shadow val="0"/>
        <u val="none"/>
        <vertAlign val="baseline"/>
        <sz val="9"/>
        <color theme="1"/>
        <name val="Calibri"/>
        <scheme val="minor"/>
      </font>
      <numFmt numFmtId="34" formatCode="_-* #,##0.00\ &quot;€&quot;_-;\-* #,##0.00\ &quot;€&quot;_-;_-* &quot;-&quot;??\ &quot;€&quot;_-;_-@_-"/>
      <alignment horizontal="center" vertical="center" textRotation="0" wrapText="1" indent="0" justifyLastLine="0" shrinkToFit="0" readingOrder="0"/>
      <border>
        <left style="thin">
          <color indexed="64"/>
        </left>
        <right style="thin">
          <color indexed="64"/>
        </right>
      </border>
    </dxf>
    <dxf>
      <font>
        <strike val="0"/>
        <outline val="0"/>
        <shadow val="0"/>
        <u val="none"/>
        <vertAlign val="baseline"/>
        <sz val="9"/>
        <color theme="1"/>
        <name val="Calibri"/>
        <scheme val="minor"/>
      </font>
      <alignment horizontal="center" vertical="center" textRotation="0" wrapText="1" indent="0" justifyLastLine="0" shrinkToFit="0" readingOrder="0"/>
      <border outline="0">
        <left style="thin">
          <color indexed="64"/>
        </left>
        <right style="thin">
          <color indexed="64"/>
        </right>
      </border>
      <protection locked="0" hidden="0"/>
    </dxf>
    <dxf>
      <font>
        <strike val="0"/>
        <outline val="0"/>
        <shadow val="0"/>
        <u val="none"/>
        <vertAlign val="baseline"/>
        <sz val="9"/>
        <color theme="1"/>
        <name val="Calibri"/>
        <scheme val="minor"/>
      </font>
      <alignment horizontal="center" vertical="center" textRotation="0" wrapText="1" indent="0" justifyLastLine="0" shrinkToFit="0" readingOrder="0"/>
      <border>
        <left style="thin">
          <color indexed="64"/>
        </left>
        <right style="thin">
          <color indexed="64"/>
        </right>
      </border>
      <protection locked="0" hidden="0"/>
    </dxf>
    <dxf>
      <font>
        <strike val="0"/>
        <outline val="0"/>
        <shadow val="0"/>
        <u val="none"/>
        <vertAlign val="baseline"/>
        <sz val="9"/>
        <color theme="1"/>
        <name val="Calibri"/>
        <scheme val="minor"/>
      </font>
      <alignment horizontal="center" vertical="center" textRotation="0" wrapText="1" indent="0" justifyLastLine="0" shrinkToFit="0" readingOrder="0"/>
      <border>
        <left style="thin">
          <color indexed="64"/>
        </left>
        <right style="thin">
          <color indexed="64"/>
        </right>
      </border>
      <protection locked="0" hidden="0"/>
    </dxf>
    <dxf>
      <font>
        <strike val="0"/>
        <outline val="0"/>
        <shadow val="0"/>
        <u val="none"/>
        <vertAlign val="baseline"/>
        <sz val="9"/>
        <color theme="1"/>
        <name val="Calibri"/>
        <scheme val="minor"/>
      </font>
      <alignment horizontal="center" vertical="center" textRotation="0" wrapText="1" indent="0" justifyLastLine="0" shrinkToFit="0" readingOrder="0"/>
      <border>
        <left style="thin">
          <color indexed="64"/>
        </left>
        <right style="thin">
          <color indexed="64"/>
        </right>
      </border>
      <protection locked="0" hidden="0"/>
    </dxf>
    <dxf>
      <font>
        <strike val="0"/>
        <outline val="0"/>
        <shadow val="0"/>
        <u val="none"/>
        <vertAlign val="baseline"/>
        <sz val="8"/>
        <color theme="1"/>
        <name val="Calibri"/>
        <scheme val="minor"/>
      </font>
      <alignment horizontal="center" vertical="center" textRotation="0" wrapText="1" indent="0" justifyLastLine="0" shrinkToFit="0" readingOrder="0"/>
      <border>
        <left style="thin">
          <color indexed="64"/>
        </left>
        <right style="thin">
          <color indexed="64"/>
        </right>
      </border>
      <protection locked="0" hidden="0"/>
    </dxf>
    <dxf>
      <font>
        <strike val="0"/>
        <outline val="0"/>
        <shadow val="0"/>
        <u val="none"/>
        <vertAlign val="baseline"/>
        <sz val="9"/>
        <color theme="1"/>
        <name val="Calibri"/>
        <scheme val="minor"/>
      </font>
      <alignment horizontal="center" vertical="center" textRotation="0" wrapText="1" indent="0" justifyLastLine="0" shrinkToFit="0" readingOrder="0"/>
      <border>
        <left style="thin">
          <color indexed="64"/>
        </left>
        <right style="thin">
          <color indexed="64"/>
        </right>
      </border>
      <protection locked="0" hidden="0"/>
    </dxf>
    <dxf>
      <font>
        <strike val="0"/>
        <outline val="0"/>
        <shadow val="0"/>
        <u val="none"/>
        <vertAlign val="baseline"/>
        <sz val="9"/>
        <color theme="1"/>
        <name val="Calibri"/>
        <scheme val="minor"/>
      </font>
      <alignment horizontal="center" vertical="center" textRotation="0" wrapText="1" indent="0" justifyLastLine="0" shrinkToFit="0" readingOrder="0"/>
      <border>
        <left style="thin">
          <color indexed="64"/>
        </left>
        <right style="thin">
          <color indexed="64"/>
        </right>
      </border>
      <protection locked="0" hidden="0"/>
    </dxf>
    <dxf>
      <font>
        <strike val="0"/>
        <outline val="0"/>
        <shadow val="0"/>
        <u val="none"/>
        <vertAlign val="baseline"/>
        <sz val="9"/>
        <color theme="1"/>
        <name val="Calibri"/>
        <scheme val="minor"/>
      </font>
      <alignment horizontal="center" vertical="center" textRotation="0" wrapText="1" indent="0" justifyLastLine="0" shrinkToFit="0" readingOrder="0"/>
      <border>
        <left style="thin">
          <color indexed="64"/>
        </left>
        <right style="thin">
          <color indexed="64"/>
        </right>
      </border>
      <protection locked="0" hidden="0"/>
    </dxf>
    <dxf>
      <font>
        <strike val="0"/>
        <outline val="0"/>
        <shadow val="0"/>
        <u val="none"/>
        <vertAlign val="baseline"/>
        <sz val="9"/>
        <color theme="1"/>
        <name val="Calibri"/>
        <scheme val="minor"/>
      </font>
      <alignment horizontal="center" vertical="center" textRotation="0" wrapText="1" indent="0" justifyLastLine="0" shrinkToFit="0" readingOrder="0"/>
      <border>
        <left style="thin">
          <color indexed="64"/>
        </left>
        <right style="thin">
          <color indexed="64"/>
        </right>
      </border>
      <protection locked="0" hidden="0"/>
    </dxf>
    <dxf>
      <font>
        <strike val="0"/>
        <outline val="0"/>
        <shadow val="0"/>
        <u val="none"/>
        <vertAlign val="baseline"/>
        <sz val="9"/>
        <color theme="1"/>
        <name val="Calibri"/>
        <scheme val="minor"/>
      </font>
      <alignment horizontal="center" vertical="center" textRotation="0" wrapText="1" indent="0" justifyLastLine="0" shrinkToFit="0" readingOrder="0"/>
      <border>
        <left style="thin">
          <color indexed="64"/>
        </left>
        <right style="thin">
          <color indexed="64"/>
        </right>
      </border>
      <protection locked="0" hidden="0"/>
    </dxf>
    <dxf>
      <font>
        <strike val="0"/>
        <outline val="0"/>
        <shadow val="0"/>
        <u val="none"/>
        <vertAlign val="baseline"/>
        <sz val="9"/>
        <color theme="1"/>
        <name val="Calibri"/>
        <scheme val="minor"/>
      </font>
      <alignment horizontal="center" vertical="center" textRotation="0" wrapText="1" indent="0" justifyLastLine="0" shrinkToFit="0" readingOrder="0"/>
      <border>
        <left style="thin">
          <color indexed="64"/>
        </left>
        <right style="thin">
          <color indexed="64"/>
        </right>
      </border>
      <protection locked="0" hidden="0"/>
    </dxf>
    <dxf>
      <font>
        <strike val="0"/>
        <outline val="0"/>
        <shadow val="0"/>
        <u val="none"/>
        <vertAlign val="baseline"/>
        <sz val="9"/>
        <color theme="1"/>
        <name val="Calibri"/>
        <scheme val="minor"/>
      </font>
      <alignment horizontal="center" vertical="center" textRotation="0" wrapText="1" indent="0" justifyLastLine="0" shrinkToFit="0" readingOrder="0"/>
      <border>
        <left style="thin">
          <color indexed="64"/>
        </left>
        <right style="thin">
          <color indexed="64"/>
        </right>
      </border>
      <protection locked="0" hidden="0"/>
    </dxf>
    <dxf>
      <font>
        <strike val="0"/>
        <outline val="0"/>
        <shadow val="0"/>
        <u val="none"/>
        <vertAlign val="baseline"/>
        <sz val="9"/>
        <color theme="1"/>
        <name val="Calibri"/>
        <scheme val="minor"/>
      </font>
      <fill>
        <patternFill patternType="solid">
          <fgColor indexed="64"/>
          <bgColor theme="0"/>
        </patternFill>
      </fill>
      <alignment horizontal="center" vertical="center" textRotation="0" wrapText="1" indent="0" justifyLastLine="0" shrinkToFit="0" readingOrder="0"/>
      <border>
        <left style="thin">
          <color indexed="64"/>
        </left>
        <right style="thin">
          <color indexed="64"/>
        </right>
      </border>
      <protection locked="0" hidden="0"/>
    </dxf>
    <dxf>
      <font>
        <strike val="0"/>
        <outline val="0"/>
        <shadow val="0"/>
        <u val="none"/>
        <vertAlign val="baseline"/>
        <sz val="9"/>
        <color theme="1"/>
        <name val="Calibri"/>
        <scheme val="minor"/>
      </font>
      <alignment horizontal="center" vertical="center" textRotation="0" wrapText="1" indent="0" justifyLastLine="0" shrinkToFit="0" readingOrder="0"/>
      <border>
        <left style="thin">
          <color indexed="64"/>
        </left>
        <right style="thin">
          <color indexed="64"/>
        </right>
      </border>
      <protection locked="0" hidden="0"/>
    </dxf>
    <dxf>
      <font>
        <strike val="0"/>
        <outline val="0"/>
        <shadow val="0"/>
        <u val="none"/>
        <vertAlign val="baseline"/>
        <sz val="9"/>
        <color theme="1"/>
        <name val="Calibri"/>
        <scheme val="minor"/>
      </font>
      <alignment horizontal="center" vertical="center" textRotation="0" wrapText="1" indent="0" justifyLastLine="0" shrinkToFit="0" readingOrder="0"/>
      <border>
        <left style="thin">
          <color indexed="64"/>
        </left>
        <right style="thin">
          <color indexed="64"/>
        </right>
      </border>
      <protection locked="0" hidden="0"/>
    </dxf>
    <dxf>
      <font>
        <strike val="0"/>
        <outline val="0"/>
        <shadow val="0"/>
        <u val="none"/>
        <vertAlign val="baseline"/>
        <sz val="9"/>
        <color theme="1"/>
        <name val="Calibri"/>
        <scheme val="minor"/>
      </font>
      <alignment horizontal="center" vertical="center" textRotation="0" wrapText="1" indent="0" justifyLastLine="0" shrinkToFit="0" readingOrder="0"/>
      <border>
        <left style="thin">
          <color indexed="64"/>
        </left>
        <right style="thin">
          <color indexed="64"/>
        </right>
      </border>
      <protection locked="0" hidden="0"/>
    </dxf>
    <dxf>
      <font>
        <strike val="0"/>
        <outline val="0"/>
        <shadow val="0"/>
        <u val="none"/>
        <vertAlign val="baseline"/>
        <sz val="9"/>
        <color theme="1"/>
        <name val="Calibri"/>
        <scheme val="minor"/>
      </font>
      <alignment horizontal="center" vertical="center" textRotation="0" wrapText="1" indent="0" justifyLastLine="0" shrinkToFit="0" readingOrder="0"/>
      <border>
        <left style="thin">
          <color indexed="64"/>
        </left>
        <right style="thin">
          <color indexed="64"/>
        </right>
      </border>
      <protection locked="0" hidden="0"/>
    </dxf>
    <dxf>
      <font>
        <strike val="0"/>
        <outline val="0"/>
        <shadow val="0"/>
        <u val="none"/>
        <vertAlign val="baseline"/>
        <sz val="9"/>
        <color theme="1"/>
        <name val="Calibri"/>
        <scheme val="minor"/>
      </font>
      <alignment horizontal="center" vertical="center" textRotation="0" wrapText="1" indent="0" justifyLastLine="0" shrinkToFit="0" readingOrder="0"/>
      <border>
        <left style="thin">
          <color indexed="64"/>
        </left>
        <right style="thin">
          <color indexed="64"/>
        </right>
      </border>
      <protection locked="0" hidden="0"/>
    </dxf>
    <dxf>
      <font>
        <strike val="0"/>
        <outline val="0"/>
        <shadow val="0"/>
        <u val="none"/>
        <vertAlign val="baseline"/>
        <sz val="9"/>
        <color theme="1"/>
        <name val="Calibri"/>
        <scheme val="minor"/>
      </font>
      <alignment horizontal="center" vertical="center" textRotation="0" wrapText="1" indent="0" justifyLastLine="0" shrinkToFit="0" readingOrder="0"/>
      <border>
        <left style="thin">
          <color indexed="64"/>
        </left>
        <right style="thin">
          <color indexed="64"/>
        </right>
      </border>
      <protection locked="0" hidden="0"/>
    </dxf>
    <dxf>
      <font>
        <strike val="0"/>
        <outline val="0"/>
        <shadow val="0"/>
        <u val="none"/>
        <vertAlign val="baseline"/>
        <sz val="9"/>
        <color theme="1"/>
        <name val="Calibri"/>
        <scheme val="minor"/>
      </font>
      <alignment horizontal="center" vertical="center" textRotation="0" wrapText="1" indent="0" justifyLastLine="0" shrinkToFit="0" readingOrder="0"/>
      <border>
        <right style="thin">
          <color indexed="64"/>
        </right>
      </border>
      <protection locked="0" hidden="0"/>
    </dxf>
    <dxf>
      <font>
        <strike val="0"/>
        <outline val="0"/>
        <shadow val="0"/>
        <u val="none"/>
        <vertAlign val="baseline"/>
        <sz val="9"/>
        <name val="Calibri"/>
        <scheme val="minor"/>
      </font>
      <numFmt numFmtId="0" formatCode="General"/>
      <alignment horizontal="center" vertical="center" textRotation="0" wrapText="1" indent="0" justifyLastLine="0" shrinkToFit="0" readingOrder="0"/>
      <border>
        <right style="thin">
          <color indexed="64"/>
        </right>
      </border>
      <protection locked="0" hidden="0"/>
    </dxf>
    <dxf>
      <font>
        <strike val="0"/>
        <outline val="0"/>
        <shadow val="0"/>
        <u val="none"/>
        <vertAlign val="baseline"/>
        <sz val="9"/>
        <name val="Calibri"/>
        <scheme val="minor"/>
      </font>
      <alignment horizontal="center" vertical="center" textRotation="0" wrapText="1" indent="0" justifyLastLine="0" shrinkToFit="0" readingOrder="0"/>
      <protection locked="0" hidden="0"/>
    </dxf>
    <dxf>
      <font>
        <strike val="0"/>
        <outline val="0"/>
        <shadow val="0"/>
        <u val="none"/>
        <vertAlign val="baseline"/>
        <sz val="9"/>
        <name val="Calibri"/>
        <scheme val="minor"/>
      </font>
      <alignment horizontal="center" vertical="center" textRotation="0" wrapText="1" indent="0" justifyLastLine="0" shrinkToFit="0" readingOrder="0"/>
    </dxf>
    <dxf>
      <font>
        <b/>
        <i val="0"/>
        <strike val="0"/>
        <condense val="0"/>
        <extend val="0"/>
        <outline val="0"/>
        <shadow val="0"/>
        <u val="none"/>
        <vertAlign val="baseline"/>
        <sz val="10"/>
        <color theme="0"/>
        <name val="Calibri"/>
        <scheme val="minor"/>
      </font>
      <fill>
        <patternFill patternType="solid">
          <fgColor indexed="64"/>
          <bgColor rgb="FF002060"/>
        </patternFill>
      </fill>
      <alignment horizontal="center" vertical="center" textRotation="0" wrapText="1" indent="0" justifyLastLine="0" shrinkToFit="0" readingOrder="0"/>
      <border diagonalUp="0" diagonalDown="0" outline="0">
        <left style="thin">
          <color indexed="64"/>
        </left>
        <right style="thin">
          <color indexed="64"/>
        </right>
        <top/>
        <bottom/>
      </border>
    </dxf>
    <dxf>
      <fill>
        <patternFill>
          <bgColor rgb="FF0070C0"/>
        </patternFill>
      </fill>
    </dxf>
    <dxf>
      <fill>
        <patternFill>
          <bgColor rgb="FF92D050"/>
        </patternFill>
      </fill>
    </dxf>
    <dxf>
      <fill>
        <patternFill>
          <bgColor theme="5" tint="0.39994506668294322"/>
        </patternFill>
      </fill>
    </dxf>
    <dxf>
      <fill>
        <patternFill>
          <bgColor theme="8" tint="0.59996337778862885"/>
        </patternFill>
      </fill>
    </dxf>
    <dxf>
      <fill>
        <patternFill>
          <bgColor rgb="FFFFC000"/>
        </patternFill>
      </fill>
    </dxf>
    <dxf>
      <fill>
        <patternFill>
          <bgColor theme="7" tint="0.59996337778862885"/>
        </patternFill>
      </fill>
    </dxf>
    <dxf>
      <fill>
        <patternFill>
          <bgColor theme="7" tint="0.59996337778862885"/>
        </patternFill>
      </fill>
    </dxf>
    <dxf>
      <fill>
        <patternFill>
          <bgColor rgb="FF0070C0"/>
        </patternFill>
      </fill>
    </dxf>
    <dxf>
      <fill>
        <patternFill>
          <bgColor rgb="FF92D050"/>
        </patternFill>
      </fill>
    </dxf>
    <dxf>
      <fill>
        <patternFill>
          <bgColor theme="5" tint="0.39994506668294322"/>
        </patternFill>
      </fill>
    </dxf>
    <dxf>
      <fill>
        <patternFill>
          <bgColor theme="8" tint="0.59996337778862885"/>
        </patternFill>
      </fill>
    </dxf>
    <dxf>
      <fill>
        <patternFill>
          <bgColor rgb="FFFFC000"/>
        </patternFill>
      </fill>
    </dxf>
    <dxf>
      <fill>
        <patternFill>
          <bgColor theme="7" tint="0.59996337778862885"/>
        </patternFill>
      </fill>
    </dxf>
    <dxf>
      <fill>
        <patternFill>
          <bgColor theme="7" tint="0.59996337778862885"/>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openxmlformats.org/officeDocument/2006/relationships/worksheet" Target="worksheets/sheet4.xml"/><Relationship Id="rId9" Type="http://schemas.microsoft.com/office/2006/relationships/vbaProject" Target="vbaProject.bin"/></Relationships>
</file>

<file path=xl/drawings/_rels/drawing1.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1.jpeg"/></Relationships>
</file>

<file path=xl/drawings/_rels/drawing2.xml.rels><?xml version="1.0" encoding="UTF-8" standalone="yes"?>
<Relationships xmlns="http://schemas.openxmlformats.org/package/2006/relationships"><Relationship Id="rId2" Type="http://schemas.openxmlformats.org/officeDocument/2006/relationships/image" Target="../media/image4.jpeg"/><Relationship Id="rId1" Type="http://schemas.openxmlformats.org/officeDocument/2006/relationships/image" Target="../media/image3.png"/></Relationships>
</file>

<file path=xl/drawings/drawing1.xml><?xml version="1.0" encoding="utf-8"?>
<xdr:wsDr xmlns:xdr="http://schemas.openxmlformats.org/drawingml/2006/spreadsheetDrawing" xmlns:a="http://schemas.openxmlformats.org/drawingml/2006/main">
  <xdr:twoCellAnchor editAs="absolute">
    <xdr:from>
      <xdr:col>6</xdr:col>
      <xdr:colOff>691242</xdr:colOff>
      <xdr:row>6</xdr:row>
      <xdr:rowOff>87085</xdr:rowOff>
    </xdr:from>
    <xdr:to>
      <xdr:col>11</xdr:col>
      <xdr:colOff>680357</xdr:colOff>
      <xdr:row>22</xdr:row>
      <xdr:rowOff>108857</xdr:rowOff>
    </xdr:to>
    <xdr:grpSp>
      <xdr:nvGrpSpPr>
        <xdr:cNvPr id="3" name="Groupe 2">
          <a:extLst>
            <a:ext uri="{FF2B5EF4-FFF2-40B4-BE49-F238E27FC236}">
              <a16:creationId xmlns:a16="http://schemas.microsoft.com/office/drawing/2014/main" id="{00000000-0008-0000-0100-000003000000}"/>
            </a:ext>
          </a:extLst>
        </xdr:cNvPr>
        <xdr:cNvGrpSpPr>
          <a:grpSpLocks noChangeAspect="1"/>
        </xdr:cNvGrpSpPr>
      </xdr:nvGrpSpPr>
      <xdr:grpSpPr>
        <a:xfrm>
          <a:off x="5446122" y="1222465"/>
          <a:ext cx="3951515" cy="2947852"/>
          <a:chOff x="2946400" y="1066800"/>
          <a:chExt cx="4673600" cy="3505200"/>
        </a:xfrm>
      </xdr:grpSpPr>
      <xdr:pic macro="[0]!ThisWorkbook.generation_factures">
        <xdr:nvPicPr>
          <xdr:cNvPr id="4" name="Image 3" descr="Résultat de recherche d'images pour &quot;facture icon&quot;">
            <a:extLst>
              <a:ext uri="{FF2B5EF4-FFF2-40B4-BE49-F238E27FC236}">
                <a16:creationId xmlns:a16="http://schemas.microsoft.com/office/drawing/2014/main" id="{00000000-0008-0000-0100-000004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946400" y="1066800"/>
            <a:ext cx="4673600" cy="3505200"/>
          </a:xfrm>
          <a:prstGeom prst="rect">
            <a:avLst/>
          </a:prstGeom>
          <a:noFill/>
          <a:extLst>
            <a:ext uri="{909E8E84-426E-40DD-AFC4-6F175D3DCCD1}">
              <a14:hiddenFill xmlns:a14="http://schemas.microsoft.com/office/drawing/2010/main">
                <a:solidFill>
                  <a:srgbClr val="FFFFFF"/>
                </a:solidFill>
              </a14:hiddenFill>
            </a:ext>
          </a:extLst>
        </xdr:spPr>
      </xdr:pic>
      <xdr:sp macro="[0]!ThisWorkbook.generation_factures" textlink="">
        <xdr:nvSpPr>
          <xdr:cNvPr id="5" name="ZoneTexte 4">
            <a:extLst>
              <a:ext uri="{FF2B5EF4-FFF2-40B4-BE49-F238E27FC236}">
                <a16:creationId xmlns:a16="http://schemas.microsoft.com/office/drawing/2014/main" id="{00000000-0008-0000-0100-000005000000}"/>
              </a:ext>
            </a:extLst>
          </xdr:cNvPr>
          <xdr:cNvSpPr txBox="1"/>
        </xdr:nvSpPr>
        <xdr:spPr>
          <a:xfrm>
            <a:off x="2946400" y="1207911"/>
            <a:ext cx="4673600" cy="523220"/>
          </a:xfrm>
          <a:prstGeom prst="rect">
            <a:avLst/>
          </a:prstGeom>
          <a:noFill/>
        </xdr:spPr>
        <xdr:txBody>
          <a:bodyPr wrap="square" rtlCol="0">
            <a:spAutoFit/>
          </a:bodyPr>
          <a:lstStyle>
            <a:defPPr>
              <a:defRPr lang="fr-FR"/>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ctr"/>
            <a:r>
              <a:rPr lang="fr-FR" sz="2800">
                <a:latin typeface="Impact" panose="020B0806030902050204" pitchFamily="34" charset="0"/>
              </a:rPr>
              <a:t>Générer les factures</a:t>
            </a:r>
          </a:p>
        </xdr:txBody>
      </xdr:sp>
    </xdr:grpSp>
    <xdr:clientData/>
  </xdr:twoCellAnchor>
  <xdr:twoCellAnchor editAs="absolute">
    <xdr:from>
      <xdr:col>13</xdr:col>
      <xdr:colOff>653142</xdr:colOff>
      <xdr:row>17</xdr:row>
      <xdr:rowOff>70757</xdr:rowOff>
    </xdr:from>
    <xdr:to>
      <xdr:col>17</xdr:col>
      <xdr:colOff>54428</xdr:colOff>
      <xdr:row>21</xdr:row>
      <xdr:rowOff>27213</xdr:rowOff>
    </xdr:to>
    <xdr:sp macro="" textlink="">
      <xdr:nvSpPr>
        <xdr:cNvPr id="7" name="ZoneTexte 6">
          <a:extLst>
            <a:ext uri="{FF2B5EF4-FFF2-40B4-BE49-F238E27FC236}">
              <a16:creationId xmlns:a16="http://schemas.microsoft.com/office/drawing/2014/main" id="{00000000-0008-0000-0100-000007000000}"/>
            </a:ext>
          </a:extLst>
        </xdr:cNvPr>
        <xdr:cNvSpPr txBox="1"/>
      </xdr:nvSpPr>
      <xdr:spPr>
        <a:xfrm>
          <a:off x="10842171" y="3254828"/>
          <a:ext cx="2536371" cy="696685"/>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fr-FR" sz="1100"/>
            <a:t>Une facture sera générée pour toutes les</a:t>
          </a:r>
          <a:r>
            <a:rPr lang="fr-FR" sz="1100" baseline="0"/>
            <a:t> lignes de la feuille "Factures" ayant le champ "Edition facture" renseigné à Oui </a:t>
          </a:r>
          <a:endParaRPr lang="fr-FR" sz="1100"/>
        </a:p>
      </xdr:txBody>
    </xdr:sp>
    <xdr:clientData/>
  </xdr:twoCellAnchor>
  <xdr:twoCellAnchor>
    <xdr:from>
      <xdr:col>14</xdr:col>
      <xdr:colOff>625275</xdr:colOff>
      <xdr:row>9</xdr:row>
      <xdr:rowOff>70757</xdr:rowOff>
    </xdr:from>
    <xdr:to>
      <xdr:col>16</xdr:col>
      <xdr:colOff>46028</xdr:colOff>
      <xdr:row>16</xdr:row>
      <xdr:rowOff>163285</xdr:rowOff>
    </xdr:to>
    <xdr:grpSp>
      <xdr:nvGrpSpPr>
        <xdr:cNvPr id="2" name="Groupe 1">
          <a:extLst>
            <a:ext uri="{FF2B5EF4-FFF2-40B4-BE49-F238E27FC236}">
              <a16:creationId xmlns:a16="http://schemas.microsoft.com/office/drawing/2014/main" id="{00000000-0008-0000-0100-000002000000}"/>
            </a:ext>
          </a:extLst>
        </xdr:cNvPr>
        <xdr:cNvGrpSpPr/>
      </xdr:nvGrpSpPr>
      <xdr:grpSpPr>
        <a:xfrm>
          <a:off x="11719995" y="1754777"/>
          <a:ext cx="1005713" cy="1372688"/>
          <a:chOff x="10193818" y="185057"/>
          <a:chExt cx="988296" cy="1387928"/>
        </a:xfrm>
      </xdr:grpSpPr>
      <xdr:pic>
        <xdr:nvPicPr>
          <xdr:cNvPr id="6" name="Image 5">
            <a:extLst>
              <a:ext uri="{FF2B5EF4-FFF2-40B4-BE49-F238E27FC236}">
                <a16:creationId xmlns:a16="http://schemas.microsoft.com/office/drawing/2014/main" id="{00000000-0008-0000-0100-000006000000}"/>
              </a:ext>
            </a:extLst>
          </xdr:cNvPr>
          <xdr:cNvPicPr>
            <a:picLocks noChangeAspect="1"/>
          </xdr:cNvPicPr>
        </xdr:nvPicPr>
        <xdr:blipFill>
          <a:blip xmlns:r="http://schemas.openxmlformats.org/officeDocument/2006/relationships" r:embed="rId2"/>
          <a:stretch>
            <a:fillRect/>
          </a:stretch>
        </xdr:blipFill>
        <xdr:spPr>
          <a:xfrm>
            <a:off x="10193818" y="185057"/>
            <a:ext cx="988296" cy="1372634"/>
          </a:xfrm>
          <a:prstGeom prst="rect">
            <a:avLst/>
          </a:prstGeom>
        </xdr:spPr>
      </xdr:pic>
      <xdr:sp macro="" textlink="">
        <xdr:nvSpPr>
          <xdr:cNvPr id="8" name="Ellipse 7">
            <a:extLst>
              <a:ext uri="{FF2B5EF4-FFF2-40B4-BE49-F238E27FC236}">
                <a16:creationId xmlns:a16="http://schemas.microsoft.com/office/drawing/2014/main" id="{00000000-0008-0000-0100-000008000000}"/>
              </a:ext>
            </a:extLst>
          </xdr:cNvPr>
          <xdr:cNvSpPr/>
        </xdr:nvSpPr>
        <xdr:spPr>
          <a:xfrm>
            <a:off x="10461173" y="669472"/>
            <a:ext cx="468085" cy="217714"/>
          </a:xfrm>
          <a:prstGeom prst="ellipse">
            <a:avLst/>
          </a:prstGeom>
          <a:noFill/>
          <a:ln>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sp macro="" textlink="">
        <xdr:nvSpPr>
          <xdr:cNvPr id="9" name="Ellipse 8">
            <a:extLst>
              <a:ext uri="{FF2B5EF4-FFF2-40B4-BE49-F238E27FC236}">
                <a16:creationId xmlns:a16="http://schemas.microsoft.com/office/drawing/2014/main" id="{00000000-0008-0000-0100-000009000000}"/>
              </a:ext>
            </a:extLst>
          </xdr:cNvPr>
          <xdr:cNvSpPr/>
        </xdr:nvSpPr>
        <xdr:spPr>
          <a:xfrm>
            <a:off x="10461170" y="1355271"/>
            <a:ext cx="468085" cy="217714"/>
          </a:xfrm>
          <a:prstGeom prst="ellipse">
            <a:avLst/>
          </a:prstGeom>
          <a:noFill/>
          <a:ln>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grpSp>
    <xdr:clientData/>
  </xdr:twoCellAnchor>
</xdr:wsDr>
</file>

<file path=xl/drawings/drawing2.xml><?xml version="1.0" encoding="utf-8"?>
<xdr:wsDr xmlns:xdr="http://schemas.openxmlformats.org/drawingml/2006/spreadsheetDrawing" xmlns:a="http://schemas.openxmlformats.org/drawingml/2006/main">
  <xdr:twoCellAnchor editAs="oneCell">
    <xdr:from>
      <xdr:col>1</xdr:col>
      <xdr:colOff>47625</xdr:colOff>
      <xdr:row>2</xdr:row>
      <xdr:rowOff>104775</xdr:rowOff>
    </xdr:from>
    <xdr:to>
      <xdr:col>2</xdr:col>
      <xdr:colOff>750794</xdr:colOff>
      <xdr:row>9</xdr:row>
      <xdr:rowOff>34545</xdr:rowOff>
    </xdr:to>
    <xdr:pic>
      <xdr:nvPicPr>
        <xdr:cNvPr id="2" name="Picture 2">
          <a:extLst>
            <a:ext uri="{FF2B5EF4-FFF2-40B4-BE49-F238E27FC236}">
              <a16:creationId xmlns:a16="http://schemas.microsoft.com/office/drawing/2014/main" id="{00000000-0008-0000-0000-00000104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319768" y="474889"/>
          <a:ext cx="1329097" cy="1301370"/>
        </a:xfrm>
        <a:prstGeom prst="rect">
          <a:avLst/>
        </a:prstGeom>
        <a:noFill/>
        <a:ln w="9525">
          <a:noFill/>
          <a:miter lim="800000"/>
          <a:headEnd/>
          <a:tailEnd/>
        </a:ln>
      </xdr:spPr>
    </xdr:pic>
    <xdr:clientData/>
  </xdr:twoCellAnchor>
  <xdr:twoCellAnchor editAs="oneCell">
    <xdr:from>
      <xdr:col>0</xdr:col>
      <xdr:colOff>0</xdr:colOff>
      <xdr:row>39</xdr:row>
      <xdr:rowOff>44823</xdr:rowOff>
    </xdr:from>
    <xdr:to>
      <xdr:col>17</xdr:col>
      <xdr:colOff>246530</xdr:colOff>
      <xdr:row>60</xdr:row>
      <xdr:rowOff>156882</xdr:rowOff>
    </xdr:to>
    <xdr:pic>
      <xdr:nvPicPr>
        <xdr:cNvPr id="3" name="Image 2" descr="Sans titre.jpg">
          <a:extLst>
            <a:ext uri="{FF2B5EF4-FFF2-40B4-BE49-F238E27FC236}">
              <a16:creationId xmlns:a16="http://schemas.microsoft.com/office/drawing/2014/main" id="{00000000-0008-0000-0000-000003000000}"/>
            </a:ext>
          </a:extLst>
        </xdr:cNvPr>
        <xdr:cNvPicPr>
          <a:picLocks noChangeAspect="1"/>
        </xdr:cNvPicPr>
      </xdr:nvPicPr>
      <xdr:blipFill>
        <a:blip xmlns:r="http://schemas.openxmlformats.org/officeDocument/2006/relationships" r:embed="rId2"/>
        <a:stretch>
          <a:fillRect/>
        </a:stretch>
      </xdr:blipFill>
      <xdr:spPr>
        <a:xfrm>
          <a:off x="0" y="8187337"/>
          <a:ext cx="11393501" cy="3998259"/>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twoCellAnchor>
    <xdr:from>
      <xdr:col>2</xdr:col>
      <xdr:colOff>381000</xdr:colOff>
      <xdr:row>9</xdr:row>
      <xdr:rowOff>10884</xdr:rowOff>
    </xdr:from>
    <xdr:to>
      <xdr:col>5</xdr:col>
      <xdr:colOff>598715</xdr:colOff>
      <xdr:row>18</xdr:row>
      <xdr:rowOff>68034</xdr:rowOff>
    </xdr:to>
    <xdr:sp macro="" textlink="">
      <xdr:nvSpPr>
        <xdr:cNvPr id="2" name="ZoneTexte 1">
          <a:extLst>
            <a:ext uri="{FF2B5EF4-FFF2-40B4-BE49-F238E27FC236}">
              <a16:creationId xmlns:a16="http://schemas.microsoft.com/office/drawing/2014/main" id="{00000000-0008-0000-0300-000002000000}"/>
            </a:ext>
          </a:extLst>
        </xdr:cNvPr>
        <xdr:cNvSpPr txBox="1"/>
      </xdr:nvSpPr>
      <xdr:spPr>
        <a:xfrm>
          <a:off x="3875314" y="1676398"/>
          <a:ext cx="3940630" cy="172266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fr-FR" sz="1400"/>
            <a:t>Pour ajouter un</a:t>
          </a:r>
          <a:r>
            <a:rPr lang="fr-FR" sz="1400" baseline="0"/>
            <a:t>e nouvelle prestation, il suffit d'écrire directement à la suite du tableau et la prestation apparaîtra automatiquement dans le menu déroulant (ne pas faire d'insertion de ligne).</a:t>
          </a:r>
        </a:p>
        <a:p>
          <a:pPr algn="ctr"/>
          <a:r>
            <a:rPr lang="fr-FR" sz="1400" baseline="0"/>
            <a:t>La feuille "Factures" est verrouillée avec mot de passe "dimoteck"</a:t>
          </a:r>
          <a:endParaRPr lang="fr-FR" sz="1400"/>
        </a:p>
      </xdr:txBody>
    </xdr:sp>
    <xdr:clientData/>
  </xdr:twoCellAnchor>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0000000}" name="factures" displayName="factures" ref="A1:AI472" totalsRowShown="0" headerRowDxfId="63" dataDxfId="62">
  <autoFilter ref="A1:AI472" xr:uid="{00000000-0009-0000-0100-000001000000}"/>
  <sortState xmlns:xlrd2="http://schemas.microsoft.com/office/spreadsheetml/2017/richdata2" ref="A235:AI454">
    <sortCondition ref="Q1:Q454"/>
  </sortState>
  <tableColumns count="35">
    <tableColumn id="1" xr3:uid="{00000000-0010-0000-0000-000001000000}" name="Adresse" dataDxfId="61"/>
    <tableColumn id="2" xr3:uid="{00000000-0010-0000-0000-000002000000}" name="Code _x000a_postal" dataDxfId="60" dataCellStyle="Milliers"/>
    <tableColumn id="3" xr3:uid="{00000000-0010-0000-0000-000003000000}" name="Ville" dataDxfId="59"/>
    <tableColumn id="4" xr3:uid="{00000000-0010-0000-0000-000004000000}" name="Residence" dataDxfId="58"/>
    <tableColumn id="5" xr3:uid="{00000000-0010-0000-0000-000005000000}" name="Lgt" dataDxfId="57"/>
    <tableColumn id="6" xr3:uid="{00000000-0010-0000-0000-000006000000}" name="Etage" dataDxfId="56"/>
    <tableColumn id="7" xr3:uid="{00000000-0010-0000-0000-000007000000}" name="Type" dataDxfId="55"/>
    <tableColumn id="8" xr3:uid="{00000000-0010-0000-0000-000008000000}" name="UG" dataDxfId="54"/>
    <tableColumn id="9" xr3:uid="{00000000-0010-0000-0000-000009000000}" name="UR" dataDxfId="53"/>
    <tableColumn id="10" xr3:uid="{00000000-0010-0000-0000-00000A000000}" name="Télephone_x000a_gardien" dataDxfId="52"/>
    <tableColumn id="11" xr3:uid="{00000000-0010-0000-0000-00000B000000}" name="Adresse clefs" dataDxfId="51"/>
    <tableColumn id="12" xr3:uid="{00000000-0010-0000-0000-00000C000000}" name="Télephone_x000a_Locataire" dataDxfId="50"/>
    <tableColumn id="13" xr3:uid="{00000000-0010-0000-0000-00000D000000}" name="Date de_x000a_ réception" dataDxfId="49"/>
    <tableColumn id="14" xr3:uid="{00000000-0010-0000-0000-00000E000000}" name="Mission" dataDxfId="48"/>
    <tableColumn id="15" xr3:uid="{00000000-0010-0000-0000-00000F000000}" name="Date _x000a_intervention" dataDxfId="47"/>
    <tableColumn id="16" xr3:uid="{00000000-0010-0000-0000-000010000000}" name="Horaire" dataDxfId="46"/>
    <tableColumn id="17" xr3:uid="{00000000-0010-0000-0000-000011000000}" name="Etat" dataDxfId="45"/>
    <tableColumn id="18" xr3:uid="{00000000-0010-0000-0000-000012000000}" name="Pg de travaux" dataDxfId="44"/>
    <tableColumn id="19" xr3:uid="{00000000-0010-0000-0000-000013000000}" name="BC" dataDxfId="43"/>
    <tableColumn id="20" xr3:uid="{00000000-0010-0000-0000-000014000000}" name="Motif blocage" dataDxfId="42"/>
    <tableColumn id="21" xr3:uid="{00000000-0010-0000-0000-000015000000}" name="Commande Labo" dataDxfId="41"/>
    <tableColumn id="22" xr3:uid="{00000000-0010-0000-0000-000016000000}" name="DT Prestation Amiante 1" dataDxfId="40"/>
    <tableColumn id="23" xr3:uid="{00000000-0010-0000-0000-000017000000}" name="Prix Prestation Amiante 1" dataDxfId="39" dataCellStyle="Monétaire">
      <calculatedColumnFormula>IFERROR(VLOOKUP(factures[[#This Row],[DT Prestation Amiante 1]],presta_amiante1[#Data],2,0),0)</calculatedColumnFormula>
    </tableColumn>
    <tableColumn id="35" xr3:uid="{00000000-0010-0000-0000-000023000000}" name="DT Prestation Amiante 2" dataDxfId="38" dataCellStyle="Monétaire"/>
    <tableColumn id="34" xr3:uid="{00000000-0010-0000-0000-000022000000}" name="Prix Prestation Amiante 2" dataDxfId="37" dataCellStyle="Monétaire">
      <calculatedColumnFormula>IFERROR(VLOOKUP(factures[[#This Row],[DT Prestation Amiante 2]],presta_amiante2[#Data],2,0),0)</calculatedColumnFormula>
    </tableColumn>
    <tableColumn id="24" xr3:uid="{00000000-0010-0000-0000-000018000000}" name="DT Prestation Gaz" dataDxfId="36"/>
    <tableColumn id="25" xr3:uid="{00000000-0010-0000-0000-000019000000}" name="Prix Prestation Gaz" dataDxfId="35" dataCellStyle="Monétaire">
      <calculatedColumnFormula>IFERROR(VLOOKUP(factures[[#This Row],[DT Prestation Gaz]],presta_gaz[#Data],2,0),0)</calculatedColumnFormula>
    </tableColumn>
    <tableColumn id="26" xr3:uid="{00000000-0010-0000-0000-00001A000000}" name="Plvts " dataDxfId="34"/>
    <tableColumn id="27" xr3:uid="{00000000-0010-0000-0000-00001B000000}" name="DT Analyses" dataDxfId="33"/>
    <tableColumn id="28" xr3:uid="{00000000-0010-0000-0000-00001C000000}" name="Prix Analyses" dataDxfId="32" dataCellStyle="Monétaire">
      <calculatedColumnFormula>IFERROR(VLOOKUP(factures[[#This Row],[DT Analyses]],DT_analyses[#Data],2,0),0)</calculatedColumnFormula>
    </tableColumn>
    <tableColumn id="29" xr3:uid="{00000000-0010-0000-0000-00001D000000}" name="Prix analyses HT" dataDxfId="31" dataCellStyle="Monétaire">
      <calculatedColumnFormula>IFERROR(factures[[#This Row],[Plvts ]]*factures[[#This Row],[Prix Analyses]],0)</calculatedColumnFormula>
    </tableColumn>
    <tableColumn id="30" xr3:uid="{00000000-0010-0000-0000-00001E000000}" name="Prix total HT" dataDxfId="30" dataCellStyle="Monétaire">
      <calculatedColumnFormula>factures[[#This Row],[Prix Prestation Amiante 1]]+factures[[#This Row],[Prix Prestation Amiante 2]]+factures[[#This Row],[Prix Prestation Gaz]]+factures[[#This Row],[Prix analyses HT]]</calculatedColumnFormula>
    </tableColumn>
    <tableColumn id="31" xr3:uid="{00000000-0010-0000-0000-00001F000000}" name="N° de Facture" dataDxfId="29"/>
    <tableColumn id="32" xr3:uid="{00000000-0010-0000-0000-000020000000}" name="Date Factu" dataDxfId="28"/>
    <tableColumn id="33" xr3:uid="{00000000-0010-0000-0000-000021000000}" name="Edition facture" dataDxfId="27"/>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00000000-000C-0000-FFFF-FFFF01000000}" name="presta_amiante1" displayName="presta_amiante1" ref="A1:B9" totalsRowShown="0" headerRowDxfId="26">
  <autoFilter ref="A1:B9" xr:uid="{00000000-0009-0000-0100-000002000000}">
    <filterColumn colId="0" hiddenButton="1"/>
    <filterColumn colId="1" hiddenButton="1"/>
  </autoFilter>
  <tableColumns count="2">
    <tableColumn id="1" xr3:uid="{00000000-0010-0000-0100-000001000000}" name="DT Prestation Amiante 1" dataDxfId="25"/>
    <tableColumn id="2" xr3:uid="{00000000-0010-0000-0100-000002000000}" name="Prix Prestation Amiante" dataDxfId="24" dataCellStyle="Monétaire"/>
  </tableColumns>
  <tableStyleInfo name="TableStyleMedium1"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00000000-000C-0000-FFFF-FFFF02000000}" name="presta_gaz" displayName="presta_gaz" ref="D1:E5" totalsRowShown="0" headerRowDxfId="23" dataDxfId="22">
  <autoFilter ref="D1:E5" xr:uid="{00000000-0009-0000-0100-000003000000}">
    <filterColumn colId="0" hiddenButton="1"/>
    <filterColumn colId="1" hiddenButton="1"/>
  </autoFilter>
  <tableColumns count="2">
    <tableColumn id="1" xr3:uid="{00000000-0010-0000-0200-000001000000}" name="DT Prestation Gaz" dataDxfId="21"/>
    <tableColumn id="2" xr3:uid="{00000000-0010-0000-0200-000002000000}" name="Prix Prestation Gaz" dataDxfId="20" dataCellStyle="Monétaire"/>
  </tableColumns>
  <tableStyleInfo name="TableStyleMedium1"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00000000-000C-0000-FFFF-FFFF03000000}" name="DT_analyses" displayName="DT_analyses" ref="G1:H2" totalsRowShown="0" headerRowDxfId="19" dataDxfId="18">
  <autoFilter ref="G1:H2" xr:uid="{00000000-0009-0000-0100-000004000000}">
    <filterColumn colId="0" hiddenButton="1"/>
    <filterColumn colId="1" hiddenButton="1"/>
  </autoFilter>
  <tableColumns count="2">
    <tableColumn id="1" xr3:uid="{00000000-0010-0000-0300-000001000000}" name="DT Analyses" dataDxfId="17"/>
    <tableColumn id="2" xr3:uid="{00000000-0010-0000-0300-000002000000}" name="Prix Analyses" dataDxfId="16" dataCellStyle="Monétaire"/>
  </tableColumns>
  <tableStyleInfo name="TableStyleMedium1"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00000000-000C-0000-FFFF-FFFF04000000}" name="livraison" displayName="livraison" ref="J1:K4" totalsRowShown="0" headerRowDxfId="15" dataDxfId="14">
  <autoFilter ref="J1:K4" xr:uid="{00000000-0009-0000-0100-000005000000}">
    <filterColumn colId="0" hiddenButton="1"/>
    <filterColumn colId="1" hiddenButton="1"/>
  </autoFilter>
  <tableColumns count="2">
    <tableColumn id="1" xr3:uid="{00000000-0010-0000-0400-000001000000}" name="Code postal" dataDxfId="13"/>
    <tableColumn id="2" xr3:uid="{00000000-0010-0000-0400-000002000000}" name="Livrée à" dataDxfId="12"/>
  </tableColumns>
  <tableStyleInfo name="TableStyleMedium1"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00000000-000C-0000-FFFF-FFFF05000000}" name="Tableau6" displayName="Tableau6" ref="A27:A28" totalsRowShown="0">
  <autoFilter ref="A27:A28" xr:uid="{00000000-0009-0000-0100-000006000000}">
    <filterColumn colId="0" hiddenButton="1"/>
  </autoFilter>
  <tableColumns count="1">
    <tableColumn id="1" xr3:uid="{00000000-0010-0000-0500-000001000000}" name="Préfix Numéro de Facture"/>
  </tableColumns>
  <tableStyleInfo name="TableStyleMedium2"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00000000-000C-0000-FFFF-FFFF06000000}" name="Etat_facture" displayName="Etat_facture" ref="G19:G27" totalsRowShown="0" headerRowDxfId="11">
  <autoFilter ref="G19:G27" xr:uid="{00000000-0009-0000-0100-000007000000}">
    <filterColumn colId="0" hiddenButton="1"/>
  </autoFilter>
  <tableColumns count="1">
    <tableColumn id="1" xr3:uid="{00000000-0010-0000-0600-000001000000}" name="Etat"/>
  </tableColumns>
  <tableStyleInfo name="TableStyleMedium1"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00000000-000C-0000-FFFF-FFFF07000000}" name="lliste_mission" displayName="lliste_mission" ref="G7:G18" totalsRowShown="0" headerRowDxfId="10">
  <autoFilter ref="G7:G18" xr:uid="{00000000-0009-0000-0100-000008000000}">
    <filterColumn colId="0" hiddenButton="1"/>
  </autoFilter>
  <tableColumns count="1">
    <tableColumn id="1" xr3:uid="{00000000-0010-0000-0700-000001000000}" name="Mission"/>
  </tableColumns>
  <tableStyleInfo name="TableStyleMedium1"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00000000-000C-0000-FFFF-FFFF08000000}" name="presta_amiante2" displayName="presta_amiante2" ref="A12:B19" totalsRowShown="0" headerRowDxfId="9">
  <autoFilter ref="A12:B19" xr:uid="{00000000-0009-0000-0100-000009000000}"/>
  <tableColumns count="2">
    <tableColumn id="1" xr3:uid="{00000000-0010-0000-0800-000001000000}" name="DT Prestation Amiante 2" dataDxfId="8"/>
    <tableColumn id="2" xr3:uid="{00000000-0010-0000-0800-000002000000}" name="Prix Prestation Amiante" dataDxfId="7" dataCellStyle="Monétaire"/>
  </tableColumns>
  <tableStyleInfo name="TableStyleMedium1" showFirstColumn="0" showLastColumn="0" showRowStripes="1" showColumnStripes="0"/>
</table>
</file>

<file path=xl/theme/theme1.xml><?xml version="1.0" encoding="utf-8"?>
<a:theme xmlns:a="http://schemas.openxmlformats.org/drawingml/2006/main" name="Thème Offic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8" Type="http://schemas.openxmlformats.org/officeDocument/2006/relationships/table" Target="../tables/table7.xml"/><Relationship Id="rId3" Type="http://schemas.openxmlformats.org/officeDocument/2006/relationships/table" Target="../tables/table2.xml"/><Relationship Id="rId7" Type="http://schemas.openxmlformats.org/officeDocument/2006/relationships/table" Target="../tables/table6.xml"/><Relationship Id="rId2" Type="http://schemas.openxmlformats.org/officeDocument/2006/relationships/vmlDrawing" Target="../drawings/vmlDrawing1.vml"/><Relationship Id="rId1" Type="http://schemas.openxmlformats.org/officeDocument/2006/relationships/drawing" Target="../drawings/drawing3.xml"/><Relationship Id="rId6" Type="http://schemas.openxmlformats.org/officeDocument/2006/relationships/table" Target="../tables/table5.xml"/><Relationship Id="rId11" Type="http://schemas.openxmlformats.org/officeDocument/2006/relationships/comments" Target="../comments1.xml"/><Relationship Id="rId5" Type="http://schemas.openxmlformats.org/officeDocument/2006/relationships/table" Target="../tables/table4.xml"/><Relationship Id="rId10" Type="http://schemas.openxmlformats.org/officeDocument/2006/relationships/table" Target="../tables/table9.xml"/><Relationship Id="rId4" Type="http://schemas.openxmlformats.org/officeDocument/2006/relationships/table" Target="../tables/table3.xml"/><Relationship Id="rId9" Type="http://schemas.openxmlformats.org/officeDocument/2006/relationships/table" Target="../tables/table8.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Feuil3">
    <tabColor rgb="FFFFFF00"/>
  </sheetPr>
  <dimension ref="A1:AI472"/>
  <sheetViews>
    <sheetView tabSelected="1" topLeftCell="R453" zoomScale="90" zoomScaleNormal="90" workbookViewId="0">
      <selection activeCell="AG455" sqref="AG455"/>
    </sheetView>
  </sheetViews>
  <sheetFormatPr baseColWidth="10" defaultRowHeight="14.4" x14ac:dyDescent="0.3"/>
  <cols>
    <col min="1" max="1" width="10.6640625" customWidth="1"/>
    <col min="2" max="2" width="5.6640625" customWidth="1"/>
    <col min="3" max="4" width="9.6640625" customWidth="1"/>
    <col min="5" max="5" width="5.6640625" customWidth="1"/>
    <col min="6" max="6" width="5" customWidth="1"/>
    <col min="7" max="7" width="4.44140625" customWidth="1"/>
    <col min="8" max="8" width="9.44140625" customWidth="1"/>
    <col min="9" max="9" width="5.109375" customWidth="1"/>
    <col min="10" max="10" width="16.44140625" customWidth="1"/>
    <col min="11" max="11" width="8.109375" customWidth="1"/>
    <col min="12" max="12" width="10.88671875" customWidth="1"/>
    <col min="13" max="13" width="10.5546875" customWidth="1"/>
    <col min="14" max="14" width="16.44140625" customWidth="1"/>
    <col min="15" max="15" width="10.44140625" customWidth="1"/>
    <col min="16" max="16" width="6.44140625" customWidth="1"/>
    <col min="17" max="17" width="10.44140625" customWidth="1"/>
    <col min="18" max="18" width="27.44140625" customWidth="1"/>
    <col min="19" max="19" width="9" customWidth="1"/>
    <col min="20" max="20" width="9.109375" customWidth="1"/>
    <col min="21" max="21" width="9.44140625" customWidth="1"/>
    <col min="22" max="22" width="11.88671875" customWidth="1"/>
    <col min="23" max="23" width="11.6640625" customWidth="1"/>
    <col min="24" max="24" width="11.33203125" customWidth="1"/>
    <col min="25" max="25" width="11.44140625" customWidth="1"/>
    <col min="26" max="26" width="9.6640625" customWidth="1"/>
    <col min="27" max="27" width="8.88671875" customWidth="1"/>
    <col min="28" max="28" width="4.44140625" customWidth="1"/>
    <col min="29" max="29" width="10.44140625" customWidth="1"/>
    <col min="30" max="30" width="7.44140625" customWidth="1"/>
    <col min="31" max="31" width="8" customWidth="1"/>
    <col min="32" max="32" width="9.33203125" customWidth="1"/>
    <col min="33" max="33" width="12" customWidth="1"/>
    <col min="34" max="34" width="9" customWidth="1"/>
    <col min="35" max="35" width="6.33203125" customWidth="1"/>
  </cols>
  <sheetData>
    <row r="1" spans="1:35" ht="45" customHeight="1" x14ac:dyDescent="0.3">
      <c r="A1" s="55" t="s">
        <v>0</v>
      </c>
      <c r="B1" s="55" t="s">
        <v>25</v>
      </c>
      <c r="C1" s="55" t="s">
        <v>1</v>
      </c>
      <c r="D1" s="55" t="s">
        <v>18</v>
      </c>
      <c r="E1" s="55" t="s">
        <v>2</v>
      </c>
      <c r="F1" s="55" t="s">
        <v>3</v>
      </c>
      <c r="G1" s="55" t="s">
        <v>4</v>
      </c>
      <c r="H1" s="55" t="s">
        <v>5</v>
      </c>
      <c r="I1" s="55" t="s">
        <v>6</v>
      </c>
      <c r="J1" s="55" t="s">
        <v>7</v>
      </c>
      <c r="K1" s="55" t="s">
        <v>8</v>
      </c>
      <c r="L1" s="55" t="s">
        <v>9</v>
      </c>
      <c r="M1" s="55" t="s">
        <v>10</v>
      </c>
      <c r="N1" s="56" t="s">
        <v>11</v>
      </c>
      <c r="O1" s="55" t="s">
        <v>27</v>
      </c>
      <c r="P1" s="55" t="s">
        <v>12</v>
      </c>
      <c r="Q1" s="55" t="s">
        <v>13</v>
      </c>
      <c r="R1" s="55" t="s">
        <v>14</v>
      </c>
      <c r="S1" s="55" t="s">
        <v>15</v>
      </c>
      <c r="T1" s="55" t="s">
        <v>20</v>
      </c>
      <c r="U1" s="55" t="s">
        <v>16</v>
      </c>
      <c r="V1" s="55" t="s">
        <v>79</v>
      </c>
      <c r="W1" s="55" t="s">
        <v>81</v>
      </c>
      <c r="X1" s="55" t="s">
        <v>80</v>
      </c>
      <c r="Y1" s="55" t="s">
        <v>82</v>
      </c>
      <c r="Z1" s="55" t="s">
        <v>58</v>
      </c>
      <c r="AA1" s="55" t="s">
        <v>59</v>
      </c>
      <c r="AB1" s="55" t="s">
        <v>17</v>
      </c>
      <c r="AC1" s="55" t="s">
        <v>19</v>
      </c>
      <c r="AD1" s="55" t="s">
        <v>60</v>
      </c>
      <c r="AE1" s="57" t="s">
        <v>24</v>
      </c>
      <c r="AF1" s="57" t="s">
        <v>23</v>
      </c>
      <c r="AG1" s="55" t="s">
        <v>22</v>
      </c>
      <c r="AH1" s="57" t="s">
        <v>28</v>
      </c>
      <c r="AI1" s="57" t="s">
        <v>21</v>
      </c>
    </row>
    <row r="2" spans="1:35" s="29" customFormat="1" ht="102" x14ac:dyDescent="0.3">
      <c r="A2" s="92" t="s">
        <v>188</v>
      </c>
      <c r="B2" s="72">
        <v>78200</v>
      </c>
      <c r="C2" s="69" t="s">
        <v>189</v>
      </c>
      <c r="D2" s="69" t="s">
        <v>190</v>
      </c>
      <c r="E2" s="69">
        <v>201</v>
      </c>
      <c r="F2" s="69">
        <v>2</v>
      </c>
      <c r="G2" s="69">
        <v>3</v>
      </c>
      <c r="H2" s="69">
        <v>10860</v>
      </c>
      <c r="I2" s="69">
        <v>161</v>
      </c>
      <c r="J2" s="90" t="s">
        <v>1270</v>
      </c>
      <c r="K2" s="69"/>
      <c r="L2" s="69" t="s">
        <v>192</v>
      </c>
      <c r="M2" s="71">
        <v>43434</v>
      </c>
      <c r="N2" s="69" t="s">
        <v>84</v>
      </c>
      <c r="O2" s="71">
        <v>43468</v>
      </c>
      <c r="P2" s="69">
        <v>9</v>
      </c>
      <c r="Q2" s="69" t="s">
        <v>77</v>
      </c>
      <c r="R2" s="73" t="s">
        <v>193</v>
      </c>
      <c r="S2" s="69">
        <v>914524</v>
      </c>
      <c r="T2" s="69"/>
      <c r="U2" s="69" t="s">
        <v>194</v>
      </c>
      <c r="V2" s="69" t="s">
        <v>55</v>
      </c>
      <c r="W2" s="70">
        <f>IFERROR(VLOOKUP(factures[[#This Row],[DT Prestation Amiante 1]],presta_amiante1[#Data],2,0),0)</f>
        <v>55.49</v>
      </c>
      <c r="X2" s="69" t="s">
        <v>53</v>
      </c>
      <c r="Y2" s="70">
        <f>IFERROR(VLOOKUP(factures[[#This Row],[DT Prestation Amiante 2]],presta_amiante2[#Data],2,0),0)</f>
        <v>60.11</v>
      </c>
      <c r="Z2" s="69" t="s">
        <v>61</v>
      </c>
      <c r="AA2" s="70">
        <f>IFERROR(VLOOKUP(factures[[#This Row],[DT Prestation Gaz]],presta_gaz[#Data],2,0),0)</f>
        <v>41.62</v>
      </c>
      <c r="AB2" s="69">
        <v>16</v>
      </c>
      <c r="AC2" s="69" t="s">
        <v>73</v>
      </c>
      <c r="AD2" s="70">
        <f>IFERROR(VLOOKUP(factures[[#This Row],[DT Analyses]],DT_analyses[#Data],2,0),0)</f>
        <v>36.99</v>
      </c>
      <c r="AE2" s="70">
        <f>IFERROR(factures[[#This Row],[Plvts ]]*factures[[#This Row],[Prix Analyses]],0)</f>
        <v>591.84</v>
      </c>
      <c r="AF2" s="70">
        <f>factures[[#This Row],[Prix Prestation Amiante 1]]+factures[[#This Row],[Prix Prestation Amiante 2]]+factures[[#This Row],[Prix Prestation Gaz]]+factures[[#This Row],[Prix analyses HT]]</f>
        <v>749.06000000000006</v>
      </c>
      <c r="AG2" s="69" t="s">
        <v>323</v>
      </c>
      <c r="AH2" s="86" t="s">
        <v>321</v>
      </c>
      <c r="AI2" s="69"/>
    </row>
    <row r="3" spans="1:35" ht="36" x14ac:dyDescent="0.3">
      <c r="A3" s="92" t="s">
        <v>182</v>
      </c>
      <c r="B3" s="72">
        <v>94460</v>
      </c>
      <c r="C3" s="72" t="s">
        <v>100</v>
      </c>
      <c r="D3" s="69" t="s">
        <v>183</v>
      </c>
      <c r="E3" s="69">
        <v>402</v>
      </c>
      <c r="F3" s="69">
        <v>4</v>
      </c>
      <c r="G3" s="69">
        <v>4</v>
      </c>
      <c r="H3" s="69">
        <v>49108</v>
      </c>
      <c r="I3" s="69">
        <v>9124</v>
      </c>
      <c r="J3" s="69" t="s">
        <v>184</v>
      </c>
      <c r="K3" s="69"/>
      <c r="L3" s="69" t="s">
        <v>185</v>
      </c>
      <c r="M3" s="71">
        <v>43452</v>
      </c>
      <c r="N3" s="69" t="s">
        <v>71</v>
      </c>
      <c r="O3" s="71">
        <v>43468</v>
      </c>
      <c r="P3" s="69">
        <v>11</v>
      </c>
      <c r="Q3" s="69" t="s">
        <v>77</v>
      </c>
      <c r="R3" s="73" t="s">
        <v>186</v>
      </c>
      <c r="S3" s="69">
        <v>917334</v>
      </c>
      <c r="T3" s="69"/>
      <c r="U3" s="69" t="s">
        <v>187</v>
      </c>
      <c r="V3" s="69" t="s">
        <v>54</v>
      </c>
      <c r="W3" s="70">
        <f>IFERROR(VLOOKUP(factures[[#This Row],[DT Prestation Amiante 1]],presta_amiante1[#Data],2,0),0)</f>
        <v>69.36</v>
      </c>
      <c r="X3" s="69"/>
      <c r="Y3" s="70">
        <f>IFERROR(VLOOKUP(factures[[#This Row],[DT Prestation Amiante 2]],presta_amiante2[#Data],2,0),0)</f>
        <v>0</v>
      </c>
      <c r="Z3" s="69" t="s">
        <v>62</v>
      </c>
      <c r="AA3" s="70">
        <f>IFERROR(VLOOKUP(factures[[#This Row],[DT Prestation Gaz]],presta_gaz[#Data],2,0),0)</f>
        <v>49.01</v>
      </c>
      <c r="AB3" s="69">
        <v>4</v>
      </c>
      <c r="AC3" s="69" t="s">
        <v>73</v>
      </c>
      <c r="AD3" s="70">
        <f>IFERROR(VLOOKUP(factures[[#This Row],[DT Analyses]],DT_analyses[#Data],2,0),0)</f>
        <v>36.99</v>
      </c>
      <c r="AE3" s="70">
        <f>IFERROR(factures[[#This Row],[Plvts ]]*factures[[#This Row],[Prix Analyses]],0)</f>
        <v>147.96</v>
      </c>
      <c r="AF3" s="70">
        <f>factures[[#This Row],[Prix Prestation Amiante 1]]+factures[[#This Row],[Prix Prestation Amiante 2]]+factures[[#This Row],[Prix Prestation Gaz]]+factures[[#This Row],[Prix analyses HT]]</f>
        <v>266.33000000000004</v>
      </c>
      <c r="AG3" s="69" t="s">
        <v>243</v>
      </c>
      <c r="AH3" s="86" t="s">
        <v>241</v>
      </c>
      <c r="AI3" s="69"/>
    </row>
    <row r="4" spans="1:35" ht="36" x14ac:dyDescent="0.3">
      <c r="A4" s="92" t="s">
        <v>94</v>
      </c>
      <c r="B4" s="69">
        <v>92800</v>
      </c>
      <c r="C4" s="69" t="s">
        <v>95</v>
      </c>
      <c r="D4" s="69" t="s">
        <v>96</v>
      </c>
      <c r="E4" s="69">
        <v>304</v>
      </c>
      <c r="F4" s="69">
        <v>3</v>
      </c>
      <c r="G4" s="69">
        <v>3</v>
      </c>
      <c r="H4" s="69">
        <v>13373</v>
      </c>
      <c r="I4" s="69">
        <v>195</v>
      </c>
      <c r="J4" s="69" t="s">
        <v>2262</v>
      </c>
      <c r="K4" s="69"/>
      <c r="L4" s="69" t="s">
        <v>97</v>
      </c>
      <c r="M4" s="71">
        <v>43467</v>
      </c>
      <c r="N4" s="69" t="s">
        <v>70</v>
      </c>
      <c r="O4" s="71">
        <v>43103</v>
      </c>
      <c r="P4" s="71"/>
      <c r="Q4" s="69" t="s">
        <v>77</v>
      </c>
      <c r="R4" s="73" t="s">
        <v>98</v>
      </c>
      <c r="S4" s="69">
        <v>920069</v>
      </c>
      <c r="T4" s="69"/>
      <c r="U4" s="69" t="s">
        <v>121</v>
      </c>
      <c r="V4" s="69" t="s">
        <v>53</v>
      </c>
      <c r="W4" s="70">
        <f>IFERROR(VLOOKUP(factures[[#This Row],[DT Prestation Amiante 1]],presta_amiante1[#Data],2,0),0)</f>
        <v>60.11</v>
      </c>
      <c r="X4" s="69"/>
      <c r="Y4" s="70">
        <f>IFERROR(VLOOKUP(factures[[#This Row],[DT Prestation Amiante 2]],presta_amiante2[#Data],2,0),0)</f>
        <v>0</v>
      </c>
      <c r="Z4" s="69"/>
      <c r="AA4" s="70">
        <f>IFERROR(VLOOKUP(factures[[#This Row],[DT Prestation Gaz]],presta_gaz[#Data],2,0),0)</f>
        <v>0</v>
      </c>
      <c r="AB4" s="69">
        <v>5</v>
      </c>
      <c r="AC4" s="69" t="s">
        <v>73</v>
      </c>
      <c r="AD4" s="70">
        <f>IFERROR(VLOOKUP(factures[[#This Row],[DT Analyses]],DT_analyses[#Data],2,0),0)</f>
        <v>36.99</v>
      </c>
      <c r="AE4" s="70">
        <f>IFERROR(factures[[#This Row],[Plvts ]]*factures[[#This Row],[Prix Analyses]],0)</f>
        <v>184.95000000000002</v>
      </c>
      <c r="AF4" s="70">
        <f>factures[[#This Row],[Prix Prestation Amiante 1]]+factures[[#This Row],[Prix Prestation Amiante 2]]+factures[[#This Row],[Prix Prestation Gaz]]+factures[[#This Row],[Prix analyses HT]]</f>
        <v>245.06</v>
      </c>
      <c r="AG4" s="69" t="s">
        <v>240</v>
      </c>
      <c r="AH4" s="86" t="s">
        <v>241</v>
      </c>
      <c r="AI4" s="69"/>
    </row>
    <row r="5" spans="1:35" ht="51" customHeight="1" x14ac:dyDescent="0.3">
      <c r="A5" s="92" t="s">
        <v>103</v>
      </c>
      <c r="B5" s="69">
        <v>92400</v>
      </c>
      <c r="C5" s="69" t="s">
        <v>104</v>
      </c>
      <c r="D5" s="69" t="s">
        <v>105</v>
      </c>
      <c r="E5" s="69">
        <v>417</v>
      </c>
      <c r="F5" s="69">
        <v>4</v>
      </c>
      <c r="G5" s="69">
        <v>4</v>
      </c>
      <c r="H5" s="69">
        <v>44198</v>
      </c>
      <c r="I5" s="69">
        <v>871</v>
      </c>
      <c r="J5" s="69" t="s">
        <v>120</v>
      </c>
      <c r="K5" s="69" t="s">
        <v>128</v>
      </c>
      <c r="L5" s="69" t="s">
        <v>108</v>
      </c>
      <c r="M5" s="71">
        <v>43467</v>
      </c>
      <c r="N5" s="69" t="s">
        <v>70</v>
      </c>
      <c r="O5" s="71">
        <v>43472</v>
      </c>
      <c r="P5" s="69" t="s">
        <v>129</v>
      </c>
      <c r="Q5" s="69" t="s">
        <v>77</v>
      </c>
      <c r="R5" s="73" t="s">
        <v>106</v>
      </c>
      <c r="S5" s="69">
        <v>918678</v>
      </c>
      <c r="T5" s="69"/>
      <c r="U5" s="69" t="s">
        <v>165</v>
      </c>
      <c r="V5" s="69" t="s">
        <v>54</v>
      </c>
      <c r="W5" s="70">
        <f>IFERROR(VLOOKUP(factures[[#This Row],[DT Prestation Amiante 1]],presta_amiante1[#Data],2,0),0)</f>
        <v>69.36</v>
      </c>
      <c r="X5" s="69"/>
      <c r="Y5" s="70">
        <f>IFERROR(VLOOKUP(factures[[#This Row],[DT Prestation Amiante 2]],presta_amiante2[#Data],2,0),0)</f>
        <v>0</v>
      </c>
      <c r="Z5" s="69"/>
      <c r="AA5" s="70">
        <f>IFERROR(VLOOKUP(factures[[#This Row],[DT Prestation Gaz]],presta_gaz[#Data],2,0),0)</f>
        <v>0</v>
      </c>
      <c r="AB5" s="69">
        <v>4</v>
      </c>
      <c r="AC5" s="69" t="s">
        <v>73</v>
      </c>
      <c r="AD5" s="70">
        <f>IFERROR(VLOOKUP(factures[[#This Row],[DT Analyses]],DT_analyses[#Data],2,0),0)</f>
        <v>36.99</v>
      </c>
      <c r="AE5" s="70">
        <f>IFERROR(factures[[#This Row],[Plvts ]]*factures[[#This Row],[Prix Analyses]],0)</f>
        <v>147.96</v>
      </c>
      <c r="AF5" s="70">
        <f>factures[[#This Row],[Prix Prestation Amiante 1]]+factures[[#This Row],[Prix Prestation Amiante 2]]+factures[[#This Row],[Prix Prestation Gaz]]+factures[[#This Row],[Prix analyses HT]]</f>
        <v>217.32</v>
      </c>
      <c r="AG5" s="69" t="s">
        <v>271</v>
      </c>
      <c r="AH5" s="86" t="s">
        <v>272</v>
      </c>
      <c r="AI5" s="69"/>
    </row>
    <row r="6" spans="1:35" ht="99" customHeight="1" x14ac:dyDescent="0.3">
      <c r="A6" s="92" t="s">
        <v>109</v>
      </c>
      <c r="B6" s="79">
        <v>92600</v>
      </c>
      <c r="C6" s="69" t="s">
        <v>620</v>
      </c>
      <c r="D6" s="69" t="s">
        <v>110</v>
      </c>
      <c r="E6" s="69">
        <v>302</v>
      </c>
      <c r="F6" s="69">
        <v>3</v>
      </c>
      <c r="G6" s="69">
        <v>2</v>
      </c>
      <c r="H6" s="69">
        <v>42085</v>
      </c>
      <c r="I6" s="69">
        <v>842</v>
      </c>
      <c r="J6" s="69" t="s">
        <v>785</v>
      </c>
      <c r="K6" s="69"/>
      <c r="L6" s="69" t="s">
        <v>111</v>
      </c>
      <c r="M6" s="80">
        <v>43467</v>
      </c>
      <c r="N6" s="69" t="s">
        <v>71</v>
      </c>
      <c r="O6" s="71">
        <v>43472</v>
      </c>
      <c r="P6" s="69" t="s">
        <v>130</v>
      </c>
      <c r="Q6" s="69" t="s">
        <v>77</v>
      </c>
      <c r="R6" s="73" t="s">
        <v>112</v>
      </c>
      <c r="S6" s="69">
        <v>918684</v>
      </c>
      <c r="T6" s="69"/>
      <c r="U6" s="69" t="s">
        <v>166</v>
      </c>
      <c r="V6" s="69" t="s">
        <v>53</v>
      </c>
      <c r="W6" s="70">
        <f>IFERROR(VLOOKUP(factures[[#This Row],[DT Prestation Amiante 1]],presta_amiante1[#Data],2,0),0)</f>
        <v>60.11</v>
      </c>
      <c r="X6" s="69"/>
      <c r="Y6" s="70">
        <f>IFERROR(VLOOKUP(factures[[#This Row],[DT Prestation Amiante 2]],presta_amiante2[#Data],2,0),0)</f>
        <v>0</v>
      </c>
      <c r="Z6" s="69" t="s">
        <v>61</v>
      </c>
      <c r="AA6" s="70">
        <f>IFERROR(VLOOKUP(factures[[#This Row],[DT Prestation Gaz]],presta_gaz[#Data],2,0),0)</f>
        <v>41.62</v>
      </c>
      <c r="AB6" s="69">
        <v>3</v>
      </c>
      <c r="AC6" s="69" t="s">
        <v>73</v>
      </c>
      <c r="AD6" s="70">
        <f>IFERROR(VLOOKUP(factures[[#This Row],[DT Analyses]],DT_analyses[#Data],2,0),0)</f>
        <v>36.99</v>
      </c>
      <c r="AE6" s="70">
        <f>IFERROR(factures[[#This Row],[Plvts ]]*factures[[#This Row],[Prix Analyses]],0)</f>
        <v>110.97</v>
      </c>
      <c r="AF6" s="70">
        <f>factures[[#This Row],[Prix Prestation Amiante 1]]+factures[[#This Row],[Prix Prestation Amiante 2]]+factures[[#This Row],[Prix Prestation Gaz]]+factures[[#This Row],[Prix analyses HT]]</f>
        <v>212.7</v>
      </c>
      <c r="AG6" s="69" t="s">
        <v>273</v>
      </c>
      <c r="AH6" s="86" t="s">
        <v>272</v>
      </c>
      <c r="AI6" s="69"/>
    </row>
    <row r="7" spans="1:35" ht="48" x14ac:dyDescent="0.3">
      <c r="A7" s="92" t="s">
        <v>114</v>
      </c>
      <c r="B7" s="69">
        <v>78180</v>
      </c>
      <c r="C7" s="69" t="s">
        <v>115</v>
      </c>
      <c r="D7" s="69" t="s">
        <v>116</v>
      </c>
      <c r="E7" s="69">
        <v>2</v>
      </c>
      <c r="F7" s="69" t="s">
        <v>102</v>
      </c>
      <c r="G7" s="69">
        <v>4</v>
      </c>
      <c r="H7" s="69">
        <v>52686</v>
      </c>
      <c r="I7" s="69">
        <v>9356</v>
      </c>
      <c r="J7" s="69" t="s">
        <v>117</v>
      </c>
      <c r="K7" s="69"/>
      <c r="L7" s="69" t="s">
        <v>118</v>
      </c>
      <c r="M7" s="71">
        <v>43468</v>
      </c>
      <c r="N7" s="69" t="s">
        <v>83</v>
      </c>
      <c r="O7" s="71">
        <v>43472</v>
      </c>
      <c r="P7" s="69" t="s">
        <v>131</v>
      </c>
      <c r="Q7" s="69" t="s">
        <v>77</v>
      </c>
      <c r="R7" s="73" t="s">
        <v>119</v>
      </c>
      <c r="S7" s="69">
        <v>914289</v>
      </c>
      <c r="T7" s="69"/>
      <c r="U7" s="69" t="s">
        <v>167</v>
      </c>
      <c r="V7" s="69" t="s">
        <v>54</v>
      </c>
      <c r="W7" s="70">
        <f>IFERROR(VLOOKUP(factures[[#This Row],[DT Prestation Amiante 1]],presta_amiante1[#Data],2,0),0)</f>
        <v>69.36</v>
      </c>
      <c r="X7" s="69" t="s">
        <v>55</v>
      </c>
      <c r="Y7" s="70">
        <f>IFERROR(VLOOKUP(factures[[#This Row],[DT Prestation Amiante 2]],presta_amiante2[#Data],2,0),0)</f>
        <v>55.49</v>
      </c>
      <c r="Z7" s="69"/>
      <c r="AA7" s="70">
        <f>IFERROR(VLOOKUP(factures[[#This Row],[DT Prestation Gaz]],presta_gaz[#Data],2,0),0)</f>
        <v>0</v>
      </c>
      <c r="AB7" s="69">
        <v>8</v>
      </c>
      <c r="AC7" s="69" t="s">
        <v>73</v>
      </c>
      <c r="AD7" s="70">
        <f>IFERROR(VLOOKUP(factures[[#This Row],[DT Analyses]],DT_analyses[#Data],2,0),0)</f>
        <v>36.99</v>
      </c>
      <c r="AE7" s="70">
        <f>IFERROR(factures[[#This Row],[Plvts ]]*factures[[#This Row],[Prix Analyses]],0)</f>
        <v>295.92</v>
      </c>
      <c r="AF7" s="70">
        <f>factures[[#This Row],[Prix Prestation Amiante 1]]+factures[[#This Row],[Prix Prestation Amiante 2]]+factures[[#This Row],[Prix Prestation Gaz]]+factures[[#This Row],[Prix analyses HT]]</f>
        <v>420.77</v>
      </c>
      <c r="AG7" s="69" t="s">
        <v>595</v>
      </c>
      <c r="AH7" s="86" t="s">
        <v>596</v>
      </c>
      <c r="AI7" s="69"/>
    </row>
    <row r="8" spans="1:35" ht="48" x14ac:dyDescent="0.3">
      <c r="A8" s="92" t="s">
        <v>132</v>
      </c>
      <c r="B8" s="69">
        <v>92100</v>
      </c>
      <c r="C8" s="69" t="s">
        <v>133</v>
      </c>
      <c r="D8" s="69" t="s">
        <v>134</v>
      </c>
      <c r="E8" s="69">
        <v>22</v>
      </c>
      <c r="F8" s="69">
        <v>2</v>
      </c>
      <c r="G8" s="69">
        <v>2</v>
      </c>
      <c r="H8" s="69">
        <v>60929</v>
      </c>
      <c r="I8" s="69">
        <v>753</v>
      </c>
      <c r="J8" s="69" t="s">
        <v>135</v>
      </c>
      <c r="K8" s="69"/>
      <c r="L8" s="69" t="s">
        <v>136</v>
      </c>
      <c r="M8" s="71">
        <v>43473</v>
      </c>
      <c r="N8" s="69" t="s">
        <v>227</v>
      </c>
      <c r="O8" s="71"/>
      <c r="P8" s="69"/>
      <c r="Q8" s="69" t="s">
        <v>77</v>
      </c>
      <c r="R8" s="73" t="s">
        <v>137</v>
      </c>
      <c r="S8" s="69">
        <v>919487</v>
      </c>
      <c r="T8" s="69"/>
      <c r="U8" s="69" t="s">
        <v>168</v>
      </c>
      <c r="V8" s="69" t="s">
        <v>53</v>
      </c>
      <c r="W8" s="70">
        <f>IFERROR(VLOOKUP(factures[[#This Row],[DT Prestation Amiante 1]],presta_amiante1[#Data],2,0),0)</f>
        <v>60.11</v>
      </c>
      <c r="X8" s="69" t="s">
        <v>93</v>
      </c>
      <c r="Y8" s="70">
        <f>IFERROR(VLOOKUP(factures[[#This Row],[DT Prestation Amiante 2]],presta_amiante2[#Data],2,0),0)</f>
        <v>80.459999999999994</v>
      </c>
      <c r="Z8" s="69"/>
      <c r="AA8" s="70">
        <f>IFERROR(VLOOKUP(factures[[#This Row],[DT Prestation Gaz]],presta_gaz[#Data],2,0),0)</f>
        <v>0</v>
      </c>
      <c r="AB8" s="69">
        <v>3</v>
      </c>
      <c r="AC8" s="69" t="s">
        <v>73</v>
      </c>
      <c r="AD8" s="70">
        <f>IFERROR(VLOOKUP(factures[[#This Row],[DT Analyses]],DT_analyses[#Data],2,0),0)</f>
        <v>36.99</v>
      </c>
      <c r="AE8" s="70">
        <f>IFERROR(factures[[#This Row],[Plvts ]]*factures[[#This Row],[Prix Analyses]],0)</f>
        <v>110.97</v>
      </c>
      <c r="AF8" s="70">
        <f>factures[[#This Row],[Prix Prestation Amiante 1]]+factures[[#This Row],[Prix Prestation Amiante 2]]+factures[[#This Row],[Prix Prestation Gaz]]+factures[[#This Row],[Prix analyses HT]]</f>
        <v>251.54</v>
      </c>
      <c r="AG8" s="69" t="s">
        <v>275</v>
      </c>
      <c r="AH8" s="86" t="s">
        <v>272</v>
      </c>
      <c r="AI8" s="69"/>
    </row>
    <row r="9" spans="1:35" ht="40.799999999999997" x14ac:dyDescent="0.3">
      <c r="A9" s="92" t="s">
        <v>122</v>
      </c>
      <c r="B9" s="69">
        <v>78800</v>
      </c>
      <c r="C9" s="69" t="s">
        <v>123</v>
      </c>
      <c r="D9" s="69" t="s">
        <v>124</v>
      </c>
      <c r="E9" s="69">
        <v>102</v>
      </c>
      <c r="F9" s="69">
        <v>1</v>
      </c>
      <c r="G9" s="69">
        <v>4</v>
      </c>
      <c r="H9" s="69">
        <v>8506</v>
      </c>
      <c r="I9" s="69">
        <v>122</v>
      </c>
      <c r="J9" s="82" t="s">
        <v>125</v>
      </c>
      <c r="K9" s="69"/>
      <c r="L9" s="69" t="s">
        <v>126</v>
      </c>
      <c r="M9" s="71">
        <v>43472</v>
      </c>
      <c r="N9" s="69" t="s">
        <v>83</v>
      </c>
      <c r="O9" s="71">
        <v>43476</v>
      </c>
      <c r="P9" s="69"/>
      <c r="Q9" s="69" t="s">
        <v>77</v>
      </c>
      <c r="R9" s="73" t="s">
        <v>127</v>
      </c>
      <c r="S9" s="69">
        <v>914529</v>
      </c>
      <c r="T9" s="69" t="s">
        <v>172</v>
      </c>
      <c r="U9" s="69" t="s">
        <v>169</v>
      </c>
      <c r="V9" s="69" t="s">
        <v>54</v>
      </c>
      <c r="W9" s="70">
        <f>IFERROR(VLOOKUP(factures[[#This Row],[DT Prestation Amiante 1]],presta_amiante1[#Data],2,0),0)</f>
        <v>69.36</v>
      </c>
      <c r="X9" s="69" t="s">
        <v>55</v>
      </c>
      <c r="Y9" s="70">
        <f>IFERROR(VLOOKUP(factures[[#This Row],[DT Prestation Amiante 2]],presta_amiante2[#Data],2,0),0)</f>
        <v>55.49</v>
      </c>
      <c r="Z9" s="69" t="s">
        <v>62</v>
      </c>
      <c r="AA9" s="70">
        <f>IFERROR(VLOOKUP(factures[[#This Row],[DT Prestation Gaz]],presta_gaz[#Data],2,0),0)</f>
        <v>49.01</v>
      </c>
      <c r="AB9" s="69">
        <v>10</v>
      </c>
      <c r="AC9" s="69" t="s">
        <v>73</v>
      </c>
      <c r="AD9" s="70">
        <f>IFERROR(VLOOKUP(factures[[#This Row],[DT Analyses]],DT_analyses[#Data],2,0),0)</f>
        <v>36.99</v>
      </c>
      <c r="AE9" s="70">
        <f>IFERROR(factures[[#This Row],[Plvts ]]*factures[[#This Row],[Prix Analyses]],0)</f>
        <v>369.90000000000003</v>
      </c>
      <c r="AF9" s="70">
        <f>factures[[#This Row],[Prix Prestation Amiante 1]]+factures[[#This Row],[Prix Prestation Amiante 2]]+factures[[#This Row],[Prix Prestation Gaz]]+factures[[#This Row],[Prix analyses HT]]</f>
        <v>543.76</v>
      </c>
      <c r="AG9" s="69" t="s">
        <v>274</v>
      </c>
      <c r="AH9" s="86" t="s">
        <v>272</v>
      </c>
      <c r="AI9" s="69"/>
    </row>
    <row r="10" spans="1:35" ht="81.599999999999994" x14ac:dyDescent="0.3">
      <c r="A10" s="92" t="s">
        <v>173</v>
      </c>
      <c r="B10" s="69">
        <v>92220</v>
      </c>
      <c r="C10" s="69" t="s">
        <v>141</v>
      </c>
      <c r="D10" s="69" t="s">
        <v>174</v>
      </c>
      <c r="E10" s="69">
        <v>402</v>
      </c>
      <c r="F10" s="69">
        <v>4</v>
      </c>
      <c r="G10" s="69">
        <v>4</v>
      </c>
      <c r="H10" s="69">
        <v>51777</v>
      </c>
      <c r="I10" s="69">
        <v>9152</v>
      </c>
      <c r="J10" s="69" t="s">
        <v>145</v>
      </c>
      <c r="K10" s="69"/>
      <c r="L10" s="69" t="s">
        <v>175</v>
      </c>
      <c r="M10" s="71">
        <v>43474</v>
      </c>
      <c r="N10" s="69" t="s">
        <v>71</v>
      </c>
      <c r="O10" s="71">
        <v>43474</v>
      </c>
      <c r="P10" s="69"/>
      <c r="Q10" s="69" t="s">
        <v>77</v>
      </c>
      <c r="R10" s="73" t="s">
        <v>176</v>
      </c>
      <c r="S10" s="69">
        <v>919941</v>
      </c>
      <c r="T10" s="69"/>
      <c r="U10" s="69" t="s">
        <v>178</v>
      </c>
      <c r="V10" s="69" t="s">
        <v>54</v>
      </c>
      <c r="W10" s="70">
        <f>IFERROR(VLOOKUP(factures[[#This Row],[DT Prestation Amiante 1]],presta_amiante1[#Data],2,0),0)</f>
        <v>69.36</v>
      </c>
      <c r="X10" s="69"/>
      <c r="Y10" s="70">
        <f>IFERROR(VLOOKUP(factures[[#This Row],[DT Prestation Amiante 2]],presta_amiante2[#Data],2,0),0)</f>
        <v>0</v>
      </c>
      <c r="Z10" s="69" t="s">
        <v>62</v>
      </c>
      <c r="AA10" s="70">
        <f>IFERROR(VLOOKUP(factures[[#This Row],[DT Prestation Gaz]],presta_gaz[#Data],2,0),0)</f>
        <v>49.01</v>
      </c>
      <c r="AB10" s="69">
        <v>7</v>
      </c>
      <c r="AC10" s="69" t="s">
        <v>73</v>
      </c>
      <c r="AD10" s="70">
        <f>IFERROR(VLOOKUP(factures[[#This Row],[DT Analyses]],DT_analyses[#Data],2,0),0)</f>
        <v>36.99</v>
      </c>
      <c r="AE10" s="70">
        <f>IFERROR(factures[[#This Row],[Plvts ]]*factures[[#This Row],[Prix Analyses]],0)</f>
        <v>258.93</v>
      </c>
      <c r="AF10" s="70">
        <f>factures[[#This Row],[Prix Prestation Amiante 1]]+factures[[#This Row],[Prix Prestation Amiante 2]]+factures[[#This Row],[Prix Prestation Gaz]]+factures[[#This Row],[Prix analyses HT]]</f>
        <v>377.3</v>
      </c>
      <c r="AG10" s="69" t="s">
        <v>278</v>
      </c>
      <c r="AH10" s="86" t="s">
        <v>272</v>
      </c>
      <c r="AI10" s="69"/>
    </row>
    <row r="11" spans="1:35" ht="95.25" customHeight="1" x14ac:dyDescent="0.3">
      <c r="A11" s="92" t="s">
        <v>140</v>
      </c>
      <c r="B11" s="69">
        <v>92220</v>
      </c>
      <c r="C11" s="69" t="s">
        <v>141</v>
      </c>
      <c r="D11" s="69" t="s">
        <v>142</v>
      </c>
      <c r="E11" s="69">
        <v>301</v>
      </c>
      <c r="F11" s="69">
        <v>3</v>
      </c>
      <c r="G11" s="69">
        <v>2</v>
      </c>
      <c r="H11" s="69">
        <v>40923</v>
      </c>
      <c r="I11" s="69">
        <v>831</v>
      </c>
      <c r="J11" s="69" t="s">
        <v>145</v>
      </c>
      <c r="K11" s="69"/>
      <c r="L11" s="69" t="s">
        <v>143</v>
      </c>
      <c r="M11" s="71">
        <v>43474</v>
      </c>
      <c r="N11" s="69" t="s">
        <v>71</v>
      </c>
      <c r="O11" s="71">
        <v>43474</v>
      </c>
      <c r="P11" s="69" t="s">
        <v>170</v>
      </c>
      <c r="Q11" s="69" t="s">
        <v>77</v>
      </c>
      <c r="R11" s="73" t="s">
        <v>144</v>
      </c>
      <c r="S11" s="69">
        <v>919809</v>
      </c>
      <c r="T11" s="69"/>
      <c r="U11" s="69" t="s">
        <v>181</v>
      </c>
      <c r="V11" s="69" t="s">
        <v>53</v>
      </c>
      <c r="W11" s="70">
        <f>IFERROR(VLOOKUP(factures[[#This Row],[DT Prestation Amiante 1]],presta_amiante1[#Data],2,0),0)</f>
        <v>60.11</v>
      </c>
      <c r="X11" s="69"/>
      <c r="Y11" s="70">
        <f>IFERROR(VLOOKUP(factures[[#This Row],[DT Prestation Amiante 2]],presta_amiante2[#Data],2,0),0)</f>
        <v>0</v>
      </c>
      <c r="Z11" s="69" t="s">
        <v>61</v>
      </c>
      <c r="AA11" s="70">
        <f>IFERROR(VLOOKUP(factures[[#This Row],[DT Prestation Gaz]],presta_gaz[#Data],2,0),0)</f>
        <v>41.62</v>
      </c>
      <c r="AB11" s="69">
        <v>6</v>
      </c>
      <c r="AC11" s="69" t="s">
        <v>73</v>
      </c>
      <c r="AD11" s="70">
        <f>IFERROR(VLOOKUP(factures[[#This Row],[DT Analyses]],DT_analyses[#Data],2,0),0)</f>
        <v>36.99</v>
      </c>
      <c r="AE11" s="70">
        <f>IFERROR(factures[[#This Row],[Plvts ]]*factures[[#This Row],[Prix Analyses]],0)</f>
        <v>221.94</v>
      </c>
      <c r="AF11" s="70">
        <f>factures[[#This Row],[Prix Prestation Amiante 1]]+factures[[#This Row],[Prix Prestation Amiante 2]]+factures[[#This Row],[Prix Prestation Gaz]]+factures[[#This Row],[Prix analyses HT]]</f>
        <v>323.66999999999996</v>
      </c>
      <c r="AG11" s="69" t="s">
        <v>276</v>
      </c>
      <c r="AH11" s="86" t="s">
        <v>272</v>
      </c>
      <c r="AI11" s="69"/>
    </row>
    <row r="12" spans="1:35" ht="42" customHeight="1" x14ac:dyDescent="0.3">
      <c r="A12" s="92" t="s">
        <v>151</v>
      </c>
      <c r="B12" s="69">
        <v>92390</v>
      </c>
      <c r="C12" s="69" t="s">
        <v>152</v>
      </c>
      <c r="D12" s="69" t="s">
        <v>153</v>
      </c>
      <c r="E12" s="69">
        <v>68</v>
      </c>
      <c r="F12" s="69">
        <v>15</v>
      </c>
      <c r="G12" s="69">
        <v>2</v>
      </c>
      <c r="H12" s="69">
        <v>85057</v>
      </c>
      <c r="I12" s="69">
        <v>9213</v>
      </c>
      <c r="J12" s="69" t="s">
        <v>154</v>
      </c>
      <c r="K12" s="69"/>
      <c r="L12" s="69" t="s">
        <v>155</v>
      </c>
      <c r="M12" s="71">
        <v>43474</v>
      </c>
      <c r="N12" s="69" t="s">
        <v>70</v>
      </c>
      <c r="O12" s="71">
        <v>43474</v>
      </c>
      <c r="P12" s="69" t="s">
        <v>131</v>
      </c>
      <c r="Q12" s="69" t="s">
        <v>77</v>
      </c>
      <c r="R12" s="73" t="s">
        <v>156</v>
      </c>
      <c r="S12" s="69">
        <v>919571</v>
      </c>
      <c r="T12" s="69"/>
      <c r="U12" s="69" t="s">
        <v>180</v>
      </c>
      <c r="V12" s="69" t="s">
        <v>53</v>
      </c>
      <c r="W12" s="70">
        <f>IFERROR(VLOOKUP(factures[[#This Row],[DT Prestation Amiante 1]],presta_amiante1[#Data],2,0),0)</f>
        <v>60.11</v>
      </c>
      <c r="X12" s="69"/>
      <c r="Y12" s="70">
        <f>IFERROR(VLOOKUP(factures[[#This Row],[DT Prestation Amiante 2]],presta_amiante2[#Data],2,0),0)</f>
        <v>0</v>
      </c>
      <c r="Z12" s="69"/>
      <c r="AA12" s="70">
        <f>IFERROR(VLOOKUP(factures[[#This Row],[DT Prestation Gaz]],presta_gaz[#Data],2,0),0)</f>
        <v>0</v>
      </c>
      <c r="AB12" s="69">
        <v>7</v>
      </c>
      <c r="AC12" s="69" t="s">
        <v>73</v>
      </c>
      <c r="AD12" s="70">
        <f>IFERROR(VLOOKUP(factures[[#This Row],[DT Analyses]],DT_analyses[#Data],2,0),0)</f>
        <v>36.99</v>
      </c>
      <c r="AE12" s="70">
        <f>IFERROR(factures[[#This Row],[Plvts ]]*factures[[#This Row],[Prix Analyses]],0)</f>
        <v>258.93</v>
      </c>
      <c r="AF12" s="70">
        <f>factures[[#This Row],[Prix Prestation Amiante 1]]+factures[[#This Row],[Prix Prestation Amiante 2]]+factures[[#This Row],[Prix Prestation Gaz]]+factures[[#This Row],[Prix analyses HT]]</f>
        <v>319.04000000000002</v>
      </c>
      <c r="AG12" s="69" t="s">
        <v>242</v>
      </c>
      <c r="AH12" s="86" t="s">
        <v>241</v>
      </c>
      <c r="AI12" s="69"/>
    </row>
    <row r="13" spans="1:35" ht="40.799999999999997" x14ac:dyDescent="0.3">
      <c r="A13" s="92" t="s">
        <v>157</v>
      </c>
      <c r="B13" s="69">
        <v>92260</v>
      </c>
      <c r="C13" s="69" t="s">
        <v>158</v>
      </c>
      <c r="D13" s="69" t="s">
        <v>159</v>
      </c>
      <c r="E13" s="69">
        <v>302</v>
      </c>
      <c r="F13" s="69">
        <v>3</v>
      </c>
      <c r="G13" s="69">
        <v>5</v>
      </c>
      <c r="H13" s="69">
        <v>63376</v>
      </c>
      <c r="I13" s="69">
        <v>9216</v>
      </c>
      <c r="J13" s="69" t="s">
        <v>160</v>
      </c>
      <c r="K13" s="69"/>
      <c r="L13" s="69" t="s">
        <v>161</v>
      </c>
      <c r="M13" s="71">
        <v>43473</v>
      </c>
      <c r="N13" s="69" t="s">
        <v>71</v>
      </c>
      <c r="O13" s="71">
        <v>43474</v>
      </c>
      <c r="P13" s="69" t="s">
        <v>171</v>
      </c>
      <c r="Q13" s="69" t="s">
        <v>77</v>
      </c>
      <c r="R13" s="73" t="s">
        <v>162</v>
      </c>
      <c r="S13" s="69">
        <v>919531</v>
      </c>
      <c r="T13" s="69"/>
      <c r="U13" s="69" t="s">
        <v>179</v>
      </c>
      <c r="V13" s="69" t="s">
        <v>54</v>
      </c>
      <c r="W13" s="70">
        <f>IFERROR(VLOOKUP(factures[[#This Row],[DT Prestation Amiante 1]],presta_amiante1[#Data],2,0),0)</f>
        <v>69.36</v>
      </c>
      <c r="X13" s="69"/>
      <c r="Y13" s="70">
        <f>IFERROR(VLOOKUP(factures[[#This Row],[DT Prestation Amiante 2]],presta_amiante2[#Data],2,0),0)</f>
        <v>0</v>
      </c>
      <c r="Z13" s="69" t="s">
        <v>62</v>
      </c>
      <c r="AA13" s="70">
        <f>IFERROR(VLOOKUP(factures[[#This Row],[DT Prestation Gaz]],presta_gaz[#Data],2,0),0)</f>
        <v>49.01</v>
      </c>
      <c r="AB13" s="69">
        <v>5</v>
      </c>
      <c r="AC13" s="69" t="s">
        <v>73</v>
      </c>
      <c r="AD13" s="70">
        <f>IFERROR(VLOOKUP(factures[[#This Row],[DT Analyses]],DT_analyses[#Data],2,0),0)</f>
        <v>36.99</v>
      </c>
      <c r="AE13" s="70">
        <f>IFERROR(factures[[#This Row],[Plvts ]]*factures[[#This Row],[Prix Analyses]],0)</f>
        <v>184.95000000000002</v>
      </c>
      <c r="AF13" s="70">
        <f>factures[[#This Row],[Prix Prestation Amiante 1]]+factures[[#This Row],[Prix Prestation Amiante 2]]+factures[[#This Row],[Prix Prestation Gaz]]+factures[[#This Row],[Prix analyses HT]]</f>
        <v>303.32000000000005</v>
      </c>
      <c r="AG13" s="69" t="s">
        <v>277</v>
      </c>
      <c r="AH13" s="86" t="s">
        <v>272</v>
      </c>
      <c r="AI13" s="69"/>
    </row>
    <row r="14" spans="1:35" ht="40.799999999999997" x14ac:dyDescent="0.3">
      <c r="A14" s="92" t="s">
        <v>140</v>
      </c>
      <c r="B14" s="69">
        <v>92220</v>
      </c>
      <c r="C14" s="69" t="s">
        <v>141</v>
      </c>
      <c r="D14" s="69" t="s">
        <v>159</v>
      </c>
      <c r="E14" s="69">
        <v>103</v>
      </c>
      <c r="F14" s="69">
        <v>1</v>
      </c>
      <c r="G14" s="69">
        <v>3</v>
      </c>
      <c r="H14" s="69">
        <v>40917</v>
      </c>
      <c r="I14" s="69">
        <v>831</v>
      </c>
      <c r="J14" s="69" t="s">
        <v>145</v>
      </c>
      <c r="K14" s="69"/>
      <c r="L14" s="69" t="s">
        <v>163</v>
      </c>
      <c r="M14" s="71">
        <v>43473</v>
      </c>
      <c r="N14" s="69" t="s">
        <v>71</v>
      </c>
      <c r="O14" s="71">
        <v>43474</v>
      </c>
      <c r="P14" s="69" t="s">
        <v>170</v>
      </c>
      <c r="Q14" s="69" t="s">
        <v>77</v>
      </c>
      <c r="R14" s="73" t="s">
        <v>164</v>
      </c>
      <c r="S14" s="69">
        <v>919502</v>
      </c>
      <c r="T14" s="69"/>
      <c r="U14" s="69" t="s">
        <v>257</v>
      </c>
      <c r="V14" s="69" t="s">
        <v>53</v>
      </c>
      <c r="W14" s="70">
        <f>IFERROR(VLOOKUP(factures[[#This Row],[DT Prestation Amiante 1]],presta_amiante1[#Data],2,0),0)</f>
        <v>60.11</v>
      </c>
      <c r="X14" s="69"/>
      <c r="Y14" s="70">
        <f>IFERROR(VLOOKUP(factures[[#This Row],[DT Prestation Amiante 2]],presta_amiante2[#Data],2,0),0)</f>
        <v>0</v>
      </c>
      <c r="Z14" s="69" t="s">
        <v>61</v>
      </c>
      <c r="AA14" s="70">
        <f>IFERROR(VLOOKUP(factures[[#This Row],[DT Prestation Gaz]],presta_gaz[#Data],2,0),0)</f>
        <v>41.62</v>
      </c>
      <c r="AB14" s="69">
        <v>5</v>
      </c>
      <c r="AC14" s="69" t="s">
        <v>73</v>
      </c>
      <c r="AD14" s="70">
        <f>IFERROR(VLOOKUP(factures[[#This Row],[DT Analyses]],DT_analyses[#Data],2,0),0)</f>
        <v>36.99</v>
      </c>
      <c r="AE14" s="70">
        <f>IFERROR(factures[[#This Row],[Plvts ]]*factures[[#This Row],[Prix Analyses]],0)</f>
        <v>184.95000000000002</v>
      </c>
      <c r="AF14" s="70">
        <f>factures[[#This Row],[Prix Prestation Amiante 1]]+factures[[#This Row],[Prix Prestation Amiante 2]]+factures[[#This Row],[Prix Prestation Gaz]]+factures[[#This Row],[Prix analyses HT]]</f>
        <v>286.68</v>
      </c>
      <c r="AG14" s="69" t="s">
        <v>322</v>
      </c>
      <c r="AH14" s="86" t="s">
        <v>321</v>
      </c>
      <c r="AI14" s="69"/>
    </row>
    <row r="15" spans="1:35" ht="48" x14ac:dyDescent="0.3">
      <c r="A15" s="92" t="s">
        <v>146</v>
      </c>
      <c r="B15" s="69">
        <v>94500</v>
      </c>
      <c r="C15" s="69" t="s">
        <v>147</v>
      </c>
      <c r="D15" s="69" t="s">
        <v>148</v>
      </c>
      <c r="E15" s="69">
        <v>201</v>
      </c>
      <c r="F15" s="69">
        <v>2</v>
      </c>
      <c r="G15" s="69">
        <v>3</v>
      </c>
      <c r="H15" s="69">
        <v>18528</v>
      </c>
      <c r="I15" s="69">
        <v>259</v>
      </c>
      <c r="J15" s="69" t="s">
        <v>150</v>
      </c>
      <c r="K15" s="69" t="s">
        <v>234</v>
      </c>
      <c r="L15" s="69"/>
      <c r="M15" s="71">
        <v>43474</v>
      </c>
      <c r="N15" s="69" t="s">
        <v>70</v>
      </c>
      <c r="O15" s="74">
        <v>43482</v>
      </c>
      <c r="P15" s="69" t="s">
        <v>130</v>
      </c>
      <c r="Q15" s="69" t="s">
        <v>77</v>
      </c>
      <c r="R15" s="73" t="s">
        <v>149</v>
      </c>
      <c r="S15" s="69">
        <v>919432</v>
      </c>
      <c r="T15" s="69"/>
      <c r="U15" s="69" t="s">
        <v>236</v>
      </c>
      <c r="V15" s="69" t="s">
        <v>53</v>
      </c>
      <c r="W15" s="70">
        <f>IFERROR(VLOOKUP(factures[[#This Row],[DT Prestation Amiante 1]],presta_amiante1[#Data],2,0),0)</f>
        <v>60.11</v>
      </c>
      <c r="X15" s="69"/>
      <c r="Y15" s="70">
        <f>IFERROR(VLOOKUP(factures[[#This Row],[DT Prestation Amiante 2]],presta_amiante2[#Data],2,0),0)</f>
        <v>0</v>
      </c>
      <c r="Z15" s="69"/>
      <c r="AA15" s="70">
        <f>IFERROR(VLOOKUP(factures[[#This Row],[DT Prestation Gaz]],presta_gaz[#Data],2,0),0)</f>
        <v>0</v>
      </c>
      <c r="AB15" s="69">
        <v>9</v>
      </c>
      <c r="AC15" s="69" t="s">
        <v>73</v>
      </c>
      <c r="AD15" s="70">
        <f>IFERROR(VLOOKUP(factures[[#This Row],[DT Analyses]],DT_analyses[#Data],2,0),0)</f>
        <v>36.99</v>
      </c>
      <c r="AE15" s="70">
        <f>IFERROR(factures[[#This Row],[Plvts ]]*factures[[#This Row],[Prix Analyses]],0)</f>
        <v>332.91</v>
      </c>
      <c r="AF15" s="70">
        <f>factures[[#This Row],[Prix Prestation Amiante 1]]+factures[[#This Row],[Prix Prestation Amiante 2]]+factures[[#This Row],[Prix Prestation Gaz]]+factures[[#This Row],[Prix analyses HT]]</f>
        <v>393.02000000000004</v>
      </c>
      <c r="AG15" s="69" t="s">
        <v>320</v>
      </c>
      <c r="AH15" s="86" t="s">
        <v>321</v>
      </c>
      <c r="AI15" s="69"/>
    </row>
    <row r="16" spans="1:35" ht="36" x14ac:dyDescent="0.3">
      <c r="A16" s="92" t="s">
        <v>195</v>
      </c>
      <c r="B16" s="69">
        <v>78960</v>
      </c>
      <c r="C16" s="69" t="s">
        <v>196</v>
      </c>
      <c r="D16" s="69" t="s">
        <v>197</v>
      </c>
      <c r="E16" s="69">
        <v>403</v>
      </c>
      <c r="F16" s="69">
        <v>4</v>
      </c>
      <c r="G16" s="69">
        <v>3</v>
      </c>
      <c r="H16" s="69">
        <v>38233</v>
      </c>
      <c r="I16" s="69">
        <v>761</v>
      </c>
      <c r="J16" s="69" t="s">
        <v>198</v>
      </c>
      <c r="K16" s="69"/>
      <c r="L16" s="69" t="s">
        <v>199</v>
      </c>
      <c r="M16" s="71">
        <v>43476</v>
      </c>
      <c r="N16" s="69" t="s">
        <v>83</v>
      </c>
      <c r="O16" s="71">
        <v>43482</v>
      </c>
      <c r="P16" s="69">
        <v>10</v>
      </c>
      <c r="Q16" s="69" t="s">
        <v>77</v>
      </c>
      <c r="R16" s="73" t="s">
        <v>200</v>
      </c>
      <c r="S16" s="69">
        <v>920361</v>
      </c>
      <c r="T16" s="69"/>
      <c r="U16" s="69" t="s">
        <v>237</v>
      </c>
      <c r="V16" s="69" t="s">
        <v>55</v>
      </c>
      <c r="W16" s="70">
        <f>IFERROR(VLOOKUP(factures[[#This Row],[DT Prestation Amiante 1]],presta_amiante1[#Data],2,0),0)</f>
        <v>55.49</v>
      </c>
      <c r="X16" s="69" t="s">
        <v>53</v>
      </c>
      <c r="Y16" s="70">
        <f>IFERROR(VLOOKUP(factures[[#This Row],[DT Prestation Amiante 2]],presta_amiante2[#Data],2,0),0)</f>
        <v>60.11</v>
      </c>
      <c r="Z16" s="69"/>
      <c r="AA16" s="70">
        <f>IFERROR(VLOOKUP(factures[[#This Row],[DT Prestation Gaz]],presta_gaz[#Data],2,0),0)</f>
        <v>0</v>
      </c>
      <c r="AB16" s="69">
        <v>1</v>
      </c>
      <c r="AC16" s="69" t="s">
        <v>73</v>
      </c>
      <c r="AD16" s="70">
        <f>IFERROR(VLOOKUP(factures[[#This Row],[DT Analyses]],DT_analyses[#Data],2,0),0)</f>
        <v>36.99</v>
      </c>
      <c r="AE16" s="70">
        <f>IFERROR(factures[[#This Row],[Plvts ]]*factures[[#This Row],[Prix Analyses]],0)</f>
        <v>36.99</v>
      </c>
      <c r="AF16" s="70">
        <f>factures[[#This Row],[Prix Prestation Amiante 1]]+factures[[#This Row],[Prix Prestation Amiante 2]]+factures[[#This Row],[Prix Prestation Gaz]]+factures[[#This Row],[Prix analyses HT]]</f>
        <v>152.59</v>
      </c>
      <c r="AG16" s="69" t="s">
        <v>597</v>
      </c>
      <c r="AH16" s="86" t="s">
        <v>596</v>
      </c>
      <c r="AI16" s="69"/>
    </row>
    <row r="17" spans="1:35" ht="36" x14ac:dyDescent="0.3">
      <c r="A17" s="92" t="s">
        <v>201</v>
      </c>
      <c r="B17" s="69">
        <v>92800</v>
      </c>
      <c r="C17" s="69" t="s">
        <v>202</v>
      </c>
      <c r="D17" s="69" t="s">
        <v>203</v>
      </c>
      <c r="E17" s="69">
        <v>201</v>
      </c>
      <c r="F17" s="69">
        <v>2</v>
      </c>
      <c r="G17" s="69">
        <v>4</v>
      </c>
      <c r="H17" s="69">
        <v>13323</v>
      </c>
      <c r="I17" s="69">
        <v>195</v>
      </c>
      <c r="J17" s="69" t="s">
        <v>2263</v>
      </c>
      <c r="K17" s="69"/>
      <c r="L17" s="69" t="s">
        <v>204</v>
      </c>
      <c r="M17" s="71">
        <v>43479</v>
      </c>
      <c r="N17" s="69" t="s">
        <v>70</v>
      </c>
      <c r="O17" s="71">
        <v>43482</v>
      </c>
      <c r="P17" s="69">
        <v>9</v>
      </c>
      <c r="Q17" s="69" t="s">
        <v>77</v>
      </c>
      <c r="R17" s="73" t="s">
        <v>205</v>
      </c>
      <c r="S17" s="69">
        <v>920532</v>
      </c>
      <c r="T17" s="69" t="s">
        <v>206</v>
      </c>
      <c r="U17" s="69" t="s">
        <v>238</v>
      </c>
      <c r="V17" s="69" t="s">
        <v>54</v>
      </c>
      <c r="W17" s="70">
        <f>IFERROR(VLOOKUP(factures[[#This Row],[DT Prestation Amiante 1]],presta_amiante1[#Data],2,0),0)</f>
        <v>69.36</v>
      </c>
      <c r="X17" s="69"/>
      <c r="Y17" s="70">
        <f>IFERROR(VLOOKUP(factures[[#This Row],[DT Prestation Amiante 2]],presta_amiante2[#Data],2,0),0)</f>
        <v>0</v>
      </c>
      <c r="Z17" s="69"/>
      <c r="AA17" s="70">
        <f>IFERROR(VLOOKUP(factures[[#This Row],[DT Prestation Gaz]],presta_gaz[#Data],2,0),0)</f>
        <v>0</v>
      </c>
      <c r="AB17" s="69">
        <v>1</v>
      </c>
      <c r="AC17" s="69" t="s">
        <v>73</v>
      </c>
      <c r="AD17" s="70">
        <f>IFERROR(VLOOKUP(factures[[#This Row],[DT Analyses]],DT_analyses[#Data],2,0),0)</f>
        <v>36.99</v>
      </c>
      <c r="AE17" s="70">
        <f>IFERROR(factures[[#This Row],[Plvts ]]*factures[[#This Row],[Prix Analyses]],0)</f>
        <v>36.99</v>
      </c>
      <c r="AF17" s="70">
        <f>factures[[#This Row],[Prix Prestation Amiante 1]]+factures[[#This Row],[Prix Prestation Amiante 2]]+factures[[#This Row],[Prix Prestation Gaz]]+factures[[#This Row],[Prix analyses HT]]</f>
        <v>106.35</v>
      </c>
      <c r="AG17" s="69" t="s">
        <v>279</v>
      </c>
      <c r="AH17" s="86" t="s">
        <v>272</v>
      </c>
      <c r="AI17" s="69"/>
    </row>
    <row r="18" spans="1:35" ht="44.25" customHeight="1" x14ac:dyDescent="0.3">
      <c r="A18" s="92" t="s">
        <v>213</v>
      </c>
      <c r="B18" s="69">
        <v>78500</v>
      </c>
      <c r="C18" s="69" t="s">
        <v>214</v>
      </c>
      <c r="D18" s="69" t="s">
        <v>215</v>
      </c>
      <c r="E18" s="69">
        <v>807</v>
      </c>
      <c r="F18" s="69">
        <v>8</v>
      </c>
      <c r="G18" s="69">
        <v>2</v>
      </c>
      <c r="H18" s="69">
        <v>36145</v>
      </c>
      <c r="I18" s="69">
        <v>588</v>
      </c>
      <c r="J18" s="69" t="s">
        <v>216</v>
      </c>
      <c r="K18" s="69"/>
      <c r="L18" s="69" t="s">
        <v>217</v>
      </c>
      <c r="M18" s="71">
        <v>43479</v>
      </c>
      <c r="N18" s="69" t="s">
        <v>84</v>
      </c>
      <c r="O18" s="71">
        <v>43482</v>
      </c>
      <c r="P18" s="69" t="s">
        <v>233</v>
      </c>
      <c r="Q18" s="69" t="s">
        <v>77</v>
      </c>
      <c r="R18" s="73" t="s">
        <v>228</v>
      </c>
      <c r="S18" s="69">
        <v>914640</v>
      </c>
      <c r="T18" s="69"/>
      <c r="U18" s="69" t="s">
        <v>239</v>
      </c>
      <c r="V18" s="69" t="s">
        <v>55</v>
      </c>
      <c r="W18" s="70">
        <f>IFERROR(VLOOKUP(factures[[#This Row],[DT Prestation Amiante 1]],presta_amiante1[#Data],2,0),0)</f>
        <v>55.49</v>
      </c>
      <c r="X18" s="69" t="s">
        <v>53</v>
      </c>
      <c r="Y18" s="70">
        <f>IFERROR(VLOOKUP(factures[[#This Row],[DT Prestation Amiante 2]],presta_amiante2[#Data],2,0),0)</f>
        <v>60.11</v>
      </c>
      <c r="Z18" s="69" t="s">
        <v>61</v>
      </c>
      <c r="AA18" s="70">
        <f>IFERROR(VLOOKUP(factures[[#This Row],[DT Prestation Gaz]],presta_gaz[#Data],2,0),0)</f>
        <v>41.62</v>
      </c>
      <c r="AB18" s="69">
        <v>14</v>
      </c>
      <c r="AC18" s="69" t="s">
        <v>73</v>
      </c>
      <c r="AD18" s="70">
        <f>IFERROR(VLOOKUP(factures[[#This Row],[DT Analyses]],DT_analyses[#Data],2,0),0)</f>
        <v>36.99</v>
      </c>
      <c r="AE18" s="70">
        <f>IFERROR(factures[[#This Row],[Plvts ]]*factures[[#This Row],[Prix Analyses]],0)</f>
        <v>517.86</v>
      </c>
      <c r="AF18" s="70">
        <f>factures[[#This Row],[Prix Prestation Amiante 1]]+factures[[#This Row],[Prix Prestation Amiante 2]]+factures[[#This Row],[Prix Prestation Gaz]]+factures[[#This Row],[Prix analyses HT]]</f>
        <v>675.08</v>
      </c>
      <c r="AG18" s="69" t="s">
        <v>288</v>
      </c>
      <c r="AH18" s="86" t="s">
        <v>289</v>
      </c>
      <c r="AI18" s="69"/>
    </row>
    <row r="19" spans="1:35" ht="60" x14ac:dyDescent="0.3">
      <c r="A19" s="92" t="s">
        <v>207</v>
      </c>
      <c r="B19" s="69">
        <v>94200</v>
      </c>
      <c r="C19" s="69" t="s">
        <v>208</v>
      </c>
      <c r="D19" s="69" t="s">
        <v>209</v>
      </c>
      <c r="E19" s="69">
        <v>404</v>
      </c>
      <c r="F19" s="69">
        <v>4</v>
      </c>
      <c r="G19" s="69">
        <v>2</v>
      </c>
      <c r="H19" s="69">
        <v>9077</v>
      </c>
      <c r="I19" s="69">
        <v>130</v>
      </c>
      <c r="J19" s="84" t="s">
        <v>212</v>
      </c>
      <c r="K19" s="69" t="s">
        <v>235</v>
      </c>
      <c r="L19" s="69" t="s">
        <v>210</v>
      </c>
      <c r="M19" s="71">
        <v>43479</v>
      </c>
      <c r="N19" s="69" t="s">
        <v>70</v>
      </c>
      <c r="O19" s="71">
        <v>43486</v>
      </c>
      <c r="P19" s="69"/>
      <c r="Q19" s="69" t="s">
        <v>77</v>
      </c>
      <c r="R19" s="73" t="s">
        <v>211</v>
      </c>
      <c r="S19" s="69">
        <v>920539</v>
      </c>
      <c r="T19" s="69"/>
      <c r="U19" s="69" t="s">
        <v>248</v>
      </c>
      <c r="V19" s="69" t="s">
        <v>53</v>
      </c>
      <c r="W19" s="70">
        <f>IFERROR(VLOOKUP(factures[[#This Row],[DT Prestation Amiante 1]],presta_amiante1[#Data],2,0),0)</f>
        <v>60.11</v>
      </c>
      <c r="X19" s="69"/>
      <c r="Y19" s="70">
        <f>IFERROR(VLOOKUP(factures[[#This Row],[DT Prestation Amiante 2]],presta_amiante2[#Data],2,0),0)</f>
        <v>0</v>
      </c>
      <c r="Z19" s="69"/>
      <c r="AA19" s="70">
        <f>IFERROR(VLOOKUP(factures[[#This Row],[DT Prestation Gaz]],presta_gaz[#Data],2,0),0)</f>
        <v>0</v>
      </c>
      <c r="AB19" s="69">
        <v>4</v>
      </c>
      <c r="AC19" s="69" t="s">
        <v>73</v>
      </c>
      <c r="AD19" s="70">
        <f>IFERROR(VLOOKUP(factures[[#This Row],[DT Analyses]],DT_analyses[#Data],2,0),0)</f>
        <v>36.99</v>
      </c>
      <c r="AE19" s="70">
        <f>IFERROR(factures[[#This Row],[Plvts ]]*factures[[#This Row],[Prix Analyses]],0)</f>
        <v>147.96</v>
      </c>
      <c r="AF19" s="70">
        <f>factures[[#This Row],[Prix Prestation Amiante 1]]+factures[[#This Row],[Prix Prestation Amiante 2]]+factures[[#This Row],[Prix Prestation Gaz]]+factures[[#This Row],[Prix analyses HT]]</f>
        <v>208.07</v>
      </c>
      <c r="AG19" s="69" t="s">
        <v>324</v>
      </c>
      <c r="AH19" s="86" t="s">
        <v>321</v>
      </c>
      <c r="AI19" s="69"/>
    </row>
    <row r="20" spans="1:35" ht="99" customHeight="1" x14ac:dyDescent="0.3">
      <c r="A20" s="92" t="s">
        <v>221</v>
      </c>
      <c r="B20" s="69">
        <v>94400</v>
      </c>
      <c r="C20" s="69" t="s">
        <v>222</v>
      </c>
      <c r="D20" s="69" t="s">
        <v>223</v>
      </c>
      <c r="E20" s="69">
        <v>303</v>
      </c>
      <c r="F20" s="69">
        <v>3</v>
      </c>
      <c r="G20" s="69">
        <v>2</v>
      </c>
      <c r="H20" s="69">
        <v>33130</v>
      </c>
      <c r="I20" s="69">
        <v>492</v>
      </c>
      <c r="J20" s="69" t="s">
        <v>224</v>
      </c>
      <c r="K20" s="69"/>
      <c r="L20" s="69" t="s">
        <v>225</v>
      </c>
      <c r="M20" s="71">
        <v>43479</v>
      </c>
      <c r="N20" s="69" t="s">
        <v>70</v>
      </c>
      <c r="O20" s="71">
        <v>43486</v>
      </c>
      <c r="P20" s="69"/>
      <c r="Q20" s="69" t="s">
        <v>77</v>
      </c>
      <c r="R20" s="73" t="s">
        <v>226</v>
      </c>
      <c r="S20" s="69">
        <v>920380</v>
      </c>
      <c r="T20" s="69"/>
      <c r="U20" s="69" t="s">
        <v>249</v>
      </c>
      <c r="V20" s="69" t="s">
        <v>53</v>
      </c>
      <c r="W20" s="70">
        <f>IFERROR(VLOOKUP(factures[[#This Row],[DT Prestation Amiante 1]],presta_amiante1[#Data],2,0),0)</f>
        <v>60.11</v>
      </c>
      <c r="X20" s="69"/>
      <c r="Y20" s="70">
        <f>IFERROR(VLOOKUP(factures[[#This Row],[DT Prestation Amiante 2]],presta_amiante2[#Data],2,0),0)</f>
        <v>0</v>
      </c>
      <c r="Z20" s="69"/>
      <c r="AA20" s="70">
        <f>IFERROR(VLOOKUP(factures[[#This Row],[DT Prestation Gaz]],presta_gaz[#Data],2,0),0)</f>
        <v>0</v>
      </c>
      <c r="AB20" s="69">
        <v>1</v>
      </c>
      <c r="AC20" s="69" t="s">
        <v>73</v>
      </c>
      <c r="AD20" s="70">
        <f>IFERROR(VLOOKUP(factures[[#This Row],[DT Analyses]],DT_analyses[#Data],2,0),0)</f>
        <v>36.99</v>
      </c>
      <c r="AE20" s="70">
        <f>IFERROR(factures[[#This Row],[Plvts ]]*factures[[#This Row],[Prix Analyses]],0)</f>
        <v>36.99</v>
      </c>
      <c r="AF20" s="70">
        <f>factures[[#This Row],[Prix Prestation Amiante 1]]+factures[[#This Row],[Prix Prestation Amiante 2]]+factures[[#This Row],[Prix Prestation Gaz]]+factures[[#This Row],[Prix analyses HT]]</f>
        <v>97.1</v>
      </c>
      <c r="AG20" s="69" t="s">
        <v>917</v>
      </c>
      <c r="AH20" s="86" t="s">
        <v>900</v>
      </c>
      <c r="AI20" s="69"/>
    </row>
    <row r="21" spans="1:35" ht="59.25" customHeight="1" x14ac:dyDescent="0.3">
      <c r="A21" s="92" t="s">
        <v>250</v>
      </c>
      <c r="B21" s="69">
        <v>94130</v>
      </c>
      <c r="C21" s="69" t="s">
        <v>251</v>
      </c>
      <c r="D21" s="69" t="s">
        <v>252</v>
      </c>
      <c r="E21" s="69">
        <v>602</v>
      </c>
      <c r="F21" s="69">
        <v>6</v>
      </c>
      <c r="G21" s="69">
        <v>2</v>
      </c>
      <c r="H21" s="69">
        <v>44095</v>
      </c>
      <c r="I21" s="69">
        <v>870</v>
      </c>
      <c r="J21" s="69" t="s">
        <v>253</v>
      </c>
      <c r="K21" s="69"/>
      <c r="L21" s="69" t="s">
        <v>254</v>
      </c>
      <c r="M21" s="71">
        <v>43488</v>
      </c>
      <c r="N21" s="69" t="s">
        <v>71</v>
      </c>
      <c r="O21" s="71">
        <v>43488</v>
      </c>
      <c r="P21" s="69"/>
      <c r="Q21" s="69" t="s">
        <v>77</v>
      </c>
      <c r="R21" s="73" t="s">
        <v>255</v>
      </c>
      <c r="S21" s="69">
        <v>922423</v>
      </c>
      <c r="T21" s="69"/>
      <c r="U21" s="69" t="s">
        <v>256</v>
      </c>
      <c r="V21" s="69"/>
      <c r="W21" s="70">
        <f>IFERROR(VLOOKUP(factures[[#This Row],[DT Prestation Amiante 1]],presta_amiante1[#Data],2,0),0)</f>
        <v>0</v>
      </c>
      <c r="X21" s="69" t="s">
        <v>53</v>
      </c>
      <c r="Y21" s="70">
        <f>IFERROR(VLOOKUP(factures[[#This Row],[DT Prestation Amiante 2]],presta_amiante2[#Data],2,0),0)</f>
        <v>60.11</v>
      </c>
      <c r="Z21" s="69" t="s">
        <v>61</v>
      </c>
      <c r="AA21" s="70">
        <f>IFERROR(VLOOKUP(factures[[#This Row],[DT Prestation Gaz]],presta_gaz[#Data],2,0),0)</f>
        <v>41.62</v>
      </c>
      <c r="AB21" s="69">
        <v>9</v>
      </c>
      <c r="AC21" s="69" t="s">
        <v>73</v>
      </c>
      <c r="AD21" s="70">
        <f>IFERROR(VLOOKUP(factures[[#This Row],[DT Analyses]],DT_analyses[#Data],2,0),0)</f>
        <v>36.99</v>
      </c>
      <c r="AE21" s="70">
        <f>IFERROR(factures[[#This Row],[Plvts ]]*factures[[#This Row],[Prix Analyses]],0)</f>
        <v>332.91</v>
      </c>
      <c r="AF21" s="70">
        <f>factures[[#This Row],[Prix Prestation Amiante 1]]+factures[[#This Row],[Prix Prestation Amiante 2]]+factures[[#This Row],[Prix Prestation Gaz]]+factures[[#This Row],[Prix analyses HT]]</f>
        <v>434.64</v>
      </c>
      <c r="AG21" s="69" t="s">
        <v>325</v>
      </c>
      <c r="AH21" s="86" t="s">
        <v>321</v>
      </c>
      <c r="AI21" s="69"/>
    </row>
    <row r="22" spans="1:35" ht="36" x14ac:dyDescent="0.3">
      <c r="A22" s="92" t="s">
        <v>244</v>
      </c>
      <c r="B22" s="69">
        <v>78200</v>
      </c>
      <c r="C22" s="69" t="s">
        <v>189</v>
      </c>
      <c r="D22" s="69" t="s">
        <v>190</v>
      </c>
      <c r="E22" s="69">
        <v>1</v>
      </c>
      <c r="F22" s="69" t="s">
        <v>102</v>
      </c>
      <c r="G22" s="69">
        <v>3</v>
      </c>
      <c r="H22" s="69">
        <v>10335</v>
      </c>
      <c r="I22" s="69">
        <v>161</v>
      </c>
      <c r="J22" s="69" t="s">
        <v>245</v>
      </c>
      <c r="K22" s="69"/>
      <c r="L22" s="69" t="s">
        <v>246</v>
      </c>
      <c r="M22" s="71">
        <v>43483</v>
      </c>
      <c r="N22" s="69" t="s">
        <v>84</v>
      </c>
      <c r="O22" s="71">
        <v>43495</v>
      </c>
      <c r="P22" s="69">
        <v>9</v>
      </c>
      <c r="Q22" s="69" t="s">
        <v>77</v>
      </c>
      <c r="R22" s="73" t="s">
        <v>247</v>
      </c>
      <c r="S22" s="69">
        <v>915953</v>
      </c>
      <c r="T22" s="69"/>
      <c r="U22" s="69" t="s">
        <v>286</v>
      </c>
      <c r="V22" s="69" t="s">
        <v>55</v>
      </c>
      <c r="W22" s="70">
        <f>IFERROR(VLOOKUP(factures[[#This Row],[DT Prestation Amiante 1]],presta_amiante1[#Data],2,0),0)</f>
        <v>55.49</v>
      </c>
      <c r="X22" s="69" t="s">
        <v>53</v>
      </c>
      <c r="Y22" s="70">
        <f>IFERROR(VLOOKUP(factures[[#This Row],[DT Prestation Amiante 2]],presta_amiante2[#Data],2,0),0)</f>
        <v>60.11</v>
      </c>
      <c r="Z22" s="69" t="s">
        <v>61</v>
      </c>
      <c r="AA22" s="70">
        <f>IFERROR(VLOOKUP(factures[[#This Row],[DT Prestation Gaz]],presta_gaz[#Data],2,0),0)</f>
        <v>41.62</v>
      </c>
      <c r="AB22" s="69">
        <v>18</v>
      </c>
      <c r="AC22" s="69" t="s">
        <v>73</v>
      </c>
      <c r="AD22" s="70">
        <f>IFERROR(VLOOKUP(factures[[#This Row],[DT Analyses]],DT_analyses[#Data],2,0),0)</f>
        <v>36.99</v>
      </c>
      <c r="AE22" s="70">
        <f>IFERROR(factures[[#This Row],[Plvts ]]*factures[[#This Row],[Prix Analyses]],0)</f>
        <v>665.82</v>
      </c>
      <c r="AF22" s="70">
        <f>factures[[#This Row],[Prix Prestation Amiante 1]]+factures[[#This Row],[Prix Prestation Amiante 2]]+factures[[#This Row],[Prix Prestation Gaz]]+factures[[#This Row],[Prix analyses HT]]</f>
        <v>823.04000000000008</v>
      </c>
      <c r="AG22" s="69" t="s">
        <v>598</v>
      </c>
      <c r="AH22" s="86" t="s">
        <v>596</v>
      </c>
      <c r="AI22" s="69"/>
    </row>
    <row r="23" spans="1:35" ht="87.75" customHeight="1" x14ac:dyDescent="0.3">
      <c r="A23" s="92" t="s">
        <v>268</v>
      </c>
      <c r="B23" s="69">
        <v>94460</v>
      </c>
      <c r="C23" s="69" t="s">
        <v>100</v>
      </c>
      <c r="D23" s="69" t="s">
        <v>101</v>
      </c>
      <c r="E23" s="69">
        <v>302</v>
      </c>
      <c r="F23" s="69">
        <v>3</v>
      </c>
      <c r="G23" s="69">
        <v>5</v>
      </c>
      <c r="H23" s="69">
        <v>49174</v>
      </c>
      <c r="I23" s="69">
        <v>9124</v>
      </c>
      <c r="J23" s="69" t="s">
        <v>113</v>
      </c>
      <c r="K23" s="69"/>
      <c r="L23" s="69" t="s">
        <v>269</v>
      </c>
      <c r="M23" s="71">
        <v>43493</v>
      </c>
      <c r="N23" s="69" t="s">
        <v>71</v>
      </c>
      <c r="O23" s="71">
        <v>43495</v>
      </c>
      <c r="P23" s="69">
        <v>11</v>
      </c>
      <c r="Q23" s="69" t="s">
        <v>77</v>
      </c>
      <c r="R23" s="73" t="s">
        <v>270</v>
      </c>
      <c r="S23" s="69">
        <v>923022</v>
      </c>
      <c r="T23" s="69"/>
      <c r="U23" s="69" t="s">
        <v>287</v>
      </c>
      <c r="V23" s="69" t="s">
        <v>54</v>
      </c>
      <c r="W23" s="70">
        <f>IFERROR(VLOOKUP(factures[[#This Row],[DT Prestation Amiante 1]],presta_amiante1[#Data],2,0),0)</f>
        <v>69.36</v>
      </c>
      <c r="X23" s="69"/>
      <c r="Y23" s="70">
        <f>IFERROR(VLOOKUP(factures[[#This Row],[DT Prestation Amiante 2]],presta_amiante2[#Data],2,0),0)</f>
        <v>0</v>
      </c>
      <c r="Z23" s="69" t="s">
        <v>62</v>
      </c>
      <c r="AA23" s="70">
        <f>IFERROR(VLOOKUP(factures[[#This Row],[DT Prestation Gaz]],presta_gaz[#Data],2,0),0)</f>
        <v>49.01</v>
      </c>
      <c r="AB23" s="69">
        <v>3</v>
      </c>
      <c r="AC23" s="69" t="s">
        <v>73</v>
      </c>
      <c r="AD23" s="70">
        <f>IFERROR(VLOOKUP(factures[[#This Row],[DT Analyses]],DT_analyses[#Data],2,0),0)</f>
        <v>36.99</v>
      </c>
      <c r="AE23" s="70">
        <f>IFERROR(factures[[#This Row],[Plvts ]]*factures[[#This Row],[Prix Analyses]],0)</f>
        <v>110.97</v>
      </c>
      <c r="AF23" s="70">
        <f>factures[[#This Row],[Prix Prestation Amiante 1]]+factures[[#This Row],[Prix Prestation Amiante 2]]+factures[[#This Row],[Prix Prestation Gaz]]+factures[[#This Row],[Prix analyses HT]]</f>
        <v>229.34</v>
      </c>
      <c r="AG23" s="69" t="s">
        <v>400</v>
      </c>
      <c r="AH23" s="86" t="s">
        <v>399</v>
      </c>
      <c r="AI23" s="69"/>
    </row>
    <row r="24" spans="1:35" ht="36" x14ac:dyDescent="0.3">
      <c r="A24" s="92" t="s">
        <v>109</v>
      </c>
      <c r="B24" s="69">
        <v>92600</v>
      </c>
      <c r="C24" s="69" t="s">
        <v>620</v>
      </c>
      <c r="D24" s="69" t="s">
        <v>110</v>
      </c>
      <c r="E24" s="69">
        <v>203</v>
      </c>
      <c r="F24" s="69">
        <v>2</v>
      </c>
      <c r="G24" s="69">
        <v>2</v>
      </c>
      <c r="H24" s="69">
        <v>42051</v>
      </c>
      <c r="I24" s="69">
        <v>842</v>
      </c>
      <c r="J24" s="69" t="s">
        <v>785</v>
      </c>
      <c r="K24" s="69"/>
      <c r="L24" s="69" t="s">
        <v>283</v>
      </c>
      <c r="M24" s="71">
        <v>43494</v>
      </c>
      <c r="N24" s="69" t="s">
        <v>71</v>
      </c>
      <c r="O24" s="71">
        <v>43497</v>
      </c>
      <c r="P24" s="69">
        <v>10</v>
      </c>
      <c r="Q24" s="69" t="s">
        <v>77</v>
      </c>
      <c r="R24" s="73" t="s">
        <v>284</v>
      </c>
      <c r="S24" s="69">
        <v>923734</v>
      </c>
      <c r="T24" s="69"/>
      <c r="U24" s="69" t="s">
        <v>290</v>
      </c>
      <c r="V24" s="69" t="s">
        <v>53</v>
      </c>
      <c r="W24" s="70">
        <f>IFERROR(VLOOKUP(factures[[#This Row],[DT Prestation Amiante 1]],presta_amiante1[#Data],2,0),0)</f>
        <v>60.11</v>
      </c>
      <c r="X24" s="69"/>
      <c r="Y24" s="70">
        <f>IFERROR(VLOOKUP(factures[[#This Row],[DT Prestation Amiante 2]],presta_amiante2[#Data],2,0),0)</f>
        <v>0</v>
      </c>
      <c r="Z24" s="69" t="s">
        <v>61</v>
      </c>
      <c r="AA24" s="70">
        <f>IFERROR(VLOOKUP(factures[[#This Row],[DT Prestation Gaz]],presta_gaz[#Data],2,0),0)</f>
        <v>41.62</v>
      </c>
      <c r="AB24" s="69">
        <v>3</v>
      </c>
      <c r="AC24" s="69" t="s">
        <v>73</v>
      </c>
      <c r="AD24" s="70">
        <f>IFERROR(VLOOKUP(factures[[#This Row],[DT Analyses]],DT_analyses[#Data],2,0),0)</f>
        <v>36.99</v>
      </c>
      <c r="AE24" s="70">
        <f>IFERROR(factures[[#This Row],[Plvts ]]*factures[[#This Row],[Prix Analyses]],0)</f>
        <v>110.97</v>
      </c>
      <c r="AF24" s="70">
        <f>factures[[#This Row],[Prix Prestation Amiante 1]]+factures[[#This Row],[Prix Prestation Amiante 2]]+factures[[#This Row],[Prix Prestation Gaz]]+factures[[#This Row],[Prix analyses HT]]</f>
        <v>212.7</v>
      </c>
      <c r="AG24" s="69" t="s">
        <v>401</v>
      </c>
      <c r="AH24" s="86" t="s">
        <v>399</v>
      </c>
      <c r="AI24" s="69"/>
    </row>
    <row r="25" spans="1:35" ht="48" x14ac:dyDescent="0.3">
      <c r="A25" s="92" t="s">
        <v>151</v>
      </c>
      <c r="B25" s="69">
        <v>92390</v>
      </c>
      <c r="C25" s="69" t="s">
        <v>152</v>
      </c>
      <c r="D25" s="69" t="s">
        <v>153</v>
      </c>
      <c r="E25" s="69">
        <v>69</v>
      </c>
      <c r="F25" s="69">
        <v>16</v>
      </c>
      <c r="G25" s="69">
        <v>4</v>
      </c>
      <c r="H25" s="69">
        <v>85058</v>
      </c>
      <c r="I25" s="69">
        <v>9213</v>
      </c>
      <c r="J25" s="69" t="s">
        <v>291</v>
      </c>
      <c r="K25" s="69"/>
      <c r="L25" s="69" t="s">
        <v>292</v>
      </c>
      <c r="M25" s="71">
        <v>43497</v>
      </c>
      <c r="N25" s="69" t="s">
        <v>70</v>
      </c>
      <c r="O25" s="71">
        <v>43500</v>
      </c>
      <c r="P25" s="81" t="s">
        <v>294</v>
      </c>
      <c r="Q25" s="69" t="s">
        <v>77</v>
      </c>
      <c r="R25" s="73" t="s">
        <v>293</v>
      </c>
      <c r="S25" s="69">
        <v>923255</v>
      </c>
      <c r="T25" s="69" t="s">
        <v>295</v>
      </c>
      <c r="U25" s="69" t="s">
        <v>296</v>
      </c>
      <c r="V25" s="69" t="s">
        <v>54</v>
      </c>
      <c r="W25" s="70">
        <f>IFERROR(VLOOKUP(factures[[#This Row],[DT Prestation Amiante 1]],presta_amiante1[#Data],2,0),0)</f>
        <v>69.36</v>
      </c>
      <c r="X25" s="69"/>
      <c r="Y25" s="70">
        <f>IFERROR(VLOOKUP(factures[[#This Row],[DT Prestation Amiante 2]],presta_amiante2[#Data],2,0),0)</f>
        <v>0</v>
      </c>
      <c r="Z25" s="69"/>
      <c r="AA25" s="70">
        <f>IFERROR(VLOOKUP(factures[[#This Row],[DT Prestation Gaz]],presta_gaz[#Data],2,0),0)</f>
        <v>0</v>
      </c>
      <c r="AB25" s="69">
        <v>6</v>
      </c>
      <c r="AC25" s="69" t="s">
        <v>73</v>
      </c>
      <c r="AD25" s="70">
        <f>IFERROR(VLOOKUP(factures[[#This Row],[DT Analyses]],DT_analyses[#Data],2,0),0)</f>
        <v>36.99</v>
      </c>
      <c r="AE25" s="70">
        <f>IFERROR(factures[[#This Row],[Plvts ]]*factures[[#This Row],[Prix Analyses]],0)</f>
        <v>221.94</v>
      </c>
      <c r="AF25" s="70">
        <f>factures[[#This Row],[Prix Prestation Amiante 1]]+factures[[#This Row],[Prix Prestation Amiante 2]]+factures[[#This Row],[Prix Prestation Gaz]]+factures[[#This Row],[Prix analyses HT]]</f>
        <v>291.3</v>
      </c>
      <c r="AG25" s="69" t="s">
        <v>599</v>
      </c>
      <c r="AH25" s="86" t="s">
        <v>596</v>
      </c>
      <c r="AI25" s="69"/>
    </row>
    <row r="26" spans="1:35" ht="48" x14ac:dyDescent="0.3">
      <c r="A26" s="92" t="s">
        <v>258</v>
      </c>
      <c r="B26" s="69">
        <v>94380</v>
      </c>
      <c r="C26" s="69" t="s">
        <v>259</v>
      </c>
      <c r="D26" s="69" t="s">
        <v>260</v>
      </c>
      <c r="E26" s="69">
        <v>501</v>
      </c>
      <c r="F26" s="69">
        <v>5</v>
      </c>
      <c r="G26" s="69">
        <v>3</v>
      </c>
      <c r="H26" s="69">
        <v>33535</v>
      </c>
      <c r="I26" s="69">
        <v>511</v>
      </c>
      <c r="J26" s="88" t="s">
        <v>261</v>
      </c>
      <c r="K26" s="69"/>
      <c r="L26" s="69" t="s">
        <v>262</v>
      </c>
      <c r="M26" s="71">
        <v>43493</v>
      </c>
      <c r="N26" s="69" t="s">
        <v>70</v>
      </c>
      <c r="O26" s="71">
        <v>43503</v>
      </c>
      <c r="P26" s="69" t="s">
        <v>335</v>
      </c>
      <c r="Q26" s="69" t="s">
        <v>77</v>
      </c>
      <c r="R26" s="73" t="s">
        <v>263</v>
      </c>
      <c r="S26" s="69">
        <v>922812</v>
      </c>
      <c r="T26" s="69" t="s">
        <v>285</v>
      </c>
      <c r="U26" s="69" t="s">
        <v>362</v>
      </c>
      <c r="V26" s="69" t="s">
        <v>53</v>
      </c>
      <c r="W26" s="70">
        <v>65</v>
      </c>
      <c r="X26" s="69"/>
      <c r="Y26" s="70">
        <f>IFERROR(VLOOKUP(factures[[#This Row],[DT Prestation Amiante 2]],presta_amiante2[#Data],2,0),0)</f>
        <v>0</v>
      </c>
      <c r="Z26" s="69"/>
      <c r="AA26" s="70">
        <f>IFERROR(VLOOKUP(factures[[#This Row],[DT Prestation Gaz]],presta_gaz[#Data],2,0),0)</f>
        <v>0</v>
      </c>
      <c r="AB26" s="69">
        <v>2</v>
      </c>
      <c r="AC26" s="69" t="s">
        <v>73</v>
      </c>
      <c r="AD26" s="70">
        <v>40</v>
      </c>
      <c r="AE26" s="70">
        <f>IFERROR(factures[[#This Row],[Plvts ]]*factures[[#This Row],[Prix Analyses]],0)</f>
        <v>80</v>
      </c>
      <c r="AF26" s="70">
        <f>factures[[#This Row],[Prix Prestation Amiante 1]]+factures[[#This Row],[Prix Prestation Amiante 2]]+factures[[#This Row],[Prix Prestation Gaz]]+factures[[#This Row],[Prix analyses HT]]</f>
        <v>145</v>
      </c>
      <c r="AG26" s="69" t="s">
        <v>514</v>
      </c>
      <c r="AH26" s="86" t="s">
        <v>515</v>
      </c>
      <c r="AI26" s="69"/>
    </row>
    <row r="27" spans="1:35" ht="61.2" x14ac:dyDescent="0.3">
      <c r="A27" s="92" t="s">
        <v>297</v>
      </c>
      <c r="B27" s="69">
        <v>94000</v>
      </c>
      <c r="C27" s="69" t="s">
        <v>298</v>
      </c>
      <c r="D27" s="69" t="s">
        <v>299</v>
      </c>
      <c r="E27" s="69">
        <v>1</v>
      </c>
      <c r="F27" s="69" t="s">
        <v>102</v>
      </c>
      <c r="G27" s="69">
        <v>4</v>
      </c>
      <c r="H27" s="69">
        <v>40752</v>
      </c>
      <c r="I27" s="69">
        <v>830</v>
      </c>
      <c r="J27" s="69" t="s">
        <v>300</v>
      </c>
      <c r="K27" s="69" t="s">
        <v>333</v>
      </c>
      <c r="L27" s="69" t="s">
        <v>301</v>
      </c>
      <c r="M27" s="71">
        <v>43501</v>
      </c>
      <c r="N27" s="69" t="s">
        <v>71</v>
      </c>
      <c r="O27" s="71">
        <v>43503</v>
      </c>
      <c r="P27" s="69" t="s">
        <v>334</v>
      </c>
      <c r="Q27" s="69" t="s">
        <v>77</v>
      </c>
      <c r="R27" s="73" t="s">
        <v>302</v>
      </c>
      <c r="S27" s="69">
        <v>925257</v>
      </c>
      <c r="T27" s="69"/>
      <c r="U27" s="69" t="s">
        <v>363</v>
      </c>
      <c r="V27" s="69" t="s">
        <v>54</v>
      </c>
      <c r="W27" s="70">
        <f>IFERROR(VLOOKUP(factures[[#This Row],[DT Prestation Amiante 1]],presta_amiante1[#Data],2,0),0)</f>
        <v>69.36</v>
      </c>
      <c r="X27" s="69"/>
      <c r="Y27" s="70">
        <f>IFERROR(VLOOKUP(factures[[#This Row],[DT Prestation Amiante 2]],presta_amiante2[#Data],2,0),0)</f>
        <v>0</v>
      </c>
      <c r="Z27" s="69" t="s">
        <v>62</v>
      </c>
      <c r="AA27" s="70">
        <f>IFERROR(VLOOKUP(factures[[#This Row],[DT Prestation Gaz]],presta_gaz[#Data],2,0),0)</f>
        <v>49.01</v>
      </c>
      <c r="AB27" s="69">
        <v>7</v>
      </c>
      <c r="AC27" s="69" t="s">
        <v>73</v>
      </c>
      <c r="AD27" s="70">
        <f>IFERROR(VLOOKUP(factures[[#This Row],[DT Analyses]],DT_analyses[#Data],2,0),0)</f>
        <v>36.99</v>
      </c>
      <c r="AE27" s="70">
        <f>IFERROR(factures[[#This Row],[Plvts ]]*factures[[#This Row],[Prix Analyses]],0)</f>
        <v>258.93</v>
      </c>
      <c r="AF27" s="70">
        <f>factures[[#This Row],[Prix Prestation Amiante 1]]+factures[[#This Row],[Prix Prestation Amiante 2]]+factures[[#This Row],[Prix Prestation Gaz]]+factures[[#This Row],[Prix analyses HT]]</f>
        <v>377.3</v>
      </c>
      <c r="AG27" s="69" t="s">
        <v>485</v>
      </c>
      <c r="AH27" s="86" t="s">
        <v>486</v>
      </c>
      <c r="AI27" s="69"/>
    </row>
    <row r="28" spans="1:35" ht="36" x14ac:dyDescent="0.3">
      <c r="A28" s="92" t="s">
        <v>303</v>
      </c>
      <c r="B28" s="69">
        <v>94550</v>
      </c>
      <c r="C28" s="69" t="s">
        <v>304</v>
      </c>
      <c r="D28" s="69" t="s">
        <v>305</v>
      </c>
      <c r="E28" s="69">
        <v>302</v>
      </c>
      <c r="F28" s="69">
        <v>3</v>
      </c>
      <c r="G28" s="69">
        <v>3</v>
      </c>
      <c r="H28" s="69">
        <v>4541</v>
      </c>
      <c r="I28" s="69">
        <v>74</v>
      </c>
      <c r="J28" s="69" t="s">
        <v>307</v>
      </c>
      <c r="K28" s="69"/>
      <c r="L28" s="69" t="s">
        <v>306</v>
      </c>
      <c r="M28" s="71">
        <v>43501</v>
      </c>
      <c r="N28" s="69" t="s">
        <v>71</v>
      </c>
      <c r="O28" s="71">
        <v>43503</v>
      </c>
      <c r="P28" s="69" t="s">
        <v>339</v>
      </c>
      <c r="Q28" s="69" t="s">
        <v>77</v>
      </c>
      <c r="R28" s="73" t="s">
        <v>308</v>
      </c>
      <c r="S28" s="69">
        <v>925240</v>
      </c>
      <c r="T28" s="69"/>
      <c r="U28" s="69" t="s">
        <v>364</v>
      </c>
      <c r="V28" s="69" t="s">
        <v>53</v>
      </c>
      <c r="W28" s="70">
        <f>IFERROR(VLOOKUP(factures[[#This Row],[DT Prestation Amiante 1]],presta_amiante1[#Data],2,0),0)</f>
        <v>60.11</v>
      </c>
      <c r="X28" s="69"/>
      <c r="Y28" s="70">
        <f>IFERROR(VLOOKUP(factures[[#This Row],[DT Prestation Amiante 2]],presta_amiante2[#Data],2,0),0)</f>
        <v>0</v>
      </c>
      <c r="Z28" s="69" t="s">
        <v>61</v>
      </c>
      <c r="AA28" s="70">
        <f>IFERROR(VLOOKUP(factures[[#This Row],[DT Prestation Gaz]],presta_gaz[#Data],2,0),0)</f>
        <v>41.62</v>
      </c>
      <c r="AB28" s="69">
        <v>7</v>
      </c>
      <c r="AC28" s="69" t="s">
        <v>73</v>
      </c>
      <c r="AD28" s="70">
        <f>IFERROR(VLOOKUP(factures[[#This Row],[DT Analyses]],DT_analyses[#Data],2,0),0)</f>
        <v>36.99</v>
      </c>
      <c r="AE28" s="70">
        <f>IFERROR(factures[[#This Row],[Plvts ]]*factures[[#This Row],[Prix Analyses]],0)</f>
        <v>258.93</v>
      </c>
      <c r="AF28" s="70">
        <f>factures[[#This Row],[Prix Prestation Amiante 1]]+factures[[#This Row],[Prix Prestation Amiante 2]]+factures[[#This Row],[Prix Prestation Gaz]]+factures[[#This Row],[Prix analyses HT]]</f>
        <v>360.65999999999997</v>
      </c>
      <c r="AG28" s="69" t="s">
        <v>487</v>
      </c>
      <c r="AH28" s="86" t="s">
        <v>486</v>
      </c>
      <c r="AI28" s="69"/>
    </row>
    <row r="29" spans="1:35" ht="36" x14ac:dyDescent="0.3">
      <c r="A29" s="92" t="s">
        <v>340</v>
      </c>
      <c r="B29" s="69">
        <v>94450</v>
      </c>
      <c r="C29" s="69" t="s">
        <v>304</v>
      </c>
      <c r="D29" s="69" t="s">
        <v>341</v>
      </c>
      <c r="E29" s="69">
        <v>102</v>
      </c>
      <c r="F29" s="69">
        <v>1</v>
      </c>
      <c r="G29" s="69">
        <v>4</v>
      </c>
      <c r="H29" s="69">
        <v>45040</v>
      </c>
      <c r="I29" s="69">
        <v>888</v>
      </c>
      <c r="J29" s="79"/>
      <c r="K29" s="69"/>
      <c r="L29" s="69" t="s">
        <v>342</v>
      </c>
      <c r="M29" s="71">
        <v>43501</v>
      </c>
      <c r="N29" s="69" t="s">
        <v>70</v>
      </c>
      <c r="O29" s="71">
        <v>43503</v>
      </c>
      <c r="P29" s="69" t="s">
        <v>343</v>
      </c>
      <c r="Q29" s="69" t="s">
        <v>77</v>
      </c>
      <c r="R29" s="73" t="s">
        <v>344</v>
      </c>
      <c r="S29" s="69">
        <v>925352</v>
      </c>
      <c r="T29" s="69"/>
      <c r="U29" s="69" t="s">
        <v>365</v>
      </c>
      <c r="V29" s="69" t="s">
        <v>54</v>
      </c>
      <c r="W29" s="70">
        <f>IFERROR(VLOOKUP(factures[[#This Row],[DT Prestation Amiante 1]],presta_amiante1[#Data],2,0),0)</f>
        <v>69.36</v>
      </c>
      <c r="X29" s="69"/>
      <c r="Y29" s="70">
        <f>IFERROR(VLOOKUP(factures[[#This Row],[DT Prestation Amiante 2]],presta_amiante2[#Data],2,0),0)</f>
        <v>0</v>
      </c>
      <c r="Z29" s="69"/>
      <c r="AA29" s="70">
        <f>IFERROR(VLOOKUP(factures[[#This Row],[DT Prestation Gaz]],presta_gaz[#Data],2,0),0)</f>
        <v>0</v>
      </c>
      <c r="AB29" s="69">
        <v>1</v>
      </c>
      <c r="AC29" s="69" t="s">
        <v>73</v>
      </c>
      <c r="AD29" s="70">
        <f>IFERROR(VLOOKUP(factures[[#This Row],[DT Analyses]],DT_analyses[#Data],2,0),0)</f>
        <v>36.99</v>
      </c>
      <c r="AE29" s="70">
        <f>IFERROR(factures[[#This Row],[Plvts ]]*factures[[#This Row],[Prix Analyses]],0)</f>
        <v>36.99</v>
      </c>
      <c r="AF29" s="70">
        <f>factures[[#This Row],[Prix Prestation Amiante 1]]+factures[[#This Row],[Prix Prestation Amiante 2]]+factures[[#This Row],[Prix Prestation Gaz]]+factures[[#This Row],[Prix analyses HT]]</f>
        <v>106.35</v>
      </c>
      <c r="AG29" s="69" t="s">
        <v>488</v>
      </c>
      <c r="AH29" s="86" t="s">
        <v>486</v>
      </c>
      <c r="AI29" s="69"/>
    </row>
    <row r="30" spans="1:35" ht="48" x14ac:dyDescent="0.3">
      <c r="A30" s="92" t="s">
        <v>315</v>
      </c>
      <c r="B30" s="69">
        <v>78200</v>
      </c>
      <c r="C30" s="69" t="s">
        <v>189</v>
      </c>
      <c r="D30" s="69" t="s">
        <v>316</v>
      </c>
      <c r="E30" s="69">
        <v>1701</v>
      </c>
      <c r="F30" s="69">
        <v>17</v>
      </c>
      <c r="G30" s="69">
        <v>3</v>
      </c>
      <c r="H30" s="69">
        <v>43557</v>
      </c>
      <c r="I30" s="69">
        <v>862</v>
      </c>
      <c r="J30" s="90" t="s">
        <v>317</v>
      </c>
      <c r="K30" s="69"/>
      <c r="L30" s="69" t="s">
        <v>318</v>
      </c>
      <c r="M30" s="71">
        <v>43501</v>
      </c>
      <c r="N30" s="69" t="s">
        <v>83</v>
      </c>
      <c r="O30" s="71">
        <v>43504</v>
      </c>
      <c r="P30" s="69" t="s">
        <v>337</v>
      </c>
      <c r="Q30" s="69" t="s">
        <v>77</v>
      </c>
      <c r="R30" s="73" t="s">
        <v>319</v>
      </c>
      <c r="S30" s="69">
        <v>908087</v>
      </c>
      <c r="T30" s="69"/>
      <c r="U30" s="69" t="s">
        <v>368</v>
      </c>
      <c r="V30" s="69" t="s">
        <v>55</v>
      </c>
      <c r="W30" s="70">
        <f>IFERROR(VLOOKUP(factures[[#This Row],[DT Prestation Amiante 1]],presta_amiante1[#Data],2,0),0)</f>
        <v>55.49</v>
      </c>
      <c r="X30" s="69" t="s">
        <v>53</v>
      </c>
      <c r="Y30" s="70">
        <f>IFERROR(VLOOKUP(factures[[#This Row],[DT Prestation Amiante 2]],presta_amiante2[#Data],2,0),0)</f>
        <v>60.11</v>
      </c>
      <c r="Z30" s="69"/>
      <c r="AA30" s="70">
        <f>IFERROR(VLOOKUP(factures[[#This Row],[DT Prestation Gaz]],presta_gaz[#Data],2,0),0)</f>
        <v>0</v>
      </c>
      <c r="AB30" s="69">
        <v>14</v>
      </c>
      <c r="AC30" s="69" t="s">
        <v>73</v>
      </c>
      <c r="AD30" s="70">
        <f>IFERROR(VLOOKUP(factures[[#This Row],[DT Analyses]],DT_analyses[#Data],2,0),0)</f>
        <v>36.99</v>
      </c>
      <c r="AE30" s="70">
        <f>IFERROR(factures[[#This Row],[Plvts ]]*factures[[#This Row],[Prix Analyses]],0)</f>
        <v>517.86</v>
      </c>
      <c r="AF30" s="70">
        <f>factures[[#This Row],[Prix Prestation Amiante 1]]+factures[[#This Row],[Prix Prestation Amiante 2]]+factures[[#This Row],[Prix Prestation Gaz]]+factures[[#This Row],[Prix analyses HT]]</f>
        <v>633.46</v>
      </c>
      <c r="AG30" s="69" t="s">
        <v>634</v>
      </c>
      <c r="AH30" s="86" t="s">
        <v>635</v>
      </c>
      <c r="AI30" s="69"/>
    </row>
    <row r="31" spans="1:35" ht="36" x14ac:dyDescent="0.3">
      <c r="A31" s="92" t="s">
        <v>326</v>
      </c>
      <c r="B31" s="69">
        <v>92220</v>
      </c>
      <c r="C31" s="69" t="s">
        <v>141</v>
      </c>
      <c r="D31" s="69" t="s">
        <v>174</v>
      </c>
      <c r="E31" s="69">
        <v>401</v>
      </c>
      <c r="F31" s="69">
        <v>4</v>
      </c>
      <c r="G31" s="69">
        <v>3</v>
      </c>
      <c r="H31" s="69">
        <v>51748</v>
      </c>
      <c r="I31" s="69">
        <v>9152</v>
      </c>
      <c r="J31" s="69" t="s">
        <v>327</v>
      </c>
      <c r="K31" s="69"/>
      <c r="L31" s="69" t="s">
        <v>328</v>
      </c>
      <c r="M31" s="71">
        <v>43501</v>
      </c>
      <c r="N31" s="69" t="s">
        <v>70</v>
      </c>
      <c r="O31" s="71">
        <v>43504</v>
      </c>
      <c r="P31" s="69" t="s">
        <v>338</v>
      </c>
      <c r="Q31" s="69" t="s">
        <v>77</v>
      </c>
      <c r="R31" s="73" t="s">
        <v>329</v>
      </c>
      <c r="S31" s="69">
        <v>924352</v>
      </c>
      <c r="T31" s="69"/>
      <c r="U31" s="69" t="s">
        <v>366</v>
      </c>
      <c r="V31" s="69" t="s">
        <v>53</v>
      </c>
      <c r="W31" s="70">
        <f>IFERROR(VLOOKUP(factures[[#This Row],[DT Prestation Amiante 1]],presta_amiante1[#Data],2,0),0)</f>
        <v>60.11</v>
      </c>
      <c r="X31" s="69"/>
      <c r="Y31" s="70">
        <f>IFERROR(VLOOKUP(factures[[#This Row],[DT Prestation Amiante 2]],presta_amiante2[#Data],2,0),0)</f>
        <v>0</v>
      </c>
      <c r="Z31" s="69"/>
      <c r="AA31" s="70">
        <f>IFERROR(VLOOKUP(factures[[#This Row],[DT Prestation Gaz]],presta_gaz[#Data],2,0),0)</f>
        <v>0</v>
      </c>
      <c r="AB31" s="69">
        <v>1</v>
      </c>
      <c r="AC31" s="69" t="s">
        <v>73</v>
      </c>
      <c r="AD31" s="70">
        <f>IFERROR(VLOOKUP(factures[[#This Row],[DT Analyses]],DT_analyses[#Data],2,0),0)</f>
        <v>36.99</v>
      </c>
      <c r="AE31" s="70">
        <f>IFERROR(factures[[#This Row],[Plvts ]]*factures[[#This Row],[Prix Analyses]],0)</f>
        <v>36.99</v>
      </c>
      <c r="AF31" s="70">
        <f>factures[[#This Row],[Prix Prestation Amiante 1]]+factures[[#This Row],[Prix Prestation Amiante 2]]+factures[[#This Row],[Prix Prestation Gaz]]+factures[[#This Row],[Prix analyses HT]]</f>
        <v>97.1</v>
      </c>
      <c r="AG31" s="69" t="s">
        <v>918</v>
      </c>
      <c r="AH31" s="86" t="s">
        <v>900</v>
      </c>
      <c r="AI31" s="69"/>
    </row>
    <row r="32" spans="1:35" ht="36" x14ac:dyDescent="0.3">
      <c r="A32" s="92" t="s">
        <v>330</v>
      </c>
      <c r="B32" s="69">
        <v>92220</v>
      </c>
      <c r="C32" s="69" t="s">
        <v>141</v>
      </c>
      <c r="D32" s="69" t="s">
        <v>174</v>
      </c>
      <c r="E32" s="69">
        <v>302</v>
      </c>
      <c r="F32" s="69">
        <v>3</v>
      </c>
      <c r="G32" s="69">
        <v>3</v>
      </c>
      <c r="H32" s="69">
        <v>40944</v>
      </c>
      <c r="I32" s="69">
        <v>831</v>
      </c>
      <c r="J32" s="69" t="s">
        <v>327</v>
      </c>
      <c r="K32" s="69"/>
      <c r="L32" s="69" t="s">
        <v>331</v>
      </c>
      <c r="M32" s="71">
        <v>43501</v>
      </c>
      <c r="N32" s="69" t="s">
        <v>70</v>
      </c>
      <c r="O32" s="71">
        <v>43504</v>
      </c>
      <c r="P32" s="69" t="s">
        <v>338</v>
      </c>
      <c r="Q32" s="69" t="s">
        <v>77</v>
      </c>
      <c r="R32" s="73" t="s">
        <v>332</v>
      </c>
      <c r="S32" s="69">
        <v>924314</v>
      </c>
      <c r="T32" s="69"/>
      <c r="U32" s="69" t="s">
        <v>367</v>
      </c>
      <c r="V32" s="69" t="s">
        <v>53</v>
      </c>
      <c r="W32" s="70">
        <f>IFERROR(VLOOKUP(factures[[#This Row],[DT Prestation Amiante 1]],presta_amiante1[#Data],2,0),0)</f>
        <v>60.11</v>
      </c>
      <c r="X32" s="69"/>
      <c r="Y32" s="70">
        <f>IFERROR(VLOOKUP(factures[[#This Row],[DT Prestation Amiante 2]],presta_amiante2[#Data],2,0),0)</f>
        <v>0</v>
      </c>
      <c r="Z32" s="69"/>
      <c r="AA32" s="70">
        <f>IFERROR(VLOOKUP(factures[[#This Row],[DT Prestation Gaz]],presta_gaz[#Data],2,0),0)</f>
        <v>0</v>
      </c>
      <c r="AB32" s="69">
        <v>1</v>
      </c>
      <c r="AC32" s="69" t="s">
        <v>73</v>
      </c>
      <c r="AD32" s="70">
        <f>IFERROR(VLOOKUP(factures[[#This Row],[DT Analyses]],DT_analyses[#Data],2,0),0)</f>
        <v>36.99</v>
      </c>
      <c r="AE32" s="70">
        <f>IFERROR(factures[[#This Row],[Plvts ]]*factures[[#This Row],[Prix Analyses]],0)</f>
        <v>36.99</v>
      </c>
      <c r="AF32" s="70">
        <f>factures[[#This Row],[Prix Prestation Amiante 1]]+factures[[#This Row],[Prix Prestation Amiante 2]]+factures[[#This Row],[Prix Prestation Gaz]]+factures[[#This Row],[Prix analyses HT]]</f>
        <v>97.1</v>
      </c>
      <c r="AG32" s="69" t="s">
        <v>919</v>
      </c>
      <c r="AH32" s="86" t="s">
        <v>900</v>
      </c>
      <c r="AI32" s="69"/>
    </row>
    <row r="33" spans="1:35" ht="84" x14ac:dyDescent="0.3">
      <c r="A33" s="92" t="s">
        <v>350</v>
      </c>
      <c r="B33" s="72">
        <v>78540</v>
      </c>
      <c r="C33" s="69" t="s">
        <v>351</v>
      </c>
      <c r="D33" s="69" t="s">
        <v>352</v>
      </c>
      <c r="E33" s="69">
        <v>401</v>
      </c>
      <c r="F33" s="69">
        <v>4</v>
      </c>
      <c r="G33" s="69">
        <v>3</v>
      </c>
      <c r="H33" s="69">
        <v>52986</v>
      </c>
      <c r="I33" s="69">
        <v>9700</v>
      </c>
      <c r="J33" s="69" t="s">
        <v>353</v>
      </c>
      <c r="K33" s="69"/>
      <c r="L33" s="69" t="s">
        <v>354</v>
      </c>
      <c r="M33" s="71">
        <v>43503</v>
      </c>
      <c r="N33" s="69" t="s">
        <v>84</v>
      </c>
      <c r="O33" s="74">
        <v>43508</v>
      </c>
      <c r="P33" s="69" t="s">
        <v>131</v>
      </c>
      <c r="Q33" s="69" t="s">
        <v>77</v>
      </c>
      <c r="R33" s="73" t="s">
        <v>355</v>
      </c>
      <c r="S33" s="69">
        <v>922957</v>
      </c>
      <c r="T33" s="69"/>
      <c r="U33" s="69" t="s">
        <v>402</v>
      </c>
      <c r="V33" s="69" t="s">
        <v>55</v>
      </c>
      <c r="W33" s="70">
        <f>IFERROR(VLOOKUP(factures[[#This Row],[DT Prestation Amiante 1]],presta_amiante1[#Data],2,0),0)</f>
        <v>55.49</v>
      </c>
      <c r="X33" s="69" t="s">
        <v>53</v>
      </c>
      <c r="Y33" s="70">
        <f>IFERROR(VLOOKUP(factures[[#This Row],[DT Prestation Amiante 2]],presta_amiante2[#Data],2,0),0)</f>
        <v>60.11</v>
      </c>
      <c r="Z33" s="69" t="s">
        <v>61</v>
      </c>
      <c r="AA33" s="70">
        <f>IFERROR(VLOOKUP(factures[[#This Row],[DT Prestation Gaz]],presta_gaz[#Data],2,0),0)</f>
        <v>41.62</v>
      </c>
      <c r="AB33" s="69">
        <v>12</v>
      </c>
      <c r="AC33" s="69" t="s">
        <v>73</v>
      </c>
      <c r="AD33" s="70">
        <f>IFERROR(VLOOKUP(factures[[#This Row],[DT Analyses]],DT_analyses[#Data],2,0),0)</f>
        <v>36.99</v>
      </c>
      <c r="AE33" s="70">
        <f>IFERROR(factures[[#This Row],[Plvts ]]*factures[[#This Row],[Prix Analyses]],0)</f>
        <v>443.88</v>
      </c>
      <c r="AF33" s="70">
        <f>factures[[#This Row],[Prix Prestation Amiante 1]]+factures[[#This Row],[Prix Prestation Amiante 2]]+factures[[#This Row],[Prix Prestation Gaz]]+factures[[#This Row],[Prix analyses HT]]</f>
        <v>601.1</v>
      </c>
      <c r="AG33" s="69" t="s">
        <v>601</v>
      </c>
      <c r="AH33" s="86" t="s">
        <v>596</v>
      </c>
      <c r="AI33" s="69"/>
    </row>
    <row r="34" spans="1:35" ht="84" x14ac:dyDescent="0.3">
      <c r="A34" s="92" t="s">
        <v>356</v>
      </c>
      <c r="B34" s="72">
        <v>78540</v>
      </c>
      <c r="C34" s="69" t="s">
        <v>351</v>
      </c>
      <c r="D34" s="69" t="s">
        <v>352</v>
      </c>
      <c r="E34" s="69">
        <v>303</v>
      </c>
      <c r="F34" s="69">
        <v>3</v>
      </c>
      <c r="G34" s="69">
        <v>1</v>
      </c>
      <c r="H34" s="69">
        <v>53438</v>
      </c>
      <c r="I34" s="69">
        <v>9700</v>
      </c>
      <c r="J34" s="69" t="s">
        <v>353</v>
      </c>
      <c r="K34" s="69"/>
      <c r="L34" s="69" t="s">
        <v>357</v>
      </c>
      <c r="M34" s="71">
        <v>43503</v>
      </c>
      <c r="N34" s="69" t="s">
        <v>84</v>
      </c>
      <c r="O34" s="74">
        <v>43508</v>
      </c>
      <c r="P34" s="69" t="s">
        <v>131</v>
      </c>
      <c r="Q34" s="69" t="s">
        <v>77</v>
      </c>
      <c r="R34" s="73" t="s">
        <v>358</v>
      </c>
      <c r="S34" s="69">
        <v>922951</v>
      </c>
      <c r="T34" s="69"/>
      <c r="U34" s="69" t="s">
        <v>403</v>
      </c>
      <c r="V34" s="69" t="s">
        <v>55</v>
      </c>
      <c r="W34" s="70">
        <f>IFERROR(VLOOKUP(factures[[#This Row],[DT Prestation Amiante 1]],presta_amiante1[#Data],2,0),0)</f>
        <v>55.49</v>
      </c>
      <c r="X34" s="69" t="s">
        <v>53</v>
      </c>
      <c r="Y34" s="70">
        <f>IFERROR(VLOOKUP(factures[[#This Row],[DT Prestation Amiante 2]],presta_amiante2[#Data],2,0),0)</f>
        <v>60.11</v>
      </c>
      <c r="Z34" s="69" t="s">
        <v>61</v>
      </c>
      <c r="AA34" s="70">
        <f>IFERROR(VLOOKUP(factures[[#This Row],[DT Prestation Gaz]],presta_gaz[#Data],2,0),0)</f>
        <v>41.62</v>
      </c>
      <c r="AB34" s="69">
        <v>4</v>
      </c>
      <c r="AC34" s="69" t="s">
        <v>73</v>
      </c>
      <c r="AD34" s="70">
        <f>IFERROR(VLOOKUP(factures[[#This Row],[DT Analyses]],DT_analyses[#Data],2,0),0)</f>
        <v>36.99</v>
      </c>
      <c r="AE34" s="70">
        <f>IFERROR(factures[[#This Row],[Plvts ]]*factures[[#This Row],[Prix Analyses]],0)</f>
        <v>147.96</v>
      </c>
      <c r="AF34" s="70">
        <f>factures[[#This Row],[Prix Prestation Amiante 1]]+factures[[#This Row],[Prix Prestation Amiante 2]]+factures[[#This Row],[Prix Prestation Gaz]]+factures[[#This Row],[Prix analyses HT]]</f>
        <v>305.18</v>
      </c>
      <c r="AG34" s="69" t="s">
        <v>602</v>
      </c>
      <c r="AH34" s="86" t="s">
        <v>596</v>
      </c>
      <c r="AI34" s="69"/>
    </row>
    <row r="35" spans="1:35" ht="84" x14ac:dyDescent="0.3">
      <c r="A35" s="92" t="s">
        <v>359</v>
      </c>
      <c r="B35" s="72">
        <v>78540</v>
      </c>
      <c r="C35" s="69" t="s">
        <v>351</v>
      </c>
      <c r="D35" s="69" t="s">
        <v>352</v>
      </c>
      <c r="E35" s="69">
        <v>1</v>
      </c>
      <c r="F35" s="69" t="s">
        <v>102</v>
      </c>
      <c r="G35" s="69">
        <v>3</v>
      </c>
      <c r="H35" s="69">
        <v>53248</v>
      </c>
      <c r="I35" s="69">
        <v>9700</v>
      </c>
      <c r="J35" s="69" t="s">
        <v>353</v>
      </c>
      <c r="K35" s="69"/>
      <c r="L35" s="69" t="s">
        <v>360</v>
      </c>
      <c r="M35" s="71">
        <v>43503</v>
      </c>
      <c r="N35" s="69" t="s">
        <v>84</v>
      </c>
      <c r="O35" s="74">
        <v>43508</v>
      </c>
      <c r="P35" s="69" t="s">
        <v>131</v>
      </c>
      <c r="Q35" s="69" t="s">
        <v>77</v>
      </c>
      <c r="R35" s="73" t="s">
        <v>361</v>
      </c>
      <c r="S35" s="69">
        <v>925733</v>
      </c>
      <c r="T35" s="69"/>
      <c r="U35" s="69" t="s">
        <v>404</v>
      </c>
      <c r="V35" s="69" t="s">
        <v>55</v>
      </c>
      <c r="W35" s="70">
        <f>IFERROR(VLOOKUP(factures[[#This Row],[DT Prestation Amiante 1]],presta_amiante1[#Data],2,0),0)</f>
        <v>55.49</v>
      </c>
      <c r="X35" s="69" t="s">
        <v>53</v>
      </c>
      <c r="Y35" s="70">
        <f>IFERROR(VLOOKUP(factures[[#This Row],[DT Prestation Amiante 2]],presta_amiante2[#Data],2,0),0)</f>
        <v>60.11</v>
      </c>
      <c r="Z35" s="69" t="s">
        <v>61</v>
      </c>
      <c r="AA35" s="70">
        <f>IFERROR(VLOOKUP(factures[[#This Row],[DT Prestation Gaz]],presta_gaz[#Data],2,0),0)</f>
        <v>41.62</v>
      </c>
      <c r="AB35" s="69">
        <v>2</v>
      </c>
      <c r="AC35" s="69" t="s">
        <v>73</v>
      </c>
      <c r="AD35" s="70">
        <f>IFERROR(VLOOKUP(factures[[#This Row],[DT Analyses]],DT_analyses[#Data],2,0),0)</f>
        <v>36.99</v>
      </c>
      <c r="AE35" s="70">
        <f>IFERROR(factures[[#This Row],[Plvts ]]*factures[[#This Row],[Prix Analyses]],0)</f>
        <v>73.98</v>
      </c>
      <c r="AF35" s="70">
        <f>factures[[#This Row],[Prix Prestation Amiante 1]]+factures[[#This Row],[Prix Prestation Amiante 2]]+factures[[#This Row],[Prix Prestation Gaz]]+factures[[#This Row],[Prix analyses HT]]</f>
        <v>231.2</v>
      </c>
      <c r="AG35" s="69" t="s">
        <v>489</v>
      </c>
      <c r="AH35" s="86" t="s">
        <v>486</v>
      </c>
      <c r="AI35" s="69"/>
    </row>
    <row r="36" spans="1:35" ht="84" x14ac:dyDescent="0.3">
      <c r="A36" s="92" t="s">
        <v>369</v>
      </c>
      <c r="B36" s="72">
        <v>78540</v>
      </c>
      <c r="C36" s="69" t="s">
        <v>351</v>
      </c>
      <c r="D36" s="69" t="s">
        <v>352</v>
      </c>
      <c r="E36" s="69">
        <v>402</v>
      </c>
      <c r="F36" s="69">
        <v>4</v>
      </c>
      <c r="G36" s="69">
        <v>4</v>
      </c>
      <c r="H36" s="69">
        <v>53137</v>
      </c>
      <c r="I36" s="69">
        <v>9700</v>
      </c>
      <c r="J36" s="69" t="s">
        <v>353</v>
      </c>
      <c r="K36" s="69"/>
      <c r="L36" s="69" t="s">
        <v>370</v>
      </c>
      <c r="M36" s="71">
        <v>43507</v>
      </c>
      <c r="N36" s="69" t="s">
        <v>84</v>
      </c>
      <c r="O36" s="74">
        <v>43508</v>
      </c>
      <c r="P36" s="69" t="s">
        <v>131</v>
      </c>
      <c r="Q36" s="69" t="s">
        <v>77</v>
      </c>
      <c r="R36" s="73" t="s">
        <v>371</v>
      </c>
      <c r="S36" s="69">
        <v>926170</v>
      </c>
      <c r="T36" s="69"/>
      <c r="U36" s="69" t="s">
        <v>405</v>
      </c>
      <c r="V36" s="69" t="s">
        <v>55</v>
      </c>
      <c r="W36" s="70">
        <f>IFERROR(VLOOKUP(factures[[#This Row],[DT Prestation Amiante 1]],presta_amiante1[#Data],2,0),0)</f>
        <v>55.49</v>
      </c>
      <c r="X36" s="69" t="s">
        <v>54</v>
      </c>
      <c r="Y36" s="70">
        <f>IFERROR(VLOOKUP(factures[[#This Row],[DT Prestation Amiante 2]],presta_amiante2[#Data],2,0),0)</f>
        <v>69.36</v>
      </c>
      <c r="Z36" s="69" t="s">
        <v>62</v>
      </c>
      <c r="AA36" s="70">
        <f>IFERROR(VLOOKUP(factures[[#This Row],[DT Prestation Gaz]],presta_gaz[#Data],2,0),0)</f>
        <v>49.01</v>
      </c>
      <c r="AB36" s="69">
        <v>12</v>
      </c>
      <c r="AC36" s="69" t="s">
        <v>73</v>
      </c>
      <c r="AD36" s="70">
        <f>IFERROR(VLOOKUP(factures[[#This Row],[DT Analyses]],DT_analyses[#Data],2,0),0)</f>
        <v>36.99</v>
      </c>
      <c r="AE36" s="70">
        <f>IFERROR(factures[[#This Row],[Plvts ]]*factures[[#This Row],[Prix Analyses]],0)</f>
        <v>443.88</v>
      </c>
      <c r="AF36" s="70">
        <f>factures[[#This Row],[Prix Prestation Amiante 1]]+factures[[#This Row],[Prix Prestation Amiante 2]]+factures[[#This Row],[Prix Prestation Gaz]]+factures[[#This Row],[Prix analyses HT]]</f>
        <v>617.74</v>
      </c>
      <c r="AG36" s="69" t="s">
        <v>490</v>
      </c>
      <c r="AH36" s="86" t="s">
        <v>486</v>
      </c>
      <c r="AI36" s="69"/>
    </row>
    <row r="37" spans="1:35" ht="33" customHeight="1" x14ac:dyDescent="0.3">
      <c r="A37" s="92" t="s">
        <v>372</v>
      </c>
      <c r="B37" s="72">
        <v>78540</v>
      </c>
      <c r="C37" s="69" t="s">
        <v>351</v>
      </c>
      <c r="D37" s="69" t="s">
        <v>352</v>
      </c>
      <c r="E37" s="69">
        <v>1</v>
      </c>
      <c r="F37" s="69" t="s">
        <v>102</v>
      </c>
      <c r="G37" s="69">
        <v>3</v>
      </c>
      <c r="H37" s="69">
        <v>52968</v>
      </c>
      <c r="I37" s="69">
        <v>9700</v>
      </c>
      <c r="J37" s="69" t="s">
        <v>353</v>
      </c>
      <c r="K37" s="69"/>
      <c r="L37" s="69" t="s">
        <v>373</v>
      </c>
      <c r="M37" s="71">
        <v>43507</v>
      </c>
      <c r="N37" s="69" t="s">
        <v>84</v>
      </c>
      <c r="O37" s="74">
        <v>43508</v>
      </c>
      <c r="P37" s="69" t="s">
        <v>131</v>
      </c>
      <c r="Q37" s="69" t="s">
        <v>77</v>
      </c>
      <c r="R37" s="73" t="s">
        <v>374</v>
      </c>
      <c r="S37" s="69">
        <v>926178</v>
      </c>
      <c r="T37" s="91" t="s">
        <v>408</v>
      </c>
      <c r="U37" s="69" t="s">
        <v>406</v>
      </c>
      <c r="V37" s="69" t="s">
        <v>55</v>
      </c>
      <c r="W37" s="70">
        <f>IFERROR(VLOOKUP(factures[[#This Row],[DT Prestation Amiante 1]],presta_amiante1[#Data],2,0),0)</f>
        <v>55.49</v>
      </c>
      <c r="X37" s="69" t="s">
        <v>53</v>
      </c>
      <c r="Y37" s="70">
        <f>IFERROR(VLOOKUP(factures[[#This Row],[DT Prestation Amiante 2]],presta_amiante2[#Data],2,0),0)</f>
        <v>60.11</v>
      </c>
      <c r="Z37" s="69" t="s">
        <v>61</v>
      </c>
      <c r="AA37" s="70">
        <f>IFERROR(VLOOKUP(factures[[#This Row],[DT Prestation Gaz]],presta_gaz[#Data],2,0),0)</f>
        <v>41.62</v>
      </c>
      <c r="AB37" s="69">
        <v>13</v>
      </c>
      <c r="AC37" s="69" t="s">
        <v>73</v>
      </c>
      <c r="AD37" s="70">
        <f>IFERROR(VLOOKUP(factures[[#This Row],[DT Analyses]],DT_analyses[#Data],2,0),0)</f>
        <v>36.99</v>
      </c>
      <c r="AE37" s="70">
        <f>IFERROR(factures[[#This Row],[Plvts ]]*factures[[#This Row],[Prix Analyses]],0)</f>
        <v>480.87</v>
      </c>
      <c r="AF37" s="70">
        <f>factures[[#This Row],[Prix Prestation Amiante 1]]+factures[[#This Row],[Prix Prestation Amiante 2]]+factures[[#This Row],[Prix Prestation Gaz]]+factures[[#This Row],[Prix analyses HT]]</f>
        <v>638.09</v>
      </c>
      <c r="AG37" s="69" t="s">
        <v>603</v>
      </c>
      <c r="AH37" s="86" t="s">
        <v>596</v>
      </c>
      <c r="AI37" s="69"/>
    </row>
    <row r="38" spans="1:35" ht="96" x14ac:dyDescent="0.3">
      <c r="A38" s="92" t="s">
        <v>375</v>
      </c>
      <c r="B38" s="72">
        <v>78540</v>
      </c>
      <c r="C38" s="69" t="s">
        <v>351</v>
      </c>
      <c r="D38" s="69" t="s">
        <v>352</v>
      </c>
      <c r="E38" s="69">
        <v>301</v>
      </c>
      <c r="F38" s="69">
        <v>3</v>
      </c>
      <c r="G38" s="69">
        <v>3</v>
      </c>
      <c r="H38" s="69">
        <v>53024</v>
      </c>
      <c r="I38" s="69">
        <v>9700</v>
      </c>
      <c r="J38" s="69" t="s">
        <v>411</v>
      </c>
      <c r="K38" s="69"/>
      <c r="L38" s="69" t="s">
        <v>376</v>
      </c>
      <c r="M38" s="71">
        <v>43507</v>
      </c>
      <c r="N38" s="69" t="s">
        <v>84</v>
      </c>
      <c r="O38" s="74">
        <v>43508</v>
      </c>
      <c r="P38" s="69" t="s">
        <v>131</v>
      </c>
      <c r="Q38" s="69" t="s">
        <v>77</v>
      </c>
      <c r="R38" s="73" t="s">
        <v>377</v>
      </c>
      <c r="S38" s="69">
        <v>926188</v>
      </c>
      <c r="T38" s="69"/>
      <c r="U38" s="69" t="s">
        <v>407</v>
      </c>
      <c r="V38" s="69" t="s">
        <v>55</v>
      </c>
      <c r="W38" s="70">
        <f>IFERROR(VLOOKUP(factures[[#This Row],[DT Prestation Amiante 1]],presta_amiante1[#Data],2,0),0)</f>
        <v>55.49</v>
      </c>
      <c r="X38" s="69" t="s">
        <v>53</v>
      </c>
      <c r="Y38" s="70">
        <f>IFERROR(VLOOKUP(factures[[#This Row],[DT Prestation Amiante 2]],presta_amiante2[#Data],2,0),0)</f>
        <v>60.11</v>
      </c>
      <c r="Z38" s="69" t="s">
        <v>61</v>
      </c>
      <c r="AA38" s="70">
        <f>IFERROR(VLOOKUP(factures[[#This Row],[DT Prestation Gaz]],presta_gaz[#Data],2,0),0)</f>
        <v>41.62</v>
      </c>
      <c r="AB38" s="69">
        <v>12</v>
      </c>
      <c r="AC38" s="69" t="s">
        <v>73</v>
      </c>
      <c r="AD38" s="70">
        <f>IFERROR(VLOOKUP(factures[[#This Row],[DT Analyses]],DT_analyses[#Data],2,0),0)</f>
        <v>36.99</v>
      </c>
      <c r="AE38" s="70">
        <f>IFERROR(factures[[#This Row],[Plvts ]]*factures[[#This Row],[Prix Analyses]],0)</f>
        <v>443.88</v>
      </c>
      <c r="AF38" s="70">
        <f>factures[[#This Row],[Prix Prestation Amiante 1]]+factures[[#This Row],[Prix Prestation Amiante 2]]+factures[[#This Row],[Prix Prestation Gaz]]+factures[[#This Row],[Prix analyses HT]]</f>
        <v>601.1</v>
      </c>
      <c r="AG38" s="69" t="s">
        <v>604</v>
      </c>
      <c r="AH38" s="86" t="s">
        <v>596</v>
      </c>
      <c r="AI38" s="69"/>
    </row>
    <row r="39" spans="1:35" ht="79.5" customHeight="1" x14ac:dyDescent="0.3">
      <c r="A39" s="92" t="s">
        <v>383</v>
      </c>
      <c r="B39" s="72">
        <v>78200</v>
      </c>
      <c r="C39" s="69" t="s">
        <v>189</v>
      </c>
      <c r="D39" s="69" t="s">
        <v>190</v>
      </c>
      <c r="E39" s="69">
        <v>301</v>
      </c>
      <c r="F39" s="69">
        <v>3</v>
      </c>
      <c r="G39" s="69">
        <v>3</v>
      </c>
      <c r="H39" s="69">
        <v>10443</v>
      </c>
      <c r="I39" s="69">
        <v>161</v>
      </c>
      <c r="J39" s="69" t="s">
        <v>245</v>
      </c>
      <c r="K39" s="69"/>
      <c r="L39" s="69" t="s">
        <v>384</v>
      </c>
      <c r="M39" s="71">
        <v>43507</v>
      </c>
      <c r="N39" s="69" t="s">
        <v>84</v>
      </c>
      <c r="O39" s="71">
        <v>43510</v>
      </c>
      <c r="P39" s="69" t="s">
        <v>131</v>
      </c>
      <c r="Q39" s="69" t="s">
        <v>77</v>
      </c>
      <c r="R39" s="73" t="s">
        <v>385</v>
      </c>
      <c r="S39" s="69">
        <v>925537</v>
      </c>
      <c r="T39" s="69"/>
      <c r="U39" s="69" t="s">
        <v>452</v>
      </c>
      <c r="V39" s="69" t="s">
        <v>55</v>
      </c>
      <c r="W39" s="70">
        <f>IFERROR(VLOOKUP(factures[[#This Row],[DT Prestation Amiante 1]],presta_amiante1[#Data],2,0),0)</f>
        <v>55.49</v>
      </c>
      <c r="X39" s="69" t="s">
        <v>53</v>
      </c>
      <c r="Y39" s="70">
        <f>IFERROR(VLOOKUP(factures[[#This Row],[DT Prestation Amiante 2]],presta_amiante2[#Data],2,0),0)</f>
        <v>60.11</v>
      </c>
      <c r="Z39" s="69" t="s">
        <v>61</v>
      </c>
      <c r="AA39" s="70">
        <f>IFERROR(VLOOKUP(factures[[#This Row],[DT Prestation Gaz]],presta_gaz[#Data],2,0),0)</f>
        <v>41.62</v>
      </c>
      <c r="AB39" s="69">
        <v>18</v>
      </c>
      <c r="AC39" s="69" t="s">
        <v>73</v>
      </c>
      <c r="AD39" s="70">
        <f>IFERROR(VLOOKUP(factures[[#This Row],[DT Analyses]],DT_analyses[#Data],2,0),0)</f>
        <v>36.99</v>
      </c>
      <c r="AE39" s="70">
        <f>IFERROR(factures[[#This Row],[Plvts ]]*factures[[#This Row],[Prix Analyses]],0)</f>
        <v>665.82</v>
      </c>
      <c r="AF39" s="70">
        <f>factures[[#This Row],[Prix Prestation Amiante 1]]+factures[[#This Row],[Prix Prestation Amiante 2]]+factures[[#This Row],[Prix Prestation Gaz]]+factures[[#This Row],[Prix analyses HT]]</f>
        <v>823.04000000000008</v>
      </c>
      <c r="AG39" s="69" t="s">
        <v>636</v>
      </c>
      <c r="AH39" s="86" t="s">
        <v>635</v>
      </c>
      <c r="AI39" s="69"/>
    </row>
    <row r="40" spans="1:35" ht="84" customHeight="1" x14ac:dyDescent="0.3">
      <c r="A40" s="92" t="s">
        <v>386</v>
      </c>
      <c r="B40" s="72">
        <v>78190</v>
      </c>
      <c r="C40" s="69" t="s">
        <v>387</v>
      </c>
      <c r="D40" s="69" t="s">
        <v>388</v>
      </c>
      <c r="E40" s="69">
        <v>2</v>
      </c>
      <c r="F40" s="69" t="s">
        <v>102</v>
      </c>
      <c r="G40" s="69">
        <v>4</v>
      </c>
      <c r="H40" s="69">
        <v>22199</v>
      </c>
      <c r="I40" s="69">
        <v>314</v>
      </c>
      <c r="J40" s="79" t="s">
        <v>389</v>
      </c>
      <c r="K40" s="69"/>
      <c r="L40" s="69" t="s">
        <v>390</v>
      </c>
      <c r="M40" s="71">
        <v>43507</v>
      </c>
      <c r="N40" s="69" t="s">
        <v>83</v>
      </c>
      <c r="O40" s="71">
        <v>43510</v>
      </c>
      <c r="P40" s="69" t="s">
        <v>130</v>
      </c>
      <c r="Q40" s="69" t="s">
        <v>77</v>
      </c>
      <c r="R40" s="73" t="s">
        <v>391</v>
      </c>
      <c r="S40" s="69">
        <v>925228</v>
      </c>
      <c r="T40" s="69"/>
      <c r="U40" s="69" t="s">
        <v>453</v>
      </c>
      <c r="V40" s="69" t="s">
        <v>55</v>
      </c>
      <c r="W40" s="70">
        <f>IFERROR(VLOOKUP(factures[[#This Row],[DT Prestation Amiante 1]],presta_amiante1[#Data],2,0),0)</f>
        <v>55.49</v>
      </c>
      <c r="X40" s="69" t="s">
        <v>54</v>
      </c>
      <c r="Y40" s="70">
        <f>IFERROR(VLOOKUP(factures[[#This Row],[DT Prestation Amiante 2]],presta_amiante2[#Data],2,0),0)</f>
        <v>69.36</v>
      </c>
      <c r="Z40" s="69"/>
      <c r="AA40" s="70">
        <f>IFERROR(VLOOKUP(factures[[#This Row],[DT Prestation Gaz]],presta_gaz[#Data],2,0),0)</f>
        <v>0</v>
      </c>
      <c r="AB40" s="69">
        <v>6</v>
      </c>
      <c r="AC40" s="69" t="s">
        <v>73</v>
      </c>
      <c r="AD40" s="70">
        <f>IFERROR(VLOOKUP(factures[[#This Row],[DT Analyses]],DT_analyses[#Data],2,0),0)</f>
        <v>36.99</v>
      </c>
      <c r="AE40" s="70">
        <f>IFERROR(factures[[#This Row],[Plvts ]]*factures[[#This Row],[Prix Analyses]],0)</f>
        <v>221.94</v>
      </c>
      <c r="AF40" s="70">
        <f>factures[[#This Row],[Prix Prestation Amiante 1]]+factures[[#This Row],[Prix Prestation Amiante 2]]+factures[[#This Row],[Prix Prestation Gaz]]+factures[[#This Row],[Prix analyses HT]]</f>
        <v>346.78999999999996</v>
      </c>
      <c r="AG40" s="69" t="s">
        <v>605</v>
      </c>
      <c r="AH40" s="86" t="s">
        <v>596</v>
      </c>
      <c r="AI40" s="69"/>
    </row>
    <row r="41" spans="1:35" ht="85.5" customHeight="1" x14ac:dyDescent="0.3">
      <c r="A41" s="92" t="s">
        <v>394</v>
      </c>
      <c r="B41" s="72">
        <v>78150</v>
      </c>
      <c r="C41" s="69" t="s">
        <v>395</v>
      </c>
      <c r="D41" s="69" t="s">
        <v>396</v>
      </c>
      <c r="E41" s="69">
        <v>302</v>
      </c>
      <c r="F41" s="69">
        <v>3</v>
      </c>
      <c r="G41" s="69">
        <v>3</v>
      </c>
      <c r="H41" s="69">
        <v>9635</v>
      </c>
      <c r="I41" s="69">
        <v>146</v>
      </c>
      <c r="J41" s="69" t="s">
        <v>392</v>
      </c>
      <c r="K41" s="69"/>
      <c r="L41" s="69" t="s">
        <v>393</v>
      </c>
      <c r="M41" s="71">
        <v>43508</v>
      </c>
      <c r="N41" s="69" t="s">
        <v>83</v>
      </c>
      <c r="O41" s="71">
        <v>43510</v>
      </c>
      <c r="P41" s="69" t="s">
        <v>416</v>
      </c>
      <c r="Q41" s="69" t="s">
        <v>77</v>
      </c>
      <c r="R41" s="73" t="s">
        <v>397</v>
      </c>
      <c r="S41" s="69">
        <v>926546</v>
      </c>
      <c r="T41" s="69"/>
      <c r="U41" s="69" t="s">
        <v>454</v>
      </c>
      <c r="V41" s="69" t="s">
        <v>55</v>
      </c>
      <c r="W41" s="70">
        <f>IFERROR(VLOOKUP(factures[[#This Row],[DT Prestation Amiante 1]],presta_amiante1[#Data],2,0),0)</f>
        <v>55.49</v>
      </c>
      <c r="X41" s="69" t="s">
        <v>53</v>
      </c>
      <c r="Y41" s="70">
        <f>IFERROR(VLOOKUP(factures[[#This Row],[DT Prestation Amiante 2]],presta_amiante2[#Data],2,0),0)</f>
        <v>60.11</v>
      </c>
      <c r="Z41" s="69"/>
      <c r="AA41" s="70">
        <f>IFERROR(VLOOKUP(factures[[#This Row],[DT Prestation Gaz]],presta_gaz[#Data],2,0),0)</f>
        <v>0</v>
      </c>
      <c r="AB41" s="69">
        <v>1</v>
      </c>
      <c r="AC41" s="69" t="s">
        <v>73</v>
      </c>
      <c r="AD41" s="70">
        <f>IFERROR(VLOOKUP(factures[[#This Row],[DT Analyses]],DT_analyses[#Data],2,0),0)</f>
        <v>36.99</v>
      </c>
      <c r="AE41" s="70">
        <f>IFERROR(factures[[#This Row],[Plvts ]]*factures[[#This Row],[Prix Analyses]],0)</f>
        <v>36.99</v>
      </c>
      <c r="AF41" s="70">
        <f>factures[[#This Row],[Prix Prestation Amiante 1]]+factures[[#This Row],[Prix Prestation Amiante 2]]+factures[[#This Row],[Prix Prestation Gaz]]+factures[[#This Row],[Prix analyses HT]]</f>
        <v>152.59</v>
      </c>
      <c r="AG41" s="69" t="s">
        <v>606</v>
      </c>
      <c r="AH41" s="86" t="s">
        <v>596</v>
      </c>
      <c r="AI41" s="69"/>
    </row>
    <row r="42" spans="1:35" ht="82.5" customHeight="1" x14ac:dyDescent="0.3">
      <c r="A42" s="92" t="s">
        <v>409</v>
      </c>
      <c r="B42" s="72">
        <v>78540</v>
      </c>
      <c r="C42" s="69" t="s">
        <v>351</v>
      </c>
      <c r="D42" s="69" t="s">
        <v>410</v>
      </c>
      <c r="E42" s="69">
        <v>101</v>
      </c>
      <c r="F42" s="69">
        <v>1</v>
      </c>
      <c r="G42" s="69">
        <v>4</v>
      </c>
      <c r="H42" s="69">
        <v>38715</v>
      </c>
      <c r="I42" s="69">
        <v>767</v>
      </c>
      <c r="J42" s="69" t="s">
        <v>411</v>
      </c>
      <c r="K42" s="69"/>
      <c r="L42" s="69" t="s">
        <v>412</v>
      </c>
      <c r="M42" s="71">
        <v>43509</v>
      </c>
      <c r="N42" s="69" t="s">
        <v>84</v>
      </c>
      <c r="O42" s="71">
        <v>43510</v>
      </c>
      <c r="P42" s="69" t="s">
        <v>129</v>
      </c>
      <c r="Q42" s="69" t="s">
        <v>77</v>
      </c>
      <c r="R42" s="73" t="s">
        <v>413</v>
      </c>
      <c r="S42" s="69">
        <v>925736</v>
      </c>
      <c r="T42" s="69"/>
      <c r="U42" s="69" t="s">
        <v>455</v>
      </c>
      <c r="V42" s="69" t="s">
        <v>55</v>
      </c>
      <c r="W42" s="70">
        <f>IFERROR(VLOOKUP(factures[[#This Row],[DT Prestation Amiante 1]],presta_amiante1[#Data],2,0),0)</f>
        <v>55.49</v>
      </c>
      <c r="X42" s="69" t="s">
        <v>54</v>
      </c>
      <c r="Y42" s="70">
        <f>IFERROR(VLOOKUP(factures[[#This Row],[DT Prestation Amiante 2]],presta_amiante2[#Data],2,0),0)</f>
        <v>69.36</v>
      </c>
      <c r="Z42" s="69" t="s">
        <v>62</v>
      </c>
      <c r="AA42" s="70">
        <f>IFERROR(VLOOKUP(factures[[#This Row],[DT Prestation Gaz]],presta_gaz[#Data],2,0),0)</f>
        <v>49.01</v>
      </c>
      <c r="AB42" s="69">
        <v>7</v>
      </c>
      <c r="AC42" s="69" t="s">
        <v>73</v>
      </c>
      <c r="AD42" s="70">
        <f>IFERROR(VLOOKUP(factures[[#This Row],[DT Analyses]],DT_analyses[#Data],2,0),0)</f>
        <v>36.99</v>
      </c>
      <c r="AE42" s="70">
        <f>IFERROR(factures[[#This Row],[Plvts ]]*factures[[#This Row],[Prix Analyses]],0)</f>
        <v>258.93</v>
      </c>
      <c r="AF42" s="70">
        <f>factures[[#This Row],[Prix Prestation Amiante 1]]+factures[[#This Row],[Prix Prestation Amiante 2]]+factures[[#This Row],[Prix Prestation Gaz]]+factures[[#This Row],[Prix analyses HT]]</f>
        <v>432.78999999999996</v>
      </c>
      <c r="AG42" s="69" t="s">
        <v>491</v>
      </c>
      <c r="AH42" s="86" t="s">
        <v>486</v>
      </c>
      <c r="AI42" s="69"/>
    </row>
    <row r="43" spans="1:35" ht="47.25" customHeight="1" x14ac:dyDescent="0.3">
      <c r="A43" s="92" t="s">
        <v>378</v>
      </c>
      <c r="B43" s="72">
        <v>94200</v>
      </c>
      <c r="C43" s="69" t="s">
        <v>379</v>
      </c>
      <c r="D43" s="69" t="s">
        <v>209</v>
      </c>
      <c r="E43" s="69">
        <v>1002</v>
      </c>
      <c r="F43" s="69">
        <v>10</v>
      </c>
      <c r="G43" s="69">
        <v>3</v>
      </c>
      <c r="H43" s="69">
        <v>9028</v>
      </c>
      <c r="I43" s="69">
        <v>130</v>
      </c>
      <c r="J43" s="84" t="s">
        <v>382</v>
      </c>
      <c r="K43" s="69"/>
      <c r="L43" s="69" t="s">
        <v>380</v>
      </c>
      <c r="M43" s="71">
        <v>43507</v>
      </c>
      <c r="N43" s="69" t="s">
        <v>70</v>
      </c>
      <c r="O43" s="71">
        <v>43511</v>
      </c>
      <c r="P43" s="69">
        <v>9</v>
      </c>
      <c r="Q43" s="69" t="s">
        <v>77</v>
      </c>
      <c r="R43" s="73" t="s">
        <v>381</v>
      </c>
      <c r="S43" s="69">
        <v>926273</v>
      </c>
      <c r="T43" s="69"/>
      <c r="U43" s="69" t="s">
        <v>456</v>
      </c>
      <c r="V43" s="69" t="s">
        <v>53</v>
      </c>
      <c r="W43" s="70">
        <f>IFERROR(VLOOKUP(factures[[#This Row],[DT Prestation Amiante 1]],presta_amiante1[#Data],2,0),0)</f>
        <v>60.11</v>
      </c>
      <c r="X43" s="69"/>
      <c r="Y43" s="70">
        <f>IFERROR(VLOOKUP(factures[[#This Row],[DT Prestation Amiante 2]],presta_amiante2[#Data],2,0),0)</f>
        <v>0</v>
      </c>
      <c r="Z43" s="69"/>
      <c r="AA43" s="70">
        <f>IFERROR(VLOOKUP(factures[[#This Row],[DT Prestation Gaz]],presta_gaz[#Data],2,0),0)</f>
        <v>0</v>
      </c>
      <c r="AB43" s="69">
        <v>6</v>
      </c>
      <c r="AC43" s="69" t="s">
        <v>73</v>
      </c>
      <c r="AD43" s="70">
        <f>IFERROR(VLOOKUP(factures[[#This Row],[DT Analyses]],DT_analyses[#Data],2,0),0)</f>
        <v>36.99</v>
      </c>
      <c r="AE43" s="70">
        <f>IFERROR(factures[[#This Row],[Plvts ]]*factures[[#This Row],[Prix Analyses]],0)</f>
        <v>221.94</v>
      </c>
      <c r="AF43" s="70">
        <f>factures[[#This Row],[Prix Prestation Amiante 1]]+factures[[#This Row],[Prix Prestation Amiante 2]]+factures[[#This Row],[Prix Prestation Gaz]]+factures[[#This Row],[Prix analyses HT]]</f>
        <v>282.05</v>
      </c>
      <c r="AG43" s="69" t="s">
        <v>520</v>
      </c>
      <c r="AH43" s="86" t="s">
        <v>521</v>
      </c>
      <c r="AI43" s="69"/>
    </row>
    <row r="44" spans="1:35" ht="97.5" customHeight="1" x14ac:dyDescent="0.3">
      <c r="A44" s="92" t="s">
        <v>417</v>
      </c>
      <c r="B44" s="72">
        <v>92220</v>
      </c>
      <c r="C44" s="69" t="s">
        <v>418</v>
      </c>
      <c r="D44" s="69" t="s">
        <v>419</v>
      </c>
      <c r="E44" s="69">
        <v>302</v>
      </c>
      <c r="F44" s="69">
        <v>3</v>
      </c>
      <c r="G44" s="69">
        <v>4</v>
      </c>
      <c r="H44" s="69">
        <v>51791</v>
      </c>
      <c r="I44" s="69">
        <v>9152</v>
      </c>
      <c r="J44" s="69" t="s">
        <v>327</v>
      </c>
      <c r="K44" s="69"/>
      <c r="L44" s="69" t="s">
        <v>420</v>
      </c>
      <c r="M44" s="71">
        <v>43510</v>
      </c>
      <c r="N44" s="69" t="s">
        <v>70</v>
      </c>
      <c r="O44" s="71">
        <v>43511</v>
      </c>
      <c r="P44" s="69">
        <v>10</v>
      </c>
      <c r="Q44" s="69" t="s">
        <v>77</v>
      </c>
      <c r="R44" s="73" t="s">
        <v>421</v>
      </c>
      <c r="S44" s="69">
        <v>926053</v>
      </c>
      <c r="T44" s="69"/>
      <c r="U44" s="69" t="s">
        <v>457</v>
      </c>
      <c r="V44" s="69" t="s">
        <v>54</v>
      </c>
      <c r="W44" s="70">
        <f>IFERROR(VLOOKUP(factures[[#This Row],[DT Prestation Amiante 1]],presta_amiante1[#Data],2,0),0)</f>
        <v>69.36</v>
      </c>
      <c r="X44" s="69"/>
      <c r="Y44" s="70">
        <f>IFERROR(VLOOKUP(factures[[#This Row],[DT Prestation Amiante 2]],presta_amiante2[#Data],2,0),0)</f>
        <v>0</v>
      </c>
      <c r="Z44" s="69"/>
      <c r="AA44" s="70">
        <f>IFERROR(VLOOKUP(factures[[#This Row],[DT Prestation Gaz]],presta_gaz[#Data],2,0),0)</f>
        <v>0</v>
      </c>
      <c r="AB44" s="69">
        <v>1</v>
      </c>
      <c r="AC44" s="69" t="s">
        <v>73</v>
      </c>
      <c r="AD44" s="70">
        <f>IFERROR(VLOOKUP(factures[[#This Row],[DT Analyses]],DT_analyses[#Data],2,0),0)</f>
        <v>36.99</v>
      </c>
      <c r="AE44" s="70">
        <f>IFERROR(factures[[#This Row],[Plvts ]]*factures[[#This Row],[Prix Analyses]],0)</f>
        <v>36.99</v>
      </c>
      <c r="AF44" s="70">
        <f>factures[[#This Row],[Prix Prestation Amiante 1]]+factures[[#This Row],[Prix Prestation Amiante 2]]+factures[[#This Row],[Prix Prestation Gaz]]+factures[[#This Row],[Prix analyses HT]]</f>
        <v>106.35</v>
      </c>
      <c r="AG44" s="69" t="s">
        <v>920</v>
      </c>
      <c r="AH44" s="86" t="s">
        <v>900</v>
      </c>
      <c r="AI44" s="69"/>
    </row>
    <row r="45" spans="1:35" ht="48" x14ac:dyDescent="0.3">
      <c r="A45" s="92" t="s">
        <v>434</v>
      </c>
      <c r="B45" s="72">
        <v>92170</v>
      </c>
      <c r="C45" s="69" t="s">
        <v>435</v>
      </c>
      <c r="D45" s="69" t="s">
        <v>436</v>
      </c>
      <c r="E45" s="69"/>
      <c r="F45" s="69"/>
      <c r="G45" s="69"/>
      <c r="H45" s="69"/>
      <c r="I45" s="69">
        <v>315</v>
      </c>
      <c r="J45" s="69" t="s">
        <v>462</v>
      </c>
      <c r="K45" s="69"/>
      <c r="L45" s="69"/>
      <c r="M45" s="71"/>
      <c r="N45" s="69" t="s">
        <v>70</v>
      </c>
      <c r="O45" s="71">
        <v>43514</v>
      </c>
      <c r="P45" s="69" t="s">
        <v>294</v>
      </c>
      <c r="Q45" s="69" t="s">
        <v>77</v>
      </c>
      <c r="R45" s="73" t="s">
        <v>423</v>
      </c>
      <c r="S45" s="69">
        <v>914865</v>
      </c>
      <c r="T45" s="69"/>
      <c r="U45" s="69" t="s">
        <v>475</v>
      </c>
      <c r="V45" s="69" t="s">
        <v>53</v>
      </c>
      <c r="W45" s="70">
        <f>IFERROR(VLOOKUP(factures[[#This Row],[DT Prestation Amiante 1]],presta_amiante1[#Data],2,0),0)</f>
        <v>60.11</v>
      </c>
      <c r="X45" s="69"/>
      <c r="Y45" s="70">
        <f>IFERROR(VLOOKUP(factures[[#This Row],[DT Prestation Amiante 2]],presta_amiante2[#Data],2,0),0)</f>
        <v>0</v>
      </c>
      <c r="Z45" s="69"/>
      <c r="AA45" s="70">
        <f>IFERROR(VLOOKUP(factures[[#This Row],[DT Prestation Gaz]],presta_gaz[#Data],2,0),0)</f>
        <v>0</v>
      </c>
      <c r="AB45" s="69">
        <v>2</v>
      </c>
      <c r="AC45" s="69" t="s">
        <v>73</v>
      </c>
      <c r="AD45" s="70">
        <f>IFERROR(VLOOKUP(factures[[#This Row],[DT Analyses]],DT_analyses[#Data],2,0),0)</f>
        <v>36.99</v>
      </c>
      <c r="AE45" s="70">
        <f>IFERROR(factures[[#This Row],[Plvts ]]*factures[[#This Row],[Prix Analyses]],0)</f>
        <v>73.98</v>
      </c>
      <c r="AF45" s="70">
        <f>factures[[#This Row],[Prix Prestation Amiante 1]]+factures[[#This Row],[Prix Prestation Amiante 2]]+factures[[#This Row],[Prix Prestation Gaz]]+factures[[#This Row],[Prix analyses HT]]</f>
        <v>134.09</v>
      </c>
      <c r="AG45" s="69" t="s">
        <v>707</v>
      </c>
      <c r="AH45" s="86" t="s">
        <v>704</v>
      </c>
      <c r="AI45" s="69"/>
    </row>
    <row r="46" spans="1:35" ht="36" x14ac:dyDescent="0.3">
      <c r="A46" s="92" t="s">
        <v>441</v>
      </c>
      <c r="B46" s="72">
        <v>92</v>
      </c>
      <c r="C46" s="69" t="s">
        <v>202</v>
      </c>
      <c r="D46" s="69" t="s">
        <v>442</v>
      </c>
      <c r="E46" s="69"/>
      <c r="F46" s="69"/>
      <c r="G46" s="69"/>
      <c r="H46" s="69"/>
      <c r="I46" s="69">
        <v>194</v>
      </c>
      <c r="J46" s="69" t="s">
        <v>2264</v>
      </c>
      <c r="K46" s="69"/>
      <c r="L46" s="69"/>
      <c r="M46" s="71"/>
      <c r="N46" s="69" t="s">
        <v>70</v>
      </c>
      <c r="O46" s="71">
        <v>43514</v>
      </c>
      <c r="P46" s="69" t="s">
        <v>294</v>
      </c>
      <c r="Q46" s="69" t="s">
        <v>77</v>
      </c>
      <c r="R46" s="73" t="s">
        <v>423</v>
      </c>
      <c r="S46" s="69">
        <v>914907</v>
      </c>
      <c r="T46" s="69"/>
      <c r="U46" s="69" t="s">
        <v>474</v>
      </c>
      <c r="V46" s="69" t="s">
        <v>53</v>
      </c>
      <c r="W46" s="70">
        <f>IFERROR(VLOOKUP(factures[[#This Row],[DT Prestation Amiante 1]],presta_amiante1[#Data],2,0),0)</f>
        <v>60.11</v>
      </c>
      <c r="X46" s="69"/>
      <c r="Y46" s="70">
        <f>IFERROR(VLOOKUP(factures[[#This Row],[DT Prestation Amiante 2]],presta_amiante2[#Data],2,0),0)</f>
        <v>0</v>
      </c>
      <c r="Z46" s="69"/>
      <c r="AA46" s="70">
        <f>IFERROR(VLOOKUP(factures[[#This Row],[DT Prestation Gaz]],presta_gaz[#Data],2,0),0)</f>
        <v>0</v>
      </c>
      <c r="AB46" s="69">
        <v>2</v>
      </c>
      <c r="AC46" s="69" t="s">
        <v>73</v>
      </c>
      <c r="AD46" s="70">
        <f>IFERROR(VLOOKUP(factures[[#This Row],[DT Analyses]],DT_analyses[#Data],2,0),0)</f>
        <v>36.99</v>
      </c>
      <c r="AE46" s="70">
        <f>IFERROR(factures[[#This Row],[Plvts ]]*factures[[#This Row],[Prix Analyses]],0)</f>
        <v>73.98</v>
      </c>
      <c r="AF46" s="70">
        <f>factures[[#This Row],[Prix Prestation Amiante 1]]+factures[[#This Row],[Prix Prestation Amiante 2]]+factures[[#This Row],[Prix Prestation Gaz]]+factures[[#This Row],[Prix analyses HT]]</f>
        <v>134.09</v>
      </c>
      <c r="AG46" s="69" t="s">
        <v>710</v>
      </c>
      <c r="AH46" s="86" t="s">
        <v>704</v>
      </c>
      <c r="AI46" s="69"/>
    </row>
    <row r="47" spans="1:35" ht="48" customHeight="1" x14ac:dyDescent="0.3">
      <c r="A47" s="92" t="s">
        <v>437</v>
      </c>
      <c r="B47" s="72">
        <v>78</v>
      </c>
      <c r="C47" s="69" t="s">
        <v>1082</v>
      </c>
      <c r="D47" s="69" t="s">
        <v>438</v>
      </c>
      <c r="E47" s="69"/>
      <c r="F47" s="69"/>
      <c r="G47" s="69"/>
      <c r="H47" s="69"/>
      <c r="I47" s="69">
        <v>815</v>
      </c>
      <c r="J47" s="69" t="s">
        <v>470</v>
      </c>
      <c r="K47" s="69"/>
      <c r="L47" s="69"/>
      <c r="M47" s="71"/>
      <c r="N47" s="69" t="s">
        <v>70</v>
      </c>
      <c r="O47" s="71">
        <v>43515</v>
      </c>
      <c r="P47" s="87">
        <v>0.45833333333333331</v>
      </c>
      <c r="Q47" s="69" t="s">
        <v>77</v>
      </c>
      <c r="R47" s="73" t="s">
        <v>423</v>
      </c>
      <c r="S47" s="69">
        <v>915276</v>
      </c>
      <c r="T47" s="69"/>
      <c r="U47" s="69" t="s">
        <v>476</v>
      </c>
      <c r="V47" s="69" t="s">
        <v>53</v>
      </c>
      <c r="W47" s="70">
        <f>IFERROR(VLOOKUP(factures[[#This Row],[DT Prestation Amiante 1]],presta_amiante1[#Data],2,0),0)</f>
        <v>60.11</v>
      </c>
      <c r="X47" s="69"/>
      <c r="Y47" s="70">
        <f>IFERROR(VLOOKUP(factures[[#This Row],[DT Prestation Amiante 2]],presta_amiante2[#Data],2,0),0)</f>
        <v>0</v>
      </c>
      <c r="Z47" s="69"/>
      <c r="AA47" s="70">
        <f>IFERROR(VLOOKUP(factures[[#This Row],[DT Prestation Gaz]],presta_gaz[#Data],2,0),0)</f>
        <v>0</v>
      </c>
      <c r="AB47" s="69">
        <v>3</v>
      </c>
      <c r="AC47" s="69" t="s">
        <v>73</v>
      </c>
      <c r="AD47" s="70">
        <f>IFERROR(VLOOKUP(factures[[#This Row],[DT Analyses]],DT_analyses[#Data],2,0),0)</f>
        <v>36.99</v>
      </c>
      <c r="AE47" s="70">
        <f>IFERROR(factures[[#This Row],[Plvts ]]*factures[[#This Row],[Prix Analyses]],0)</f>
        <v>110.97</v>
      </c>
      <c r="AF47" s="70">
        <f>factures[[#This Row],[Prix Prestation Amiante 1]]+factures[[#This Row],[Prix Prestation Amiante 2]]+factures[[#This Row],[Prix Prestation Gaz]]+factures[[#This Row],[Prix analyses HT]]</f>
        <v>171.07999999999998</v>
      </c>
      <c r="AG47" s="69" t="s">
        <v>708</v>
      </c>
      <c r="AH47" s="86" t="s">
        <v>704</v>
      </c>
      <c r="AI47" s="69"/>
    </row>
    <row r="48" spans="1:35" ht="49.5" customHeight="1" x14ac:dyDescent="0.3">
      <c r="A48" s="92" t="s">
        <v>461</v>
      </c>
      <c r="B48" s="72">
        <v>78540</v>
      </c>
      <c r="C48" s="69" t="s">
        <v>351</v>
      </c>
      <c r="D48" s="69" t="s">
        <v>460</v>
      </c>
      <c r="E48" s="69">
        <v>2</v>
      </c>
      <c r="F48" s="69" t="s">
        <v>102</v>
      </c>
      <c r="G48" s="69">
        <v>3</v>
      </c>
      <c r="H48" s="69">
        <v>53219</v>
      </c>
      <c r="I48" s="69">
        <v>9700</v>
      </c>
      <c r="J48" s="69" t="s">
        <v>411</v>
      </c>
      <c r="K48" s="69"/>
      <c r="L48" s="69" t="s">
        <v>458</v>
      </c>
      <c r="M48" s="71"/>
      <c r="N48" s="69" t="s">
        <v>84</v>
      </c>
      <c r="O48" s="71">
        <v>43515</v>
      </c>
      <c r="P48" s="87">
        <v>0.38541666666666669</v>
      </c>
      <c r="Q48" s="69" t="s">
        <v>77</v>
      </c>
      <c r="R48" s="73" t="s">
        <v>459</v>
      </c>
      <c r="S48" s="69">
        <v>927513</v>
      </c>
      <c r="T48" s="69"/>
      <c r="U48" s="69" t="s">
        <v>477</v>
      </c>
      <c r="V48" s="69" t="s">
        <v>55</v>
      </c>
      <c r="W48" s="70">
        <f>IFERROR(VLOOKUP(factures[[#This Row],[DT Prestation Amiante 1]],presta_amiante1[#Data],2,0),0)</f>
        <v>55.49</v>
      </c>
      <c r="X48" s="69" t="s">
        <v>53</v>
      </c>
      <c r="Y48" s="70">
        <f>IFERROR(VLOOKUP(factures[[#This Row],[DT Prestation Amiante 2]],presta_amiante2[#Data],2,0),0)</f>
        <v>60.11</v>
      </c>
      <c r="Z48" s="69" t="s">
        <v>61</v>
      </c>
      <c r="AA48" s="70">
        <f>IFERROR(VLOOKUP(factures[[#This Row],[DT Prestation Gaz]],presta_gaz[#Data],2,0),0)</f>
        <v>41.62</v>
      </c>
      <c r="AB48" s="69">
        <v>11</v>
      </c>
      <c r="AC48" s="69" t="s">
        <v>73</v>
      </c>
      <c r="AD48" s="70">
        <f>IFERROR(VLOOKUP(factures[[#This Row],[DT Analyses]],DT_analyses[#Data],2,0),0)</f>
        <v>36.99</v>
      </c>
      <c r="AE48" s="70">
        <f>IFERROR(factures[[#This Row],[Plvts ]]*factures[[#This Row],[Prix Analyses]],0)</f>
        <v>406.89000000000004</v>
      </c>
      <c r="AF48" s="70">
        <f>factures[[#This Row],[Prix Prestation Amiante 1]]+factures[[#This Row],[Prix Prestation Amiante 2]]+factures[[#This Row],[Prix Prestation Gaz]]+factures[[#This Row],[Prix analyses HT]]</f>
        <v>564.11</v>
      </c>
      <c r="AG48" s="69" t="s">
        <v>607</v>
      </c>
      <c r="AH48" s="86" t="s">
        <v>596</v>
      </c>
      <c r="AI48" s="69"/>
    </row>
    <row r="49" spans="1:35" ht="36" x14ac:dyDescent="0.3">
      <c r="A49" s="92" t="s">
        <v>426</v>
      </c>
      <c r="B49" s="72">
        <v>77</v>
      </c>
      <c r="C49" s="69" t="s">
        <v>427</v>
      </c>
      <c r="D49" s="69" t="s">
        <v>428</v>
      </c>
      <c r="E49" s="69"/>
      <c r="F49" s="69"/>
      <c r="G49" s="69"/>
      <c r="H49" s="69"/>
      <c r="I49" s="69">
        <v>367</v>
      </c>
      <c r="J49" s="69" t="s">
        <v>472</v>
      </c>
      <c r="K49" s="81"/>
      <c r="L49" s="69"/>
      <c r="M49" s="71"/>
      <c r="N49" s="69" t="s">
        <v>70</v>
      </c>
      <c r="O49" s="71">
        <v>43516</v>
      </c>
      <c r="P49" s="87">
        <v>0.47916666666666669</v>
      </c>
      <c r="Q49" s="69" t="s">
        <v>77</v>
      </c>
      <c r="R49" s="73" t="s">
        <v>423</v>
      </c>
      <c r="S49" s="69">
        <v>915339</v>
      </c>
      <c r="T49" s="69"/>
      <c r="U49" s="69" t="s">
        <v>492</v>
      </c>
      <c r="V49" s="69" t="s">
        <v>53</v>
      </c>
      <c r="W49" s="70">
        <f>IFERROR(VLOOKUP(factures[[#This Row],[DT Prestation Amiante 1]],presta_amiante1[#Data],2,0),0)</f>
        <v>60.11</v>
      </c>
      <c r="X49" s="69"/>
      <c r="Y49" s="70">
        <f>IFERROR(VLOOKUP(factures[[#This Row],[DT Prestation Amiante 2]],presta_amiante2[#Data],2,0),0)</f>
        <v>0</v>
      </c>
      <c r="Z49" s="69"/>
      <c r="AA49" s="70">
        <f>IFERROR(VLOOKUP(factures[[#This Row],[DT Prestation Gaz]],presta_gaz[#Data],2,0),0)</f>
        <v>0</v>
      </c>
      <c r="AB49" s="69">
        <v>2</v>
      </c>
      <c r="AC49" s="69" t="s">
        <v>73</v>
      </c>
      <c r="AD49" s="70">
        <f>IFERROR(VLOOKUP(factures[[#This Row],[DT Analyses]],DT_analyses[#Data],2,0),0)</f>
        <v>36.99</v>
      </c>
      <c r="AE49" s="70">
        <f>IFERROR(factures[[#This Row],[Plvts ]]*factures[[#This Row],[Prix Analyses]],0)</f>
        <v>73.98</v>
      </c>
      <c r="AF49" s="70">
        <f>factures[[#This Row],[Prix Prestation Amiante 1]]+factures[[#This Row],[Prix Prestation Amiante 2]]+factures[[#This Row],[Prix Prestation Gaz]]+factures[[#This Row],[Prix analyses HT]]</f>
        <v>134.09</v>
      </c>
      <c r="AG49" s="69" t="s">
        <v>703</v>
      </c>
      <c r="AH49" s="86" t="s">
        <v>704</v>
      </c>
      <c r="AI49" s="69"/>
    </row>
    <row r="50" spans="1:35" ht="36" x14ac:dyDescent="0.3">
      <c r="A50" s="92" t="s">
        <v>469</v>
      </c>
      <c r="B50" s="72">
        <v>77</v>
      </c>
      <c r="C50" s="69" t="s">
        <v>467</v>
      </c>
      <c r="D50" s="69" t="s">
        <v>431</v>
      </c>
      <c r="E50" s="69"/>
      <c r="F50" s="69"/>
      <c r="G50" s="69"/>
      <c r="H50" s="69"/>
      <c r="I50" s="69">
        <v>504</v>
      </c>
      <c r="J50" s="69" t="s">
        <v>471</v>
      </c>
      <c r="K50" s="69"/>
      <c r="L50" s="69"/>
      <c r="M50" s="71"/>
      <c r="N50" s="69" t="s">
        <v>70</v>
      </c>
      <c r="O50" s="71"/>
      <c r="P50" s="69">
        <v>1030</v>
      </c>
      <c r="Q50" s="69" t="s">
        <v>77</v>
      </c>
      <c r="R50" s="73" t="s">
        <v>423</v>
      </c>
      <c r="S50" s="69">
        <v>915346</v>
      </c>
      <c r="T50" s="69"/>
      <c r="U50" s="69" t="s">
        <v>493</v>
      </c>
      <c r="V50" s="69" t="s">
        <v>53</v>
      </c>
      <c r="W50" s="70">
        <f>IFERROR(VLOOKUP(factures[[#This Row],[DT Prestation Amiante 1]],presta_amiante1[#Data],2,0),0)</f>
        <v>60.11</v>
      </c>
      <c r="X50" s="69"/>
      <c r="Y50" s="70">
        <f>IFERROR(VLOOKUP(factures[[#This Row],[DT Prestation Amiante 2]],presta_amiante2[#Data],2,0),0)</f>
        <v>0</v>
      </c>
      <c r="Z50" s="69"/>
      <c r="AA50" s="70">
        <f>IFERROR(VLOOKUP(factures[[#This Row],[DT Prestation Gaz]],presta_gaz[#Data],2,0),0)</f>
        <v>0</v>
      </c>
      <c r="AB50" s="69">
        <v>2</v>
      </c>
      <c r="AC50" s="69" t="s">
        <v>73</v>
      </c>
      <c r="AD50" s="70">
        <f>IFERROR(VLOOKUP(factures[[#This Row],[DT Analyses]],DT_analyses[#Data],2,0),0)</f>
        <v>36.99</v>
      </c>
      <c r="AE50" s="70">
        <f>IFERROR(factures[[#This Row],[Plvts ]]*factures[[#This Row],[Prix Analyses]],0)</f>
        <v>73.98</v>
      </c>
      <c r="AF50" s="70">
        <f>factures[[#This Row],[Prix Prestation Amiante 1]]+factures[[#This Row],[Prix Prestation Amiante 2]]+factures[[#This Row],[Prix Prestation Gaz]]+factures[[#This Row],[Prix analyses HT]]</f>
        <v>134.09</v>
      </c>
      <c r="AG50" s="69" t="s">
        <v>705</v>
      </c>
      <c r="AH50" s="86" t="s">
        <v>704</v>
      </c>
      <c r="AI50" s="69"/>
    </row>
    <row r="51" spans="1:35" ht="36" x14ac:dyDescent="0.3">
      <c r="A51" s="92" t="s">
        <v>432</v>
      </c>
      <c r="B51" s="72">
        <v>77186</v>
      </c>
      <c r="C51" s="69" t="s">
        <v>468</v>
      </c>
      <c r="D51" s="69" t="s">
        <v>433</v>
      </c>
      <c r="E51" s="69"/>
      <c r="F51" s="69"/>
      <c r="G51" s="69"/>
      <c r="H51" s="69"/>
      <c r="I51" s="69">
        <v>407</v>
      </c>
      <c r="J51" s="69" t="s">
        <v>473</v>
      </c>
      <c r="K51" s="69"/>
      <c r="L51" s="69"/>
      <c r="M51" s="71"/>
      <c r="N51" s="69" t="s">
        <v>70</v>
      </c>
      <c r="O51" s="71">
        <v>43516</v>
      </c>
      <c r="P51" s="87">
        <v>0.39583333333333331</v>
      </c>
      <c r="Q51" s="69" t="s">
        <v>77</v>
      </c>
      <c r="R51" s="73" t="s">
        <v>423</v>
      </c>
      <c r="S51" s="69">
        <v>915328</v>
      </c>
      <c r="T51" s="69"/>
      <c r="U51" s="69" t="s">
        <v>494</v>
      </c>
      <c r="V51" s="69" t="s">
        <v>53</v>
      </c>
      <c r="W51" s="70">
        <f>IFERROR(VLOOKUP(factures[[#This Row],[DT Prestation Amiante 1]],presta_amiante1[#Data],2,0),0)</f>
        <v>60.11</v>
      </c>
      <c r="X51" s="69"/>
      <c r="Y51" s="70">
        <f>IFERROR(VLOOKUP(factures[[#This Row],[DT Prestation Amiante 2]],presta_amiante2[#Data],2,0),0)</f>
        <v>0</v>
      </c>
      <c r="Z51" s="69"/>
      <c r="AA51" s="70">
        <f>IFERROR(VLOOKUP(factures[[#This Row],[DT Prestation Gaz]],presta_gaz[#Data],2,0),0)</f>
        <v>0</v>
      </c>
      <c r="AB51" s="69">
        <v>2</v>
      </c>
      <c r="AC51" s="69" t="s">
        <v>73</v>
      </c>
      <c r="AD51" s="70">
        <f>IFERROR(VLOOKUP(factures[[#This Row],[DT Analyses]],DT_analyses[#Data],2,0),0)</f>
        <v>36.99</v>
      </c>
      <c r="AE51" s="70">
        <f>IFERROR(factures[[#This Row],[Plvts ]]*factures[[#This Row],[Prix Analyses]],0)</f>
        <v>73.98</v>
      </c>
      <c r="AF51" s="70">
        <f>factures[[#This Row],[Prix Prestation Amiante 1]]+factures[[#This Row],[Prix Prestation Amiante 2]]+factures[[#This Row],[Prix Prestation Gaz]]+factures[[#This Row],[Prix analyses HT]]</f>
        <v>134.09</v>
      </c>
      <c r="AG51" s="69" t="s">
        <v>706</v>
      </c>
      <c r="AH51" s="86" t="s">
        <v>704</v>
      </c>
      <c r="AI51" s="69"/>
    </row>
    <row r="52" spans="1:35" ht="36" x14ac:dyDescent="0.3">
      <c r="A52" s="92" t="s">
        <v>345</v>
      </c>
      <c r="B52" s="69">
        <v>78800</v>
      </c>
      <c r="C52" s="69" t="s">
        <v>346</v>
      </c>
      <c r="D52" s="69" t="s">
        <v>347</v>
      </c>
      <c r="E52" s="69">
        <v>301</v>
      </c>
      <c r="F52" s="69">
        <v>3</v>
      </c>
      <c r="G52" s="69">
        <v>3</v>
      </c>
      <c r="H52" s="69">
        <v>8566</v>
      </c>
      <c r="I52" s="69">
        <v>122</v>
      </c>
      <c r="J52" s="82" t="s">
        <v>125</v>
      </c>
      <c r="K52" s="69"/>
      <c r="L52" s="69" t="s">
        <v>348</v>
      </c>
      <c r="M52" s="71">
        <v>43502</v>
      </c>
      <c r="N52" s="69" t="s">
        <v>83</v>
      </c>
      <c r="O52" s="71">
        <v>43518</v>
      </c>
      <c r="P52" s="69"/>
      <c r="Q52" s="69" t="s">
        <v>77</v>
      </c>
      <c r="R52" s="73" t="s">
        <v>349</v>
      </c>
      <c r="S52" s="69">
        <v>925475</v>
      </c>
      <c r="T52" s="69"/>
      <c r="U52" s="69" t="s">
        <v>517</v>
      </c>
      <c r="V52" s="69" t="s">
        <v>55</v>
      </c>
      <c r="W52" s="70">
        <f>IFERROR(VLOOKUP(factures[[#This Row],[DT Prestation Amiante 1]],presta_amiante1[#Data],2,0),0)</f>
        <v>55.49</v>
      </c>
      <c r="X52" s="69" t="s">
        <v>53</v>
      </c>
      <c r="Y52" s="70">
        <f>IFERROR(VLOOKUP(factures[[#This Row],[DT Prestation Amiante 2]],presta_amiante2[#Data],2,0),0)</f>
        <v>60.11</v>
      </c>
      <c r="Z52" s="69"/>
      <c r="AA52" s="70">
        <f>IFERROR(VLOOKUP(factures[[#This Row],[DT Prestation Gaz]],presta_gaz[#Data],2,0),0)</f>
        <v>0</v>
      </c>
      <c r="AB52" s="69">
        <v>10</v>
      </c>
      <c r="AC52" s="69" t="s">
        <v>73</v>
      </c>
      <c r="AD52" s="70">
        <f>IFERROR(VLOOKUP(factures[[#This Row],[DT Analyses]],DT_analyses[#Data],2,0),0)</f>
        <v>36.99</v>
      </c>
      <c r="AE52" s="70">
        <f>IFERROR(factures[[#This Row],[Plvts ]]*factures[[#This Row],[Prix Analyses]],0)</f>
        <v>369.90000000000003</v>
      </c>
      <c r="AF52" s="70">
        <f>factures[[#This Row],[Prix Prestation Amiante 1]]+factures[[#This Row],[Prix Prestation Amiante 2]]+factures[[#This Row],[Prix Prestation Gaz]]+factures[[#This Row],[Prix analyses HT]]</f>
        <v>485.5</v>
      </c>
      <c r="AG52" s="69" t="s">
        <v>600</v>
      </c>
      <c r="AH52" s="86" t="s">
        <v>596</v>
      </c>
      <c r="AI52" s="69"/>
    </row>
    <row r="53" spans="1:35" ht="36" x14ac:dyDescent="0.3">
      <c r="A53" s="92" t="s">
        <v>445</v>
      </c>
      <c r="B53" s="72">
        <v>91</v>
      </c>
      <c r="C53" s="69" t="s">
        <v>443</v>
      </c>
      <c r="D53" s="69" t="s">
        <v>444</v>
      </c>
      <c r="E53" s="69"/>
      <c r="F53" s="69"/>
      <c r="G53" s="69"/>
      <c r="H53" s="69"/>
      <c r="I53" s="69">
        <v>9125</v>
      </c>
      <c r="J53" s="69" t="s">
        <v>513</v>
      </c>
      <c r="K53" s="69"/>
      <c r="L53" s="69"/>
      <c r="M53" s="71"/>
      <c r="N53" s="69" t="s">
        <v>70</v>
      </c>
      <c r="O53" s="71">
        <v>43518</v>
      </c>
      <c r="P53" s="69" t="s">
        <v>131</v>
      </c>
      <c r="Q53" s="69" t="s">
        <v>77</v>
      </c>
      <c r="R53" s="73" t="s">
        <v>423</v>
      </c>
      <c r="S53" s="69">
        <v>914988</v>
      </c>
      <c r="T53" s="69"/>
      <c r="U53" s="69" t="s">
        <v>518</v>
      </c>
      <c r="V53" s="69" t="s">
        <v>53</v>
      </c>
      <c r="W53" s="70">
        <f>IFERROR(VLOOKUP(factures[[#This Row],[DT Prestation Amiante 1]],presta_amiante1[#Data],2,0),0)</f>
        <v>60.11</v>
      </c>
      <c r="X53" s="69"/>
      <c r="Y53" s="70">
        <f>IFERROR(VLOOKUP(factures[[#This Row],[DT Prestation Amiante 2]],presta_amiante2[#Data],2,0),0)</f>
        <v>0</v>
      </c>
      <c r="Z53" s="69"/>
      <c r="AA53" s="70">
        <f>IFERROR(VLOOKUP(factures[[#This Row],[DT Prestation Gaz]],presta_gaz[#Data],2,0),0)</f>
        <v>0</v>
      </c>
      <c r="AB53" s="69">
        <v>2</v>
      </c>
      <c r="AC53" s="69" t="s">
        <v>73</v>
      </c>
      <c r="AD53" s="70">
        <f>IFERROR(VLOOKUP(factures[[#This Row],[DT Analyses]],DT_analyses[#Data],2,0),0)</f>
        <v>36.99</v>
      </c>
      <c r="AE53" s="70">
        <f>IFERROR(factures[[#This Row],[Plvts ]]*factures[[#This Row],[Prix Analyses]],0)</f>
        <v>73.98</v>
      </c>
      <c r="AF53" s="70">
        <f>factures[[#This Row],[Prix Prestation Amiante 1]]+factures[[#This Row],[Prix Prestation Amiante 2]]+factures[[#This Row],[Prix Prestation Gaz]]+factures[[#This Row],[Prix analyses HT]]</f>
        <v>134.09</v>
      </c>
      <c r="AG53" s="69" t="s">
        <v>711</v>
      </c>
      <c r="AH53" s="86" t="s">
        <v>704</v>
      </c>
      <c r="AI53" s="69"/>
    </row>
    <row r="54" spans="1:35" ht="48" x14ac:dyDescent="0.3">
      <c r="A54" s="92" t="s">
        <v>478</v>
      </c>
      <c r="B54" s="72">
        <v>94500</v>
      </c>
      <c r="C54" s="69" t="s">
        <v>479</v>
      </c>
      <c r="D54" s="69" t="s">
        <v>148</v>
      </c>
      <c r="E54" s="69" t="s">
        <v>482</v>
      </c>
      <c r="F54" s="69" t="s">
        <v>102</v>
      </c>
      <c r="G54" s="69"/>
      <c r="H54" s="69">
        <v>18601</v>
      </c>
      <c r="I54" s="69">
        <v>259</v>
      </c>
      <c r="J54" s="69" t="s">
        <v>481</v>
      </c>
      <c r="K54" s="69" t="s">
        <v>495</v>
      </c>
      <c r="L54" s="69" t="s">
        <v>480</v>
      </c>
      <c r="M54" s="71">
        <v>43515</v>
      </c>
      <c r="N54" s="69" t="s">
        <v>70</v>
      </c>
      <c r="O54" s="74">
        <v>43518</v>
      </c>
      <c r="P54" s="69"/>
      <c r="Q54" s="69" t="s">
        <v>77</v>
      </c>
      <c r="R54" s="73" t="s">
        <v>483</v>
      </c>
      <c r="S54" s="69">
        <v>928024</v>
      </c>
      <c r="T54" s="69"/>
      <c r="U54" s="69" t="s">
        <v>519</v>
      </c>
      <c r="V54" s="69" t="s">
        <v>53</v>
      </c>
      <c r="W54" s="70">
        <f>IFERROR(VLOOKUP(factures[[#This Row],[DT Prestation Amiante 1]],presta_amiante1[#Data],2,0),0)</f>
        <v>60.11</v>
      </c>
      <c r="X54" s="69"/>
      <c r="Y54" s="70">
        <f>IFERROR(VLOOKUP(factures[[#This Row],[DT Prestation Amiante 2]],presta_amiante2[#Data],2,0),0)</f>
        <v>0</v>
      </c>
      <c r="Z54" s="69"/>
      <c r="AA54" s="70">
        <f>IFERROR(VLOOKUP(factures[[#This Row],[DT Prestation Gaz]],presta_gaz[#Data],2,0),0)</f>
        <v>0</v>
      </c>
      <c r="AB54" s="69">
        <v>7</v>
      </c>
      <c r="AC54" s="69" t="s">
        <v>73</v>
      </c>
      <c r="AD54" s="70">
        <f>IFERROR(VLOOKUP(factures[[#This Row],[DT Analyses]],DT_analyses[#Data],2,0),0)</f>
        <v>36.99</v>
      </c>
      <c r="AE54" s="70">
        <f>IFERROR(factures[[#This Row],[Plvts ]]*factures[[#This Row],[Prix Analyses]],0)</f>
        <v>258.93</v>
      </c>
      <c r="AF54" s="70">
        <f>factures[[#This Row],[Prix Prestation Amiante 1]]+factures[[#This Row],[Prix Prestation Amiante 2]]+factures[[#This Row],[Prix Prestation Gaz]]+factures[[#This Row],[Prix analyses HT]]</f>
        <v>319.04000000000002</v>
      </c>
      <c r="AG54" s="69" t="s">
        <v>978</v>
      </c>
      <c r="AH54" s="86" t="s">
        <v>979</v>
      </c>
      <c r="AI54" s="69"/>
    </row>
    <row r="55" spans="1:35" ht="36" x14ac:dyDescent="0.3">
      <c r="A55" s="92" t="s">
        <v>496</v>
      </c>
      <c r="B55" s="72">
        <v>78190</v>
      </c>
      <c r="C55" s="69" t="s">
        <v>387</v>
      </c>
      <c r="D55" s="69" t="s">
        <v>388</v>
      </c>
      <c r="E55" s="69">
        <v>303</v>
      </c>
      <c r="F55" s="69">
        <v>3</v>
      </c>
      <c r="G55" s="69">
        <v>2</v>
      </c>
      <c r="H55" s="69">
        <v>22244</v>
      </c>
      <c r="I55" s="69">
        <v>314</v>
      </c>
      <c r="J55" s="79" t="s">
        <v>389</v>
      </c>
      <c r="K55" s="69"/>
      <c r="L55" s="69" t="s">
        <v>497</v>
      </c>
      <c r="M55" s="71">
        <v>43516</v>
      </c>
      <c r="N55" s="69" t="s">
        <v>83</v>
      </c>
      <c r="O55" s="71">
        <v>43522</v>
      </c>
      <c r="P55" s="69"/>
      <c r="Q55" s="69" t="s">
        <v>77</v>
      </c>
      <c r="R55" s="73" t="s">
        <v>498</v>
      </c>
      <c r="S55" s="69">
        <v>928349</v>
      </c>
      <c r="T55" s="69"/>
      <c r="U55" s="69" t="s">
        <v>540</v>
      </c>
      <c r="V55" s="69" t="s">
        <v>55</v>
      </c>
      <c r="W55" s="70">
        <f>IFERROR(VLOOKUP(factures[[#This Row],[DT Prestation Amiante 1]],presta_amiante1[#Data],2,0),0)</f>
        <v>55.49</v>
      </c>
      <c r="X55" s="69" t="s">
        <v>53</v>
      </c>
      <c r="Y55" s="70">
        <f>IFERROR(VLOOKUP(factures[[#This Row],[DT Prestation Amiante 2]],presta_amiante2[#Data],2,0),0)</f>
        <v>60.11</v>
      </c>
      <c r="Z55" s="69"/>
      <c r="AA55" s="70">
        <f>IFERROR(VLOOKUP(factures[[#This Row],[DT Prestation Gaz]],presta_gaz[#Data],2,0),0)</f>
        <v>0</v>
      </c>
      <c r="AB55" s="69">
        <v>4</v>
      </c>
      <c r="AC55" s="69" t="s">
        <v>73</v>
      </c>
      <c r="AD55" s="70">
        <f>IFERROR(VLOOKUP(factures[[#This Row],[DT Analyses]],DT_analyses[#Data],2,0),0)</f>
        <v>36.99</v>
      </c>
      <c r="AE55" s="70">
        <f>IFERROR(factures[[#This Row],[Plvts ]]*factures[[#This Row],[Prix Analyses]],0)</f>
        <v>147.96</v>
      </c>
      <c r="AF55" s="70">
        <f>factures[[#This Row],[Prix Prestation Amiante 1]]+factures[[#This Row],[Prix Prestation Amiante 2]]+factures[[#This Row],[Prix Prestation Gaz]]+factures[[#This Row],[Prix analyses HT]]</f>
        <v>263.56</v>
      </c>
      <c r="AG55" s="69" t="s">
        <v>730</v>
      </c>
      <c r="AH55" s="86" t="s">
        <v>731</v>
      </c>
      <c r="AI55" s="69"/>
    </row>
    <row r="56" spans="1:35" ht="36" x14ac:dyDescent="0.3">
      <c r="A56" s="92" t="s">
        <v>502</v>
      </c>
      <c r="B56" s="72">
        <v>78180</v>
      </c>
      <c r="C56" s="69" t="s">
        <v>115</v>
      </c>
      <c r="D56" s="69" t="s">
        <v>503</v>
      </c>
      <c r="E56" s="69">
        <v>302</v>
      </c>
      <c r="F56" s="69">
        <v>3</v>
      </c>
      <c r="G56" s="69">
        <v>1</v>
      </c>
      <c r="H56" s="69">
        <v>38795</v>
      </c>
      <c r="I56" s="69">
        <v>768</v>
      </c>
      <c r="J56" s="88" t="s">
        <v>117</v>
      </c>
      <c r="K56" s="69"/>
      <c r="L56" s="69" t="s">
        <v>504</v>
      </c>
      <c r="M56" s="71">
        <v>43516</v>
      </c>
      <c r="N56" s="69" t="s">
        <v>83</v>
      </c>
      <c r="O56" s="74">
        <v>43522</v>
      </c>
      <c r="P56" s="69"/>
      <c r="Q56" s="69" t="s">
        <v>77</v>
      </c>
      <c r="R56" s="73" t="s">
        <v>505</v>
      </c>
      <c r="S56" s="69">
        <v>928225</v>
      </c>
      <c r="T56" s="69"/>
      <c r="U56" s="69" t="s">
        <v>539</v>
      </c>
      <c r="V56" s="69" t="s">
        <v>55</v>
      </c>
      <c r="W56" s="70">
        <f>IFERROR(VLOOKUP(factures[[#This Row],[DT Prestation Amiante 1]],presta_amiante1[#Data],2,0),0)</f>
        <v>55.49</v>
      </c>
      <c r="X56" s="69" t="s">
        <v>53</v>
      </c>
      <c r="Y56" s="70">
        <f>IFERROR(VLOOKUP(factures[[#This Row],[DT Prestation Amiante 2]],presta_amiante2[#Data],2,0),0)</f>
        <v>60.11</v>
      </c>
      <c r="Z56" s="69"/>
      <c r="AA56" s="70">
        <f>IFERROR(VLOOKUP(factures[[#This Row],[DT Prestation Gaz]],presta_gaz[#Data],2,0),0)</f>
        <v>0</v>
      </c>
      <c r="AB56" s="69">
        <v>4</v>
      </c>
      <c r="AC56" s="69" t="s">
        <v>73</v>
      </c>
      <c r="AD56" s="70">
        <f>IFERROR(VLOOKUP(factures[[#This Row],[DT Analyses]],DT_analyses[#Data],2,0),0)</f>
        <v>36.99</v>
      </c>
      <c r="AE56" s="70">
        <f>IFERROR(factures[[#This Row],[Plvts ]]*factures[[#This Row],[Prix Analyses]],0)</f>
        <v>147.96</v>
      </c>
      <c r="AF56" s="70">
        <f>factures[[#This Row],[Prix Prestation Amiante 1]]+factures[[#This Row],[Prix Prestation Amiante 2]]+factures[[#This Row],[Prix Prestation Gaz]]+factures[[#This Row],[Prix analyses HT]]</f>
        <v>263.56</v>
      </c>
      <c r="AG56" s="69" t="s">
        <v>732</v>
      </c>
      <c r="AH56" s="86" t="s">
        <v>731</v>
      </c>
      <c r="AI56" s="69"/>
    </row>
    <row r="57" spans="1:35" ht="36" x14ac:dyDescent="0.3">
      <c r="A57" s="92" t="s">
        <v>506</v>
      </c>
      <c r="B57" s="72">
        <v>78180</v>
      </c>
      <c r="C57" s="69" t="s">
        <v>115</v>
      </c>
      <c r="D57" s="69" t="s">
        <v>507</v>
      </c>
      <c r="E57" s="69">
        <v>604</v>
      </c>
      <c r="F57" s="69">
        <v>6</v>
      </c>
      <c r="G57" s="69">
        <v>3</v>
      </c>
      <c r="H57" s="69">
        <v>31498</v>
      </c>
      <c r="I57" s="69">
        <v>451</v>
      </c>
      <c r="J57" s="69" t="s">
        <v>2160</v>
      </c>
      <c r="K57" s="69"/>
      <c r="L57" s="69" t="s">
        <v>508</v>
      </c>
      <c r="M57" s="71">
        <v>43516</v>
      </c>
      <c r="N57" s="69" t="s">
        <v>83</v>
      </c>
      <c r="O57" s="74">
        <v>43522</v>
      </c>
      <c r="P57" s="69"/>
      <c r="Q57" s="69" t="s">
        <v>77</v>
      </c>
      <c r="R57" s="73" t="s">
        <v>509</v>
      </c>
      <c r="S57" s="69">
        <v>923175</v>
      </c>
      <c r="T57" s="69"/>
      <c r="U57" s="69" t="s">
        <v>538</v>
      </c>
      <c r="V57" s="69" t="s">
        <v>55</v>
      </c>
      <c r="W57" s="70">
        <f>IFERROR(VLOOKUP(factures[[#This Row],[DT Prestation Amiante 1]],presta_amiante1[#Data],2,0),0)</f>
        <v>55.49</v>
      </c>
      <c r="X57" s="69" t="s">
        <v>53</v>
      </c>
      <c r="Y57" s="70">
        <f>IFERROR(VLOOKUP(factures[[#This Row],[DT Prestation Amiante 2]],presta_amiante2[#Data],2,0),0)</f>
        <v>60.11</v>
      </c>
      <c r="Z57" s="69"/>
      <c r="AA57" s="70">
        <f>IFERROR(VLOOKUP(factures[[#This Row],[DT Prestation Gaz]],presta_gaz[#Data],2,0),0)</f>
        <v>0</v>
      </c>
      <c r="AB57" s="69">
        <v>3</v>
      </c>
      <c r="AC57" s="69" t="s">
        <v>73</v>
      </c>
      <c r="AD57" s="70">
        <f>IFERROR(VLOOKUP(factures[[#This Row],[DT Analyses]],DT_analyses[#Data],2,0),0)</f>
        <v>36.99</v>
      </c>
      <c r="AE57" s="70">
        <f>IFERROR(factures[[#This Row],[Plvts ]]*factures[[#This Row],[Prix Analyses]],0)</f>
        <v>110.97</v>
      </c>
      <c r="AF57" s="70">
        <f>factures[[#This Row],[Prix Prestation Amiante 1]]+factures[[#This Row],[Prix Prestation Amiante 2]]+factures[[#This Row],[Prix Prestation Gaz]]+factures[[#This Row],[Prix analyses HT]]</f>
        <v>226.57</v>
      </c>
      <c r="AG57" s="69" t="s">
        <v>733</v>
      </c>
      <c r="AH57" s="86" t="s">
        <v>731</v>
      </c>
      <c r="AI57" s="69"/>
    </row>
    <row r="58" spans="1:35" ht="67.5" customHeight="1" x14ac:dyDescent="0.3">
      <c r="A58" s="92" t="s">
        <v>532</v>
      </c>
      <c r="B58" s="72">
        <v>78190</v>
      </c>
      <c r="C58" s="69" t="s">
        <v>387</v>
      </c>
      <c r="D58" s="69" t="s">
        <v>533</v>
      </c>
      <c r="E58" s="69">
        <v>203</v>
      </c>
      <c r="F58" s="69">
        <v>2</v>
      </c>
      <c r="G58" s="69">
        <v>3</v>
      </c>
      <c r="H58" s="69">
        <v>22175</v>
      </c>
      <c r="I58" s="69">
        <v>314</v>
      </c>
      <c r="J58" s="79" t="s">
        <v>755</v>
      </c>
      <c r="K58" s="69"/>
      <c r="L58" s="69" t="s">
        <v>534</v>
      </c>
      <c r="M58" s="71">
        <v>43522</v>
      </c>
      <c r="N58" s="69" t="s">
        <v>83</v>
      </c>
      <c r="O58" s="71">
        <v>43524</v>
      </c>
      <c r="P58" s="87">
        <v>0.375</v>
      </c>
      <c r="Q58" s="69" t="s">
        <v>77</v>
      </c>
      <c r="R58" s="73" t="s">
        <v>535</v>
      </c>
      <c r="S58" s="69">
        <v>929410</v>
      </c>
      <c r="T58" s="69"/>
      <c r="U58" s="69" t="s">
        <v>545</v>
      </c>
      <c r="V58" s="69" t="s">
        <v>55</v>
      </c>
      <c r="W58" s="70">
        <f>IFERROR(VLOOKUP(factures[[#This Row],[DT Prestation Amiante 1]],presta_amiante1[#Data],2,0),0)</f>
        <v>55.49</v>
      </c>
      <c r="X58" s="69" t="s">
        <v>53</v>
      </c>
      <c r="Y58" s="70">
        <f>IFERROR(VLOOKUP(factures[[#This Row],[DT Prestation Amiante 2]],presta_amiante2[#Data],2,0),0)</f>
        <v>60.11</v>
      </c>
      <c r="Z58" s="69"/>
      <c r="AA58" s="70">
        <f>IFERROR(VLOOKUP(factures[[#This Row],[DT Prestation Gaz]],presta_gaz[#Data],2,0),0)</f>
        <v>0</v>
      </c>
      <c r="AB58" s="69">
        <v>17</v>
      </c>
      <c r="AC58" s="69" t="s">
        <v>73</v>
      </c>
      <c r="AD58" s="70">
        <f>IFERROR(VLOOKUP(factures[[#This Row],[DT Analyses]],DT_analyses[#Data],2,0),0)</f>
        <v>36.99</v>
      </c>
      <c r="AE58" s="70">
        <f>IFERROR(factures[[#This Row],[Plvts ]]*factures[[#This Row],[Prix Analyses]],0)</f>
        <v>628.83000000000004</v>
      </c>
      <c r="AF58" s="70">
        <f>factures[[#This Row],[Prix Prestation Amiante 1]]+factures[[#This Row],[Prix Prestation Amiante 2]]+factures[[#This Row],[Prix Prestation Gaz]]+factures[[#This Row],[Prix analyses HT]]</f>
        <v>744.43000000000006</v>
      </c>
      <c r="AG58" s="69" t="s">
        <v>734</v>
      </c>
      <c r="AH58" s="86" t="s">
        <v>731</v>
      </c>
      <c r="AI58" s="69"/>
    </row>
    <row r="59" spans="1:35" ht="89.25" customHeight="1" x14ac:dyDescent="0.3">
      <c r="A59" s="92" t="s">
        <v>463</v>
      </c>
      <c r="B59" s="72">
        <v>92500</v>
      </c>
      <c r="C59" s="69" t="s">
        <v>265</v>
      </c>
      <c r="D59" s="69" t="s">
        <v>464</v>
      </c>
      <c r="E59" s="69">
        <v>83</v>
      </c>
      <c r="F59" s="69">
        <v>2</v>
      </c>
      <c r="G59" s="69">
        <v>3</v>
      </c>
      <c r="H59" s="69">
        <v>84559</v>
      </c>
      <c r="I59" s="69">
        <v>9212</v>
      </c>
      <c r="J59" s="69" t="s">
        <v>546</v>
      </c>
      <c r="K59" s="69" t="s">
        <v>544</v>
      </c>
      <c r="L59" s="69" t="s">
        <v>465</v>
      </c>
      <c r="M59" s="71">
        <v>43515</v>
      </c>
      <c r="N59" s="69" t="s">
        <v>71</v>
      </c>
      <c r="O59" s="74">
        <v>43525</v>
      </c>
      <c r="P59" s="69"/>
      <c r="Q59" s="69" t="s">
        <v>77</v>
      </c>
      <c r="R59" s="73" t="s">
        <v>466</v>
      </c>
      <c r="S59" s="69">
        <v>927688</v>
      </c>
      <c r="T59" s="69"/>
      <c r="U59" s="69" t="s">
        <v>564</v>
      </c>
      <c r="V59" s="69" t="s">
        <v>53</v>
      </c>
      <c r="W59" s="70">
        <f>IFERROR(VLOOKUP(factures[[#This Row],[DT Prestation Amiante 1]],presta_amiante1[#Data],2,0),0)</f>
        <v>60.11</v>
      </c>
      <c r="X59" s="69"/>
      <c r="Y59" s="70">
        <f>IFERROR(VLOOKUP(factures[[#This Row],[DT Prestation Amiante 2]],presta_amiante2[#Data],2,0),0)</f>
        <v>0</v>
      </c>
      <c r="Z59" s="69" t="s">
        <v>61</v>
      </c>
      <c r="AA59" s="70">
        <f>IFERROR(VLOOKUP(factures[[#This Row],[DT Prestation Gaz]],presta_gaz[#Data],2,0),0)</f>
        <v>41.62</v>
      </c>
      <c r="AB59" s="69">
        <v>5</v>
      </c>
      <c r="AC59" s="69" t="s">
        <v>73</v>
      </c>
      <c r="AD59" s="70">
        <f>IFERROR(VLOOKUP(factures[[#This Row],[DT Analyses]],DT_analyses[#Data],2,0),0)</f>
        <v>36.99</v>
      </c>
      <c r="AE59" s="70">
        <f>IFERROR(factures[[#This Row],[Plvts ]]*factures[[#This Row],[Prix Analyses]],0)</f>
        <v>184.95000000000002</v>
      </c>
      <c r="AF59" s="70">
        <f>factures[[#This Row],[Prix Prestation Amiante 1]]+factures[[#This Row],[Prix Prestation Amiante 2]]+factures[[#This Row],[Prix Prestation Gaz]]+factures[[#This Row],[Prix analyses HT]]</f>
        <v>286.68</v>
      </c>
      <c r="AG59" s="69" t="s">
        <v>654</v>
      </c>
      <c r="AH59" s="86" t="s">
        <v>655</v>
      </c>
      <c r="AI59" s="69"/>
    </row>
    <row r="60" spans="1:35" ht="52.5" customHeight="1" x14ac:dyDescent="0.3">
      <c r="A60" s="92" t="s">
        <v>522</v>
      </c>
      <c r="B60" s="72">
        <v>92260</v>
      </c>
      <c r="C60" s="69" t="s">
        <v>500</v>
      </c>
      <c r="D60" s="69" t="s">
        <v>523</v>
      </c>
      <c r="E60" s="69">
        <v>2</v>
      </c>
      <c r="F60" s="69" t="s">
        <v>524</v>
      </c>
      <c r="G60" s="69">
        <v>5</v>
      </c>
      <c r="H60" s="69">
        <v>63261</v>
      </c>
      <c r="I60" s="69">
        <v>9216</v>
      </c>
      <c r="J60" s="83" t="s">
        <v>512</v>
      </c>
      <c r="K60" s="69"/>
      <c r="L60" s="69" t="s">
        <v>525</v>
      </c>
      <c r="M60" s="71">
        <v>43521</v>
      </c>
      <c r="N60" s="69" t="s">
        <v>71</v>
      </c>
      <c r="O60" s="71">
        <v>43525</v>
      </c>
      <c r="P60" s="69"/>
      <c r="Q60" s="69" t="s">
        <v>77</v>
      </c>
      <c r="R60" s="73" t="s">
        <v>526</v>
      </c>
      <c r="S60" s="69">
        <v>929058</v>
      </c>
      <c r="T60" s="69"/>
      <c r="U60" s="69" t="s">
        <v>565</v>
      </c>
      <c r="V60" s="69" t="s">
        <v>54</v>
      </c>
      <c r="W60" s="70">
        <f>IFERROR(VLOOKUP(factures[[#This Row],[DT Prestation Amiante 1]],presta_amiante1[#Data],2,0),0)</f>
        <v>69.36</v>
      </c>
      <c r="X60" s="69"/>
      <c r="Y60" s="70">
        <f>IFERROR(VLOOKUP(factures[[#This Row],[DT Prestation Amiante 2]],presta_amiante2[#Data],2,0),0)</f>
        <v>0</v>
      </c>
      <c r="Z60" s="69" t="s">
        <v>62</v>
      </c>
      <c r="AA60" s="70">
        <f>IFERROR(VLOOKUP(factures[[#This Row],[DT Prestation Gaz]],presta_gaz[#Data],2,0),0)</f>
        <v>49.01</v>
      </c>
      <c r="AB60" s="69">
        <v>3</v>
      </c>
      <c r="AC60" s="69" t="s">
        <v>73</v>
      </c>
      <c r="AD60" s="70">
        <f>IFERROR(VLOOKUP(factures[[#This Row],[DT Analyses]],DT_analyses[#Data],2,0),0)</f>
        <v>36.99</v>
      </c>
      <c r="AE60" s="70">
        <f>IFERROR(factures[[#This Row],[Plvts ]]*factures[[#This Row],[Prix Analyses]],0)</f>
        <v>110.97</v>
      </c>
      <c r="AF60" s="70">
        <f>factures[[#This Row],[Prix Prestation Amiante 1]]+factures[[#This Row],[Prix Prestation Amiante 2]]+factures[[#This Row],[Prix Prestation Gaz]]+factures[[#This Row],[Prix analyses HT]]</f>
        <v>229.34</v>
      </c>
      <c r="AG60" s="69" t="s">
        <v>647</v>
      </c>
      <c r="AH60" s="86" t="s">
        <v>646</v>
      </c>
      <c r="AI60" s="69"/>
    </row>
    <row r="61" spans="1:35" ht="36.75" customHeight="1" x14ac:dyDescent="0.3">
      <c r="A61" s="92" t="s">
        <v>527</v>
      </c>
      <c r="B61" s="72">
        <v>92260</v>
      </c>
      <c r="C61" s="69" t="s">
        <v>500</v>
      </c>
      <c r="D61" s="69" t="s">
        <v>528</v>
      </c>
      <c r="E61" s="69">
        <v>2</v>
      </c>
      <c r="F61" s="69" t="s">
        <v>524</v>
      </c>
      <c r="G61" s="69">
        <v>3</v>
      </c>
      <c r="H61" s="69">
        <v>44941</v>
      </c>
      <c r="I61" s="69">
        <v>885</v>
      </c>
      <c r="J61" s="84" t="s">
        <v>529</v>
      </c>
      <c r="K61" s="69"/>
      <c r="L61" s="69" t="s">
        <v>530</v>
      </c>
      <c r="M61" s="71">
        <v>43522</v>
      </c>
      <c r="N61" s="69" t="s">
        <v>70</v>
      </c>
      <c r="O61" s="71">
        <v>43525</v>
      </c>
      <c r="P61" s="69"/>
      <c r="Q61" s="69" t="s">
        <v>77</v>
      </c>
      <c r="R61" s="73" t="s">
        <v>531</v>
      </c>
      <c r="S61" s="69">
        <v>929305</v>
      </c>
      <c r="T61" s="69"/>
      <c r="U61" s="69" t="s">
        <v>566</v>
      </c>
      <c r="V61" s="69" t="s">
        <v>53</v>
      </c>
      <c r="W61" s="70">
        <f>IFERROR(VLOOKUP(factures[[#This Row],[DT Prestation Amiante 1]],presta_amiante1[#Data],2,0),0)</f>
        <v>60.11</v>
      </c>
      <c r="X61" s="69"/>
      <c r="Y61" s="70">
        <f>IFERROR(VLOOKUP(factures[[#This Row],[DT Prestation Amiante 2]],presta_amiante2[#Data],2,0),0)</f>
        <v>0</v>
      </c>
      <c r="Z61" s="69"/>
      <c r="AA61" s="70">
        <f>IFERROR(VLOOKUP(factures[[#This Row],[DT Prestation Gaz]],presta_gaz[#Data],2,0),0)</f>
        <v>0</v>
      </c>
      <c r="AB61" s="69">
        <v>4</v>
      </c>
      <c r="AC61" s="69" t="s">
        <v>73</v>
      </c>
      <c r="AD61" s="70">
        <f>IFERROR(VLOOKUP(factures[[#This Row],[DT Analyses]],DT_analyses[#Data],2,0),0)</f>
        <v>36.99</v>
      </c>
      <c r="AE61" s="70">
        <f>IFERROR(factures[[#This Row],[Plvts ]]*factures[[#This Row],[Prix Analyses]],0)</f>
        <v>147.96</v>
      </c>
      <c r="AF61" s="70">
        <f>factures[[#This Row],[Prix Prestation Amiante 1]]+factures[[#This Row],[Prix Prestation Amiante 2]]+factures[[#This Row],[Prix Prestation Gaz]]+factures[[#This Row],[Prix analyses HT]]</f>
        <v>208.07</v>
      </c>
      <c r="AG61" s="69" t="s">
        <v>645</v>
      </c>
      <c r="AH61" s="86" t="s">
        <v>646</v>
      </c>
      <c r="AI61" s="69"/>
    </row>
    <row r="62" spans="1:35" ht="53.25" customHeight="1" x14ac:dyDescent="0.3">
      <c r="A62" s="92" t="s">
        <v>536</v>
      </c>
      <c r="B62" s="72">
        <v>78260</v>
      </c>
      <c r="C62" s="69" t="s">
        <v>1082</v>
      </c>
      <c r="D62" s="69" t="s">
        <v>438</v>
      </c>
      <c r="E62" s="69">
        <v>301</v>
      </c>
      <c r="F62" s="69">
        <v>3</v>
      </c>
      <c r="G62" s="69">
        <v>2</v>
      </c>
      <c r="H62" s="69">
        <v>39832</v>
      </c>
      <c r="I62" s="69">
        <v>815</v>
      </c>
      <c r="J62" s="69" t="s">
        <v>470</v>
      </c>
      <c r="K62" s="69"/>
      <c r="L62" s="69"/>
      <c r="M62" s="71">
        <v>43522</v>
      </c>
      <c r="N62" s="69" t="s">
        <v>84</v>
      </c>
      <c r="O62" s="71">
        <v>43529</v>
      </c>
      <c r="P62" s="69">
        <v>15</v>
      </c>
      <c r="Q62" s="69" t="s">
        <v>77</v>
      </c>
      <c r="R62" s="73" t="s">
        <v>537</v>
      </c>
      <c r="S62" s="69">
        <v>929528</v>
      </c>
      <c r="T62" s="69"/>
      <c r="U62" s="69" t="s">
        <v>580</v>
      </c>
      <c r="V62" s="69" t="s">
        <v>54</v>
      </c>
      <c r="W62" s="70">
        <f>IFERROR(VLOOKUP(factures[[#This Row],[DT Prestation Amiante 1]],presta_amiante1[#Data],2,0),0)</f>
        <v>69.36</v>
      </c>
      <c r="X62" s="69"/>
      <c r="Y62" s="70">
        <f>IFERROR(VLOOKUP(factures[[#This Row],[DT Prestation Amiante 2]],presta_amiante2[#Data],2,0),0)</f>
        <v>0</v>
      </c>
      <c r="Z62" s="69" t="s">
        <v>62</v>
      </c>
      <c r="AA62" s="70">
        <f>IFERROR(VLOOKUP(factures[[#This Row],[DT Prestation Gaz]],presta_gaz[#Data],2,0),0)</f>
        <v>49.01</v>
      </c>
      <c r="AB62" s="69">
        <v>3</v>
      </c>
      <c r="AC62" s="69" t="s">
        <v>73</v>
      </c>
      <c r="AD62" s="70">
        <f>IFERROR(VLOOKUP(factures[[#This Row],[DT Analyses]],DT_analyses[#Data],2,0),0)</f>
        <v>36.99</v>
      </c>
      <c r="AE62" s="70">
        <f>IFERROR(factures[[#This Row],[Plvts ]]*factures[[#This Row],[Prix Analyses]],0)</f>
        <v>110.97</v>
      </c>
      <c r="AF62" s="70">
        <f>factures[[#This Row],[Prix Prestation Amiante 1]]+factures[[#This Row],[Prix Prestation Amiante 2]]+factures[[#This Row],[Prix Prestation Gaz]]+factures[[#This Row],[Prix analyses HT]]</f>
        <v>229.34</v>
      </c>
      <c r="AG62" s="69" t="s">
        <v>678</v>
      </c>
      <c r="AH62" s="86" t="s">
        <v>679</v>
      </c>
      <c r="AI62" s="69"/>
    </row>
    <row r="63" spans="1:35" ht="96.75" customHeight="1" x14ac:dyDescent="0.3">
      <c r="A63" s="92" t="s">
        <v>561</v>
      </c>
      <c r="B63" s="72">
        <v>78500</v>
      </c>
      <c r="C63" s="69" t="s">
        <v>214</v>
      </c>
      <c r="D63" s="69" t="s">
        <v>215</v>
      </c>
      <c r="E63" s="69">
        <v>103</v>
      </c>
      <c r="F63" s="69">
        <v>1</v>
      </c>
      <c r="G63" s="69">
        <v>3</v>
      </c>
      <c r="H63" s="69">
        <v>36211</v>
      </c>
      <c r="I63" s="69">
        <v>588</v>
      </c>
      <c r="J63" s="69" t="s">
        <v>216</v>
      </c>
      <c r="K63" s="69"/>
      <c r="L63" s="69" t="s">
        <v>563</v>
      </c>
      <c r="M63" s="71">
        <v>43525</v>
      </c>
      <c r="N63" s="69" t="s">
        <v>84</v>
      </c>
      <c r="O63" s="71">
        <v>43529</v>
      </c>
      <c r="P63" s="69">
        <v>14</v>
      </c>
      <c r="Q63" s="69" t="s">
        <v>77</v>
      </c>
      <c r="R63" s="73" t="s">
        <v>562</v>
      </c>
      <c r="S63" s="69">
        <v>930083</v>
      </c>
      <c r="T63" s="69"/>
      <c r="U63" s="69" t="s">
        <v>581</v>
      </c>
      <c r="V63" s="69" t="s">
        <v>55</v>
      </c>
      <c r="W63" s="70">
        <f>IFERROR(VLOOKUP(factures[[#This Row],[DT Prestation Amiante 1]],presta_amiante1[#Data],2,0),0)</f>
        <v>55.49</v>
      </c>
      <c r="X63" s="69" t="s">
        <v>53</v>
      </c>
      <c r="Y63" s="70">
        <f>IFERROR(VLOOKUP(factures[[#This Row],[DT Prestation Amiante 2]],presta_amiante2[#Data],2,0),0)</f>
        <v>60.11</v>
      </c>
      <c r="Z63" s="69" t="s">
        <v>61</v>
      </c>
      <c r="AA63" s="70">
        <f>IFERROR(VLOOKUP(factures[[#This Row],[DT Prestation Gaz]],presta_gaz[#Data],2,0),0)</f>
        <v>41.62</v>
      </c>
      <c r="AB63" s="69">
        <v>4</v>
      </c>
      <c r="AC63" s="69" t="s">
        <v>73</v>
      </c>
      <c r="AD63" s="70">
        <f>IFERROR(VLOOKUP(factures[[#This Row],[DT Analyses]],DT_analyses[#Data],2,0),0)</f>
        <v>36.99</v>
      </c>
      <c r="AE63" s="70">
        <f>IFERROR(factures[[#This Row],[Plvts ]]*factures[[#This Row],[Prix Analyses]],0)</f>
        <v>147.96</v>
      </c>
      <c r="AF63" s="70">
        <f>factures[[#This Row],[Prix Prestation Amiante 1]]+factures[[#This Row],[Prix Prestation Amiante 2]]+factures[[#This Row],[Prix Prestation Gaz]]+factures[[#This Row],[Prix analyses HT]]</f>
        <v>305.18</v>
      </c>
      <c r="AG63" s="69" t="s">
        <v>680</v>
      </c>
      <c r="AH63" s="86" t="s">
        <v>679</v>
      </c>
      <c r="AI63" s="69"/>
    </row>
    <row r="64" spans="1:35" ht="96" x14ac:dyDescent="0.3">
      <c r="A64" s="92" t="s">
        <v>541</v>
      </c>
      <c r="B64" s="72">
        <v>78540</v>
      </c>
      <c r="C64" s="69" t="s">
        <v>351</v>
      </c>
      <c r="D64" s="69" t="s">
        <v>460</v>
      </c>
      <c r="E64" s="69">
        <v>202</v>
      </c>
      <c r="F64" s="69">
        <v>2</v>
      </c>
      <c r="G64" s="69">
        <v>4</v>
      </c>
      <c r="H64" s="69">
        <v>53293</v>
      </c>
      <c r="I64" s="69">
        <v>9700</v>
      </c>
      <c r="J64" s="69" t="s">
        <v>411</v>
      </c>
      <c r="K64" s="69"/>
      <c r="L64" s="69" t="s">
        <v>542</v>
      </c>
      <c r="M64" s="71">
        <v>43523</v>
      </c>
      <c r="N64" s="69" t="s">
        <v>84</v>
      </c>
      <c r="O64" s="71">
        <v>43530</v>
      </c>
      <c r="P64" s="69">
        <v>9</v>
      </c>
      <c r="Q64" s="69" t="s">
        <v>77</v>
      </c>
      <c r="R64" s="73" t="s">
        <v>543</v>
      </c>
      <c r="S64" s="69">
        <v>929621</v>
      </c>
      <c r="T64" s="69"/>
      <c r="U64" s="69" t="s">
        <v>622</v>
      </c>
      <c r="V64" s="69" t="s">
        <v>55</v>
      </c>
      <c r="W64" s="70">
        <f>IFERROR(VLOOKUP(factures[[#This Row],[DT Prestation Amiante 1]],presta_amiante1[#Data],2,0),0)</f>
        <v>55.49</v>
      </c>
      <c r="X64" s="69" t="s">
        <v>54</v>
      </c>
      <c r="Y64" s="70">
        <f>IFERROR(VLOOKUP(factures[[#This Row],[DT Prestation Amiante 2]],presta_amiante2[#Data],2,0),0)</f>
        <v>69.36</v>
      </c>
      <c r="Z64" s="69" t="s">
        <v>62</v>
      </c>
      <c r="AA64" s="70">
        <f>IFERROR(VLOOKUP(factures[[#This Row],[DT Prestation Gaz]],presta_gaz[#Data],2,0),0)</f>
        <v>49.01</v>
      </c>
      <c r="AB64" s="69">
        <v>14</v>
      </c>
      <c r="AC64" s="69" t="s">
        <v>73</v>
      </c>
      <c r="AD64" s="70">
        <f>IFERROR(VLOOKUP(factures[[#This Row],[DT Analyses]],DT_analyses[#Data],2,0),0)</f>
        <v>36.99</v>
      </c>
      <c r="AE64" s="70">
        <f>IFERROR(factures[[#This Row],[Plvts ]]*factures[[#This Row],[Prix Analyses]],0)</f>
        <v>517.86</v>
      </c>
      <c r="AF64" s="70">
        <f>factures[[#This Row],[Prix Prestation Amiante 1]]+factures[[#This Row],[Prix Prestation Amiante 2]]+factures[[#This Row],[Prix Prestation Gaz]]+factures[[#This Row],[Prix analyses HT]]</f>
        <v>691.72</v>
      </c>
      <c r="AG64" s="69" t="s">
        <v>696</v>
      </c>
      <c r="AH64" s="86" t="s">
        <v>697</v>
      </c>
      <c r="AI64" s="69"/>
    </row>
    <row r="65" spans="1:35" ht="54.75" customHeight="1" x14ac:dyDescent="0.3">
      <c r="A65" s="92" t="s">
        <v>552</v>
      </c>
      <c r="B65" s="72">
        <v>78130</v>
      </c>
      <c r="C65" s="69" t="s">
        <v>553</v>
      </c>
      <c r="D65" s="69" t="s">
        <v>554</v>
      </c>
      <c r="E65" s="69">
        <v>401</v>
      </c>
      <c r="F65" s="69">
        <v>4</v>
      </c>
      <c r="G65" s="69">
        <v>3</v>
      </c>
      <c r="H65" s="69">
        <v>50982</v>
      </c>
      <c r="I65" s="69">
        <v>1026</v>
      </c>
      <c r="J65" s="90" t="s">
        <v>555</v>
      </c>
      <c r="K65" s="69"/>
      <c r="L65" s="69" t="s">
        <v>556</v>
      </c>
      <c r="M65" s="71">
        <v>43525</v>
      </c>
      <c r="N65" s="69" t="s">
        <v>84</v>
      </c>
      <c r="O65" s="71">
        <v>43530</v>
      </c>
      <c r="P65" s="69">
        <v>10</v>
      </c>
      <c r="Q65" s="69" t="s">
        <v>77</v>
      </c>
      <c r="R65" s="73" t="s">
        <v>557</v>
      </c>
      <c r="S65" s="69">
        <v>930025</v>
      </c>
      <c r="T65" s="69"/>
      <c r="U65" s="69" t="s">
        <v>623</v>
      </c>
      <c r="V65" s="69" t="s">
        <v>55</v>
      </c>
      <c r="W65" s="70">
        <f>IFERROR(VLOOKUP(factures[[#This Row],[DT Prestation Amiante 1]],presta_amiante1[#Data],2,0),0)</f>
        <v>55.49</v>
      </c>
      <c r="X65" s="69" t="s">
        <v>53</v>
      </c>
      <c r="Y65" s="70">
        <f>IFERROR(VLOOKUP(factures[[#This Row],[DT Prestation Amiante 2]],presta_amiante2[#Data],2,0),0)</f>
        <v>60.11</v>
      </c>
      <c r="Z65" s="69" t="s">
        <v>61</v>
      </c>
      <c r="AA65" s="70">
        <f>IFERROR(VLOOKUP(factures[[#This Row],[DT Prestation Gaz]],presta_gaz[#Data],2,0),0)</f>
        <v>41.62</v>
      </c>
      <c r="AB65" s="69">
        <v>4</v>
      </c>
      <c r="AC65" s="69" t="s">
        <v>73</v>
      </c>
      <c r="AD65" s="70">
        <f>IFERROR(VLOOKUP(factures[[#This Row],[DT Analyses]],DT_analyses[#Data],2,0),0)</f>
        <v>36.99</v>
      </c>
      <c r="AE65" s="70">
        <f>IFERROR(factures[[#This Row],[Plvts ]]*factures[[#This Row],[Prix Analyses]],0)</f>
        <v>147.96</v>
      </c>
      <c r="AF65" s="70">
        <f>factures[[#This Row],[Prix Prestation Amiante 1]]+factures[[#This Row],[Prix Prestation Amiante 2]]+factures[[#This Row],[Prix Prestation Gaz]]+factures[[#This Row],[Prix analyses HT]]</f>
        <v>305.18</v>
      </c>
      <c r="AG65" s="69" t="s">
        <v>1944</v>
      </c>
      <c r="AH65" s="86" t="s">
        <v>1945</v>
      </c>
      <c r="AI65" s="69"/>
    </row>
    <row r="66" spans="1:35" ht="36" x14ac:dyDescent="0.3">
      <c r="A66" s="92" t="s">
        <v>558</v>
      </c>
      <c r="B66" s="72">
        <v>78130</v>
      </c>
      <c r="C66" s="69" t="s">
        <v>553</v>
      </c>
      <c r="D66" s="69" t="s">
        <v>554</v>
      </c>
      <c r="E66" s="69">
        <v>402</v>
      </c>
      <c r="F66" s="69">
        <v>4</v>
      </c>
      <c r="G66" s="69">
        <v>3</v>
      </c>
      <c r="H66" s="69">
        <v>50973</v>
      </c>
      <c r="I66" s="69">
        <v>1026</v>
      </c>
      <c r="J66" s="90" t="s">
        <v>555</v>
      </c>
      <c r="K66" s="69"/>
      <c r="L66" s="69" t="s">
        <v>559</v>
      </c>
      <c r="M66" s="71">
        <v>43525</v>
      </c>
      <c r="N66" s="69" t="s">
        <v>83</v>
      </c>
      <c r="O66" s="71">
        <v>43530</v>
      </c>
      <c r="P66" s="69">
        <v>10</v>
      </c>
      <c r="Q66" s="69" t="s">
        <v>77</v>
      </c>
      <c r="R66" s="73" t="s">
        <v>560</v>
      </c>
      <c r="S66" s="69">
        <v>930047</v>
      </c>
      <c r="T66" s="69"/>
      <c r="U66" s="69" t="s">
        <v>624</v>
      </c>
      <c r="V66" s="69" t="s">
        <v>55</v>
      </c>
      <c r="W66" s="70">
        <f>IFERROR(VLOOKUP(factures[[#This Row],[DT Prestation Amiante 1]],presta_amiante1[#Data],2,0),0)</f>
        <v>55.49</v>
      </c>
      <c r="X66" s="69" t="s">
        <v>53</v>
      </c>
      <c r="Y66" s="70">
        <f>IFERROR(VLOOKUP(factures[[#This Row],[DT Prestation Amiante 2]],presta_amiante2[#Data],2,0),0)</f>
        <v>60.11</v>
      </c>
      <c r="Z66" s="69"/>
      <c r="AA66" s="70">
        <f>IFERROR(VLOOKUP(factures[[#This Row],[DT Prestation Gaz]],presta_gaz[#Data],2,0),0)</f>
        <v>0</v>
      </c>
      <c r="AB66" s="69">
        <v>2</v>
      </c>
      <c r="AC66" s="69" t="s">
        <v>73</v>
      </c>
      <c r="AD66" s="70">
        <f>IFERROR(VLOOKUP(factures[[#This Row],[DT Analyses]],DT_analyses[#Data],2,0),0)</f>
        <v>36.99</v>
      </c>
      <c r="AE66" s="70">
        <f>IFERROR(factures[[#This Row],[Plvts ]]*factures[[#This Row],[Prix Analyses]],0)</f>
        <v>73.98</v>
      </c>
      <c r="AF66" s="70">
        <f>factures[[#This Row],[Prix Prestation Amiante 1]]+factures[[#This Row],[Prix Prestation Amiante 2]]+factures[[#This Row],[Prix Prestation Gaz]]+factures[[#This Row],[Prix analyses HT]]</f>
        <v>189.57999999999998</v>
      </c>
      <c r="AG66" s="69" t="s">
        <v>1946</v>
      </c>
      <c r="AH66" s="86" t="s">
        <v>1945</v>
      </c>
      <c r="AI66" s="69"/>
    </row>
    <row r="67" spans="1:35" ht="61.2" x14ac:dyDescent="0.3">
      <c r="A67" s="92" t="s">
        <v>567</v>
      </c>
      <c r="B67" s="72">
        <v>78570</v>
      </c>
      <c r="C67" s="69" t="s">
        <v>568</v>
      </c>
      <c r="D67" s="69" t="s">
        <v>569</v>
      </c>
      <c r="E67" s="69">
        <v>4</v>
      </c>
      <c r="F67" s="69" t="s">
        <v>102</v>
      </c>
      <c r="G67" s="69">
        <v>2</v>
      </c>
      <c r="H67" s="69">
        <v>52415</v>
      </c>
      <c r="I67" s="69">
        <v>9288</v>
      </c>
      <c r="J67" s="69" t="s">
        <v>570</v>
      </c>
      <c r="K67" s="69"/>
      <c r="L67" s="69" t="s">
        <v>571</v>
      </c>
      <c r="M67" s="71">
        <v>43528</v>
      </c>
      <c r="N67" s="69" t="s">
        <v>84</v>
      </c>
      <c r="O67" s="71">
        <v>43530</v>
      </c>
      <c r="P67" s="69">
        <v>15</v>
      </c>
      <c r="Q67" s="69" t="s">
        <v>77</v>
      </c>
      <c r="R67" s="73" t="s">
        <v>572</v>
      </c>
      <c r="S67" s="69">
        <v>929624</v>
      </c>
      <c r="T67" s="69"/>
      <c r="U67" s="69" t="s">
        <v>625</v>
      </c>
      <c r="V67" s="69" t="s">
        <v>55</v>
      </c>
      <c r="W67" s="70">
        <f>IFERROR(VLOOKUP(factures[[#This Row],[DT Prestation Amiante 1]],presta_amiante1[#Data],2,0),0)</f>
        <v>55.49</v>
      </c>
      <c r="X67" s="69" t="s">
        <v>53</v>
      </c>
      <c r="Y67" s="70">
        <f>IFERROR(VLOOKUP(factures[[#This Row],[DT Prestation Amiante 2]],presta_amiante2[#Data],2,0),0)</f>
        <v>60.11</v>
      </c>
      <c r="Z67" s="69" t="s">
        <v>61</v>
      </c>
      <c r="AA67" s="70">
        <f>IFERROR(VLOOKUP(factures[[#This Row],[DT Prestation Gaz]],presta_gaz[#Data],2,0),0)</f>
        <v>41.62</v>
      </c>
      <c r="AB67" s="69">
        <v>5</v>
      </c>
      <c r="AC67" s="69" t="s">
        <v>73</v>
      </c>
      <c r="AD67" s="70">
        <f>IFERROR(VLOOKUP(factures[[#This Row],[DT Analyses]],DT_analyses[#Data],2,0),0)</f>
        <v>36.99</v>
      </c>
      <c r="AE67" s="70">
        <f>IFERROR(factures[[#This Row],[Plvts ]]*factures[[#This Row],[Prix Analyses]],0)</f>
        <v>184.95000000000002</v>
      </c>
      <c r="AF67" s="70">
        <f>factures[[#This Row],[Prix Prestation Amiante 1]]+factures[[#This Row],[Prix Prestation Amiante 2]]+factures[[#This Row],[Prix Prestation Gaz]]+factures[[#This Row],[Prix analyses HT]]</f>
        <v>342.17</v>
      </c>
      <c r="AG67" s="69" t="s">
        <v>681</v>
      </c>
      <c r="AH67" s="86" t="s">
        <v>682</v>
      </c>
      <c r="AI67" s="69"/>
    </row>
    <row r="68" spans="1:35" ht="36" x14ac:dyDescent="0.3">
      <c r="A68" s="92" t="s">
        <v>573</v>
      </c>
      <c r="B68" s="72">
        <v>78130</v>
      </c>
      <c r="C68" s="69" t="s">
        <v>574</v>
      </c>
      <c r="D68" s="69" t="s">
        <v>575</v>
      </c>
      <c r="E68" s="69">
        <v>601</v>
      </c>
      <c r="F68" s="69">
        <v>6</v>
      </c>
      <c r="G68" s="69">
        <v>4</v>
      </c>
      <c r="H68" s="69">
        <v>51568</v>
      </c>
      <c r="I68" s="69">
        <v>1021</v>
      </c>
      <c r="J68" s="69" t="s">
        <v>555</v>
      </c>
      <c r="K68" s="69"/>
      <c r="L68" s="69" t="s">
        <v>576</v>
      </c>
      <c r="M68" s="71">
        <v>43528</v>
      </c>
      <c r="N68" s="69" t="s">
        <v>84</v>
      </c>
      <c r="O68" s="71">
        <v>43530</v>
      </c>
      <c r="P68" s="69">
        <v>10</v>
      </c>
      <c r="Q68" s="69" t="s">
        <v>77</v>
      </c>
      <c r="R68" s="73" t="s">
        <v>627</v>
      </c>
      <c r="S68" s="69">
        <v>930335</v>
      </c>
      <c r="T68" s="69"/>
      <c r="U68" s="69" t="s">
        <v>626</v>
      </c>
      <c r="V68" s="69" t="s">
        <v>55</v>
      </c>
      <c r="W68" s="70">
        <f>IFERROR(VLOOKUP(factures[[#This Row],[DT Prestation Amiante 1]],presta_amiante1[#Data],2,0),0)</f>
        <v>55.49</v>
      </c>
      <c r="X68" s="69" t="s">
        <v>54</v>
      </c>
      <c r="Y68" s="70">
        <f>IFERROR(VLOOKUP(factures[[#This Row],[DT Prestation Amiante 2]],presta_amiante2[#Data],2,0),0)</f>
        <v>69.36</v>
      </c>
      <c r="Z68" s="69" t="s">
        <v>62</v>
      </c>
      <c r="AA68" s="70">
        <f>IFERROR(VLOOKUP(factures[[#This Row],[DT Prestation Gaz]],presta_gaz[#Data],2,0),0)</f>
        <v>49.01</v>
      </c>
      <c r="AB68" s="69">
        <v>4</v>
      </c>
      <c r="AC68" s="69" t="s">
        <v>73</v>
      </c>
      <c r="AD68" s="70">
        <f>IFERROR(VLOOKUP(factures[[#This Row],[DT Analyses]],DT_analyses[#Data],2,0),0)</f>
        <v>36.99</v>
      </c>
      <c r="AE68" s="70">
        <f>IFERROR(factures[[#This Row],[Plvts ]]*factures[[#This Row],[Prix Analyses]],0)</f>
        <v>147.96</v>
      </c>
      <c r="AF68" s="70">
        <f>factures[[#This Row],[Prix Prestation Amiante 1]]+factures[[#This Row],[Prix Prestation Amiante 2]]+factures[[#This Row],[Prix Prestation Gaz]]+factures[[#This Row],[Prix analyses HT]]</f>
        <v>321.82</v>
      </c>
      <c r="AG68" s="69" t="s">
        <v>1947</v>
      </c>
      <c r="AH68" s="86" t="s">
        <v>1945</v>
      </c>
      <c r="AI68" s="69"/>
    </row>
    <row r="69" spans="1:35" ht="36" x14ac:dyDescent="0.3">
      <c r="A69" s="92" t="s">
        <v>577</v>
      </c>
      <c r="B69" s="72">
        <v>92400</v>
      </c>
      <c r="C69" s="69" t="s">
        <v>104</v>
      </c>
      <c r="D69" s="69" t="s">
        <v>578</v>
      </c>
      <c r="E69" s="69">
        <v>418</v>
      </c>
      <c r="F69" s="69">
        <v>4</v>
      </c>
      <c r="G69" s="69">
        <v>2</v>
      </c>
      <c r="H69" s="69">
        <v>44232</v>
      </c>
      <c r="I69" s="69">
        <v>871</v>
      </c>
      <c r="J69" s="69" t="s">
        <v>612</v>
      </c>
      <c r="K69" s="69" t="s">
        <v>613</v>
      </c>
      <c r="L69" s="69" t="s">
        <v>579</v>
      </c>
      <c r="M69" s="71">
        <v>43528</v>
      </c>
      <c r="N69" s="69" t="s">
        <v>70</v>
      </c>
      <c r="O69" s="71">
        <v>43531</v>
      </c>
      <c r="P69" s="69" t="s">
        <v>614</v>
      </c>
      <c r="Q69" s="69" t="s">
        <v>77</v>
      </c>
      <c r="R69" s="73" t="s">
        <v>582</v>
      </c>
      <c r="S69" s="69">
        <v>930641</v>
      </c>
      <c r="T69" s="69"/>
      <c r="U69" s="69" t="s">
        <v>628</v>
      </c>
      <c r="V69" s="69" t="s">
        <v>53</v>
      </c>
      <c r="W69" s="70">
        <f>IFERROR(VLOOKUP(factures[[#This Row],[DT Prestation Amiante 1]],presta_amiante1[#Data],2,0),0)</f>
        <v>60.11</v>
      </c>
      <c r="X69" s="69"/>
      <c r="Y69" s="70">
        <f>IFERROR(VLOOKUP(factures[[#This Row],[DT Prestation Amiante 2]],presta_amiante2[#Data],2,0),0)</f>
        <v>0</v>
      </c>
      <c r="Z69" s="69"/>
      <c r="AA69" s="70">
        <f>IFERROR(VLOOKUP(factures[[#This Row],[DT Prestation Gaz]],presta_gaz[#Data],2,0),0)</f>
        <v>0</v>
      </c>
      <c r="AB69" s="69">
        <v>2</v>
      </c>
      <c r="AC69" s="69" t="s">
        <v>73</v>
      </c>
      <c r="AD69" s="70">
        <f>IFERROR(VLOOKUP(factures[[#This Row],[DT Analyses]],DT_analyses[#Data],2,0),0)</f>
        <v>36.99</v>
      </c>
      <c r="AE69" s="70">
        <f>IFERROR(factures[[#This Row],[Plvts ]]*factures[[#This Row],[Prix Analyses]],0)</f>
        <v>73.98</v>
      </c>
      <c r="AF69" s="70">
        <f>factures[[#This Row],[Prix Prestation Amiante 1]]+factures[[#This Row],[Prix Prestation Amiante 2]]+factures[[#This Row],[Prix Prestation Gaz]]+factures[[#This Row],[Prix analyses HT]]</f>
        <v>134.09</v>
      </c>
      <c r="AG69" s="69" t="s">
        <v>683</v>
      </c>
      <c r="AH69" s="86" t="s">
        <v>682</v>
      </c>
      <c r="AI69" s="69"/>
    </row>
    <row r="70" spans="1:35" ht="33" customHeight="1" x14ac:dyDescent="0.3">
      <c r="A70" s="92" t="s">
        <v>608</v>
      </c>
      <c r="B70" s="72">
        <v>92600</v>
      </c>
      <c r="C70" s="69" t="s">
        <v>609</v>
      </c>
      <c r="D70" s="69" t="s">
        <v>110</v>
      </c>
      <c r="E70" s="69">
        <v>301</v>
      </c>
      <c r="F70" s="69">
        <v>3</v>
      </c>
      <c r="G70" s="69">
        <v>3</v>
      </c>
      <c r="H70" s="69">
        <v>42025</v>
      </c>
      <c r="I70" s="69">
        <v>842</v>
      </c>
      <c r="J70" s="69" t="s">
        <v>785</v>
      </c>
      <c r="K70" s="69"/>
      <c r="L70" s="69" t="s">
        <v>610</v>
      </c>
      <c r="M70" s="71">
        <v>43530</v>
      </c>
      <c r="N70" s="69" t="s">
        <v>71</v>
      </c>
      <c r="O70" s="71">
        <v>43531</v>
      </c>
      <c r="P70" s="69" t="s">
        <v>337</v>
      </c>
      <c r="Q70" s="69" t="s">
        <v>77</v>
      </c>
      <c r="R70" s="73" t="s">
        <v>611</v>
      </c>
      <c r="S70" s="69">
        <v>930983</v>
      </c>
      <c r="T70" s="69"/>
      <c r="U70" s="69" t="s">
        <v>629</v>
      </c>
      <c r="V70" s="69" t="s">
        <v>53</v>
      </c>
      <c r="W70" s="70">
        <f>IFERROR(VLOOKUP(factures[[#This Row],[DT Prestation Amiante 1]],presta_amiante1[#Data],2,0),0)</f>
        <v>60.11</v>
      </c>
      <c r="X70" s="69"/>
      <c r="Y70" s="70">
        <f>IFERROR(VLOOKUP(factures[[#This Row],[DT Prestation Amiante 2]],presta_amiante2[#Data],2,0),0)</f>
        <v>0</v>
      </c>
      <c r="Z70" s="69" t="s">
        <v>61</v>
      </c>
      <c r="AA70" s="70">
        <f>IFERROR(VLOOKUP(factures[[#This Row],[DT Prestation Gaz]],presta_gaz[#Data],2,0),0)</f>
        <v>41.62</v>
      </c>
      <c r="AB70" s="69">
        <v>6</v>
      </c>
      <c r="AC70" s="69" t="s">
        <v>73</v>
      </c>
      <c r="AD70" s="70">
        <f>IFERROR(VLOOKUP(factures[[#This Row],[DT Analyses]],DT_analyses[#Data],2,0),0)</f>
        <v>36.99</v>
      </c>
      <c r="AE70" s="70">
        <f>IFERROR(factures[[#This Row],[Plvts ]]*factures[[#This Row],[Prix Analyses]],0)</f>
        <v>221.94</v>
      </c>
      <c r="AF70" s="70">
        <f>factures[[#This Row],[Prix Prestation Amiante 1]]+factures[[#This Row],[Prix Prestation Amiante 2]]+factures[[#This Row],[Prix Prestation Gaz]]+factures[[#This Row],[Prix analyses HT]]</f>
        <v>323.66999999999996</v>
      </c>
      <c r="AG70" s="69" t="s">
        <v>684</v>
      </c>
      <c r="AH70" s="86" t="s">
        <v>682</v>
      </c>
      <c r="AI70" s="69"/>
    </row>
    <row r="71" spans="1:35" ht="45" customHeight="1" x14ac:dyDescent="0.3">
      <c r="A71" s="92" t="s">
        <v>424</v>
      </c>
      <c r="B71" s="72">
        <v>93170</v>
      </c>
      <c r="C71" s="69" t="s">
        <v>425</v>
      </c>
      <c r="D71" s="69" t="s">
        <v>429</v>
      </c>
      <c r="E71" s="69"/>
      <c r="F71" s="69"/>
      <c r="G71" s="69">
        <v>2</v>
      </c>
      <c r="H71" s="69"/>
      <c r="I71" s="69">
        <v>501</v>
      </c>
      <c r="J71" s="69" t="s">
        <v>616</v>
      </c>
      <c r="K71" s="69"/>
      <c r="L71" s="69"/>
      <c r="M71" s="71"/>
      <c r="N71" s="69" t="s">
        <v>70</v>
      </c>
      <c r="O71" s="71">
        <v>43531</v>
      </c>
      <c r="P71" s="69" t="s">
        <v>619</v>
      </c>
      <c r="Q71" s="92" t="s">
        <v>77</v>
      </c>
      <c r="R71" s="73" t="s">
        <v>423</v>
      </c>
      <c r="S71" s="69">
        <v>915238</v>
      </c>
      <c r="T71" s="69" t="s">
        <v>484</v>
      </c>
      <c r="U71" s="69" t="s">
        <v>630</v>
      </c>
      <c r="V71" s="69" t="s">
        <v>53</v>
      </c>
      <c r="W71" s="70">
        <f>IFERROR(VLOOKUP(factures[[#This Row],[DT Prestation Amiante 1]],presta_amiante1[#Data],2,0),0)</f>
        <v>60.11</v>
      </c>
      <c r="X71" s="69"/>
      <c r="Y71" s="70">
        <f>IFERROR(VLOOKUP(factures[[#This Row],[DT Prestation Amiante 2]],presta_amiante2[#Data],2,0),0)</f>
        <v>0</v>
      </c>
      <c r="Z71" s="69"/>
      <c r="AA71" s="70">
        <f>IFERROR(VLOOKUP(factures[[#This Row],[DT Prestation Gaz]],presta_gaz[#Data],2,0),0)</f>
        <v>0</v>
      </c>
      <c r="AB71" s="69">
        <v>3</v>
      </c>
      <c r="AC71" s="69" t="s">
        <v>73</v>
      </c>
      <c r="AD71" s="70">
        <f>IFERROR(VLOOKUP(factures[[#This Row],[DT Analyses]],DT_analyses[#Data],2,0),0)</f>
        <v>36.99</v>
      </c>
      <c r="AE71" s="70">
        <f>IFERROR(factures[[#This Row],[Plvts ]]*factures[[#This Row],[Prix Analyses]],0)</f>
        <v>110.97</v>
      </c>
      <c r="AF71" s="70">
        <f>factures[[#This Row],[Prix Prestation Amiante 1]]+factures[[#This Row],[Prix Prestation Amiante 2]]+factures[[#This Row],[Prix Prestation Gaz]]+factures[[#This Row],[Prix analyses HT]]</f>
        <v>171.07999999999998</v>
      </c>
      <c r="AG71" s="69" t="s">
        <v>817</v>
      </c>
      <c r="AH71" s="86" t="s">
        <v>818</v>
      </c>
      <c r="AI71" s="69"/>
    </row>
    <row r="72" spans="1:35" ht="36.75" customHeight="1" x14ac:dyDescent="0.3">
      <c r="A72" s="92" t="s">
        <v>448</v>
      </c>
      <c r="B72" s="72">
        <v>91</v>
      </c>
      <c r="C72" s="69" t="s">
        <v>446</v>
      </c>
      <c r="D72" s="69" t="s">
        <v>447</v>
      </c>
      <c r="E72" s="69"/>
      <c r="F72" s="69"/>
      <c r="G72" s="69">
        <v>3</v>
      </c>
      <c r="H72" s="69"/>
      <c r="I72" s="69">
        <v>191</v>
      </c>
      <c r="J72" s="69" t="s">
        <v>516</v>
      </c>
      <c r="K72" s="69"/>
      <c r="L72" s="69"/>
      <c r="M72" s="71"/>
      <c r="N72" s="69" t="s">
        <v>70</v>
      </c>
      <c r="O72" s="71">
        <v>43531</v>
      </c>
      <c r="P72" s="69" t="s">
        <v>618</v>
      </c>
      <c r="Q72" s="69" t="s">
        <v>77</v>
      </c>
      <c r="R72" s="73" t="s">
        <v>423</v>
      </c>
      <c r="S72" s="69">
        <v>914965</v>
      </c>
      <c r="T72" s="69"/>
      <c r="U72" s="69" t="s">
        <v>631</v>
      </c>
      <c r="V72" s="69" t="s">
        <v>53</v>
      </c>
      <c r="W72" s="70">
        <f>IFERROR(VLOOKUP(factures[[#This Row],[DT Prestation Amiante 1]],presta_amiante1[#Data],2,0),0)</f>
        <v>60.11</v>
      </c>
      <c r="X72" s="69"/>
      <c r="Y72" s="70">
        <f>IFERROR(VLOOKUP(factures[[#This Row],[DT Prestation Amiante 2]],presta_amiante2[#Data],2,0),0)</f>
        <v>0</v>
      </c>
      <c r="Z72" s="69"/>
      <c r="AA72" s="70">
        <f>IFERROR(VLOOKUP(factures[[#This Row],[DT Prestation Gaz]],presta_gaz[#Data],2,0),0)</f>
        <v>0</v>
      </c>
      <c r="AB72" s="69">
        <v>2</v>
      </c>
      <c r="AC72" s="69" t="s">
        <v>73</v>
      </c>
      <c r="AD72" s="70">
        <f>IFERROR(VLOOKUP(factures[[#This Row],[DT Analyses]],DT_analyses[#Data],2,0),0)</f>
        <v>36.99</v>
      </c>
      <c r="AE72" s="70">
        <f>IFERROR(factures[[#This Row],[Plvts ]]*factures[[#This Row],[Prix Analyses]],0)</f>
        <v>73.98</v>
      </c>
      <c r="AF72" s="70">
        <f>factures[[#This Row],[Prix Prestation Amiante 1]]+factures[[#This Row],[Prix Prestation Amiante 2]]+factures[[#This Row],[Prix Prestation Gaz]]+factures[[#This Row],[Prix analyses HT]]</f>
        <v>134.09</v>
      </c>
      <c r="AG72" s="69" t="s">
        <v>712</v>
      </c>
      <c r="AH72" s="86" t="s">
        <v>704</v>
      </c>
      <c r="AI72" s="69"/>
    </row>
    <row r="73" spans="1:35" ht="79.5" customHeight="1" x14ac:dyDescent="0.3">
      <c r="A73" s="92" t="s">
        <v>583</v>
      </c>
      <c r="B73" s="72">
        <v>92260</v>
      </c>
      <c r="C73" s="69" t="s">
        <v>500</v>
      </c>
      <c r="D73" s="69" t="s">
        <v>584</v>
      </c>
      <c r="E73" s="69">
        <v>202</v>
      </c>
      <c r="F73" s="69">
        <v>2</v>
      </c>
      <c r="G73" s="69">
        <v>3</v>
      </c>
      <c r="H73" s="69">
        <v>63306</v>
      </c>
      <c r="I73" s="69">
        <v>9216</v>
      </c>
      <c r="J73" s="69" t="s">
        <v>587</v>
      </c>
      <c r="K73" s="69"/>
      <c r="L73" s="69" t="s">
        <v>585</v>
      </c>
      <c r="M73" s="71">
        <v>43529</v>
      </c>
      <c r="N73" s="69" t="s">
        <v>71</v>
      </c>
      <c r="O73" s="71">
        <v>43531</v>
      </c>
      <c r="P73" s="69" t="s">
        <v>233</v>
      </c>
      <c r="Q73" s="69" t="s">
        <v>77</v>
      </c>
      <c r="R73" s="73" t="s">
        <v>586</v>
      </c>
      <c r="S73" s="69">
        <v>930873</v>
      </c>
      <c r="T73" s="69"/>
      <c r="U73" s="69" t="s">
        <v>632</v>
      </c>
      <c r="V73" s="69" t="s">
        <v>53</v>
      </c>
      <c r="W73" s="70">
        <f>IFERROR(VLOOKUP(factures[[#This Row],[DT Prestation Amiante 1]],presta_amiante1[#Data],2,0),0)</f>
        <v>60.11</v>
      </c>
      <c r="X73" s="69"/>
      <c r="Y73" s="70">
        <f>IFERROR(VLOOKUP(factures[[#This Row],[DT Prestation Amiante 2]],presta_amiante2[#Data],2,0),0)</f>
        <v>0</v>
      </c>
      <c r="Z73" s="69" t="s">
        <v>61</v>
      </c>
      <c r="AA73" s="70">
        <f>IFERROR(VLOOKUP(factures[[#This Row],[DT Prestation Gaz]],presta_gaz[#Data],2,0),0)</f>
        <v>41.62</v>
      </c>
      <c r="AB73" s="69">
        <v>1</v>
      </c>
      <c r="AC73" s="69" t="s">
        <v>73</v>
      </c>
      <c r="AD73" s="70">
        <f>IFERROR(VLOOKUP(factures[[#This Row],[DT Analyses]],DT_analyses[#Data],2,0),0)</f>
        <v>36.99</v>
      </c>
      <c r="AE73" s="70">
        <f>IFERROR(factures[[#This Row],[Plvts ]]*factures[[#This Row],[Prix Analyses]],0)</f>
        <v>36.99</v>
      </c>
      <c r="AF73" s="70">
        <f>factures[[#This Row],[Prix Prestation Amiante 1]]+factures[[#This Row],[Prix Prestation Amiante 2]]+factures[[#This Row],[Prix Prestation Gaz]]+factures[[#This Row],[Prix analyses HT]]</f>
        <v>138.72</v>
      </c>
      <c r="AG73" s="69" t="s">
        <v>685</v>
      </c>
      <c r="AH73" s="86" t="s">
        <v>682</v>
      </c>
      <c r="AI73" s="69"/>
    </row>
    <row r="74" spans="1:35" ht="40.799999999999997" x14ac:dyDescent="0.3">
      <c r="A74" s="92" t="s">
        <v>615</v>
      </c>
      <c r="B74" s="72">
        <v>94000</v>
      </c>
      <c r="C74" s="69" t="s">
        <v>298</v>
      </c>
      <c r="D74" s="69" t="s">
        <v>591</v>
      </c>
      <c r="E74" s="69">
        <v>202</v>
      </c>
      <c r="F74" s="69">
        <v>2</v>
      </c>
      <c r="G74" s="69">
        <v>4</v>
      </c>
      <c r="H74" s="69">
        <v>45449</v>
      </c>
      <c r="I74" s="69">
        <v>895</v>
      </c>
      <c r="J74" s="69" t="s">
        <v>592</v>
      </c>
      <c r="K74" s="69"/>
      <c r="L74" s="69" t="s">
        <v>593</v>
      </c>
      <c r="M74" s="71">
        <v>43529</v>
      </c>
      <c r="N74" s="69" t="s">
        <v>70</v>
      </c>
      <c r="O74" s="71">
        <v>43531</v>
      </c>
      <c r="P74" s="69" t="s">
        <v>339</v>
      </c>
      <c r="Q74" s="69" t="s">
        <v>77</v>
      </c>
      <c r="R74" s="73" t="s">
        <v>594</v>
      </c>
      <c r="S74" s="69">
        <v>930716</v>
      </c>
      <c r="T74" s="69"/>
      <c r="U74" s="69" t="s">
        <v>633</v>
      </c>
      <c r="V74" s="69" t="s">
        <v>54</v>
      </c>
      <c r="W74" s="70">
        <f>IFERROR(VLOOKUP(factures[[#This Row],[DT Prestation Amiante 1]],presta_amiante1[#Data],2,0),0)</f>
        <v>69.36</v>
      </c>
      <c r="X74" s="69"/>
      <c r="Y74" s="70">
        <f>IFERROR(VLOOKUP(factures[[#This Row],[DT Prestation Amiante 2]],presta_amiante2[#Data],2,0),0)</f>
        <v>0</v>
      </c>
      <c r="Z74" s="69"/>
      <c r="AA74" s="70">
        <f>IFERROR(VLOOKUP(factures[[#This Row],[DT Prestation Gaz]],presta_gaz[#Data],2,0),0)</f>
        <v>0</v>
      </c>
      <c r="AB74" s="69">
        <v>4</v>
      </c>
      <c r="AC74" s="69" t="s">
        <v>73</v>
      </c>
      <c r="AD74" s="70">
        <f>IFERROR(VLOOKUP(factures[[#This Row],[DT Analyses]],DT_analyses[#Data],2,0),0)</f>
        <v>36.99</v>
      </c>
      <c r="AE74" s="70">
        <f>IFERROR(factures[[#This Row],[Plvts ]]*factures[[#This Row],[Prix Analyses]],0)</f>
        <v>147.96</v>
      </c>
      <c r="AF74" s="70">
        <f>factures[[#This Row],[Prix Prestation Amiante 1]]+factures[[#This Row],[Prix Prestation Amiante 2]]+factures[[#This Row],[Prix Prestation Gaz]]+factures[[#This Row],[Prix analyses HT]]</f>
        <v>217.32</v>
      </c>
      <c r="AG74" s="69" t="s">
        <v>686</v>
      </c>
      <c r="AH74" s="86" t="s">
        <v>682</v>
      </c>
      <c r="AI74" s="69"/>
    </row>
    <row r="75" spans="1:35" ht="93" customHeight="1" x14ac:dyDescent="0.3">
      <c r="A75" s="92" t="s">
        <v>648</v>
      </c>
      <c r="B75" s="72">
        <v>78260</v>
      </c>
      <c r="C75" s="69" t="s">
        <v>1082</v>
      </c>
      <c r="D75" s="69" t="s">
        <v>438</v>
      </c>
      <c r="E75" s="69">
        <v>401</v>
      </c>
      <c r="F75" s="69">
        <v>4</v>
      </c>
      <c r="G75" s="69">
        <v>3</v>
      </c>
      <c r="H75" s="69">
        <v>39736</v>
      </c>
      <c r="I75" s="69">
        <v>815</v>
      </c>
      <c r="J75" s="69" t="s">
        <v>470</v>
      </c>
      <c r="K75" s="69"/>
      <c r="L75" s="69" t="s">
        <v>649</v>
      </c>
      <c r="M75" s="71">
        <v>43536</v>
      </c>
      <c r="N75" s="69" t="s">
        <v>84</v>
      </c>
      <c r="O75" s="71">
        <v>43538</v>
      </c>
      <c r="P75" s="69" t="s">
        <v>656</v>
      </c>
      <c r="Q75" s="92" t="s">
        <v>77</v>
      </c>
      <c r="R75" s="73" t="s">
        <v>650</v>
      </c>
      <c r="S75" s="69">
        <v>932188</v>
      </c>
      <c r="T75" s="69"/>
      <c r="U75" s="69" t="s">
        <v>661</v>
      </c>
      <c r="V75" s="69" t="s">
        <v>55</v>
      </c>
      <c r="W75" s="70">
        <f>IFERROR(VLOOKUP(factures[[#This Row],[DT Prestation Amiante 1]],presta_amiante1[#Data],2,0),0)</f>
        <v>55.49</v>
      </c>
      <c r="X75" s="69" t="s">
        <v>53</v>
      </c>
      <c r="Y75" s="70">
        <f>IFERROR(VLOOKUP(factures[[#This Row],[DT Prestation Amiante 2]],presta_amiante2[#Data],2,0),0)</f>
        <v>60.11</v>
      </c>
      <c r="Z75" s="69" t="s">
        <v>61</v>
      </c>
      <c r="AA75" s="70">
        <f>IFERROR(VLOOKUP(factures[[#This Row],[DT Prestation Gaz]],presta_gaz[#Data],2,0),0)</f>
        <v>41.62</v>
      </c>
      <c r="AB75" s="69">
        <v>12</v>
      </c>
      <c r="AC75" s="69" t="s">
        <v>73</v>
      </c>
      <c r="AD75" s="70">
        <f>IFERROR(VLOOKUP(factures[[#This Row],[DT Analyses]],DT_analyses[#Data],2,0),0)</f>
        <v>36.99</v>
      </c>
      <c r="AE75" s="70">
        <f>IFERROR(factures[[#This Row],[Plvts ]]*factures[[#This Row],[Prix Analyses]],0)</f>
        <v>443.88</v>
      </c>
      <c r="AF75" s="70">
        <f>factures[[#This Row],[Prix Prestation Amiante 1]]+factures[[#This Row],[Prix Prestation Amiante 2]]+factures[[#This Row],[Prix Prestation Gaz]]+factures[[#This Row],[Prix analyses HT]]</f>
        <v>601.1</v>
      </c>
      <c r="AG75" s="69" t="s">
        <v>835</v>
      </c>
      <c r="AH75" s="86" t="s">
        <v>818</v>
      </c>
      <c r="AI75" s="69"/>
    </row>
    <row r="76" spans="1:35" ht="36" x14ac:dyDescent="0.3">
      <c r="A76" s="92" t="s">
        <v>651</v>
      </c>
      <c r="B76" s="72">
        <v>78800</v>
      </c>
      <c r="C76" s="69" t="s">
        <v>123</v>
      </c>
      <c r="D76" s="69" t="s">
        <v>347</v>
      </c>
      <c r="E76" s="69">
        <v>203</v>
      </c>
      <c r="F76" s="69">
        <v>2</v>
      </c>
      <c r="G76" s="69">
        <v>3</v>
      </c>
      <c r="H76" s="69">
        <v>8524</v>
      </c>
      <c r="I76" s="69">
        <v>122</v>
      </c>
      <c r="J76" s="82" t="s">
        <v>125</v>
      </c>
      <c r="K76" s="69"/>
      <c r="L76" s="69" t="s">
        <v>652</v>
      </c>
      <c r="M76" s="71">
        <v>43536</v>
      </c>
      <c r="N76" s="69" t="s">
        <v>83</v>
      </c>
      <c r="O76" s="71">
        <v>43538</v>
      </c>
      <c r="P76" s="69">
        <v>14</v>
      </c>
      <c r="Q76" s="69" t="s">
        <v>77</v>
      </c>
      <c r="R76" s="73" t="s">
        <v>653</v>
      </c>
      <c r="S76" s="69">
        <v>932151</v>
      </c>
      <c r="T76" s="69"/>
      <c r="U76" s="69" t="s">
        <v>662</v>
      </c>
      <c r="V76" s="69" t="s">
        <v>55</v>
      </c>
      <c r="W76" s="70">
        <f>IFERROR(VLOOKUP(factures[[#This Row],[DT Prestation Amiante 1]],presta_amiante1[#Data],2,0),0)</f>
        <v>55.49</v>
      </c>
      <c r="X76" s="69" t="s">
        <v>53</v>
      </c>
      <c r="Y76" s="70">
        <f>IFERROR(VLOOKUP(factures[[#This Row],[DT Prestation Amiante 2]],presta_amiante2[#Data],2,0),0)</f>
        <v>60.11</v>
      </c>
      <c r="Z76" s="69"/>
      <c r="AA76" s="70">
        <f>IFERROR(VLOOKUP(factures[[#This Row],[DT Prestation Gaz]],presta_gaz[#Data],2,0),0)</f>
        <v>0</v>
      </c>
      <c r="AB76" s="69">
        <v>2</v>
      </c>
      <c r="AC76" s="69" t="s">
        <v>73</v>
      </c>
      <c r="AD76" s="70">
        <f>IFERROR(VLOOKUP(factures[[#This Row],[DT Analyses]],DT_analyses[#Data],2,0),0)</f>
        <v>36.99</v>
      </c>
      <c r="AE76" s="70">
        <f>IFERROR(factures[[#This Row],[Plvts ]]*factures[[#This Row],[Prix Analyses]],0)</f>
        <v>73.98</v>
      </c>
      <c r="AF76" s="70">
        <f>factures[[#This Row],[Prix Prestation Amiante 1]]+factures[[#This Row],[Prix Prestation Amiante 2]]+factures[[#This Row],[Prix Prestation Gaz]]+factures[[#This Row],[Prix analyses HT]]</f>
        <v>189.57999999999998</v>
      </c>
      <c r="AG76" s="69" t="s">
        <v>698</v>
      </c>
      <c r="AH76" s="86" t="s">
        <v>697</v>
      </c>
      <c r="AI76" s="69"/>
    </row>
    <row r="77" spans="1:35" ht="36" x14ac:dyDescent="0.3">
      <c r="A77" s="92" t="s">
        <v>449</v>
      </c>
      <c r="B77" s="72">
        <v>95</v>
      </c>
      <c r="C77" s="69" t="s">
        <v>450</v>
      </c>
      <c r="D77" s="69" t="s">
        <v>451</v>
      </c>
      <c r="E77" s="69"/>
      <c r="F77" s="69"/>
      <c r="G77" s="69"/>
      <c r="H77" s="69"/>
      <c r="I77" s="69">
        <v>320</v>
      </c>
      <c r="J77" s="69" t="s">
        <v>617</v>
      </c>
      <c r="K77" s="69"/>
      <c r="L77" s="69"/>
      <c r="M77" s="71"/>
      <c r="N77" s="69" t="s">
        <v>70</v>
      </c>
      <c r="O77" s="74">
        <v>43532</v>
      </c>
      <c r="P77" s="74" t="s">
        <v>233</v>
      </c>
      <c r="Q77" s="69" t="s">
        <v>77</v>
      </c>
      <c r="R77" s="73" t="s">
        <v>423</v>
      </c>
      <c r="S77" s="69">
        <v>915037</v>
      </c>
      <c r="T77" s="91"/>
      <c r="U77" s="69" t="s">
        <v>660</v>
      </c>
      <c r="V77" s="69" t="s">
        <v>53</v>
      </c>
      <c r="W77" s="70">
        <f>IFERROR(VLOOKUP(factures[[#This Row],[DT Prestation Amiante 1]],presta_amiante1[#Data],2,0),0)</f>
        <v>60.11</v>
      </c>
      <c r="X77" s="69"/>
      <c r="Y77" s="70">
        <f>IFERROR(VLOOKUP(factures[[#This Row],[DT Prestation Amiante 2]],presta_amiante2[#Data],2,0),0)</f>
        <v>0</v>
      </c>
      <c r="Z77" s="69"/>
      <c r="AA77" s="70">
        <f>IFERROR(VLOOKUP(factures[[#This Row],[DT Prestation Gaz]],presta_gaz[#Data],2,0),0)</f>
        <v>0</v>
      </c>
      <c r="AB77" s="69">
        <v>2</v>
      </c>
      <c r="AC77" s="69" t="s">
        <v>73</v>
      </c>
      <c r="AD77" s="70">
        <f>IFERROR(VLOOKUP(factures[[#This Row],[DT Analyses]],DT_analyses[#Data],2,0),0)</f>
        <v>36.99</v>
      </c>
      <c r="AE77" s="70">
        <f>IFERROR(factures[[#This Row],[Plvts ]]*factures[[#This Row],[Prix Analyses]],0)</f>
        <v>73.98</v>
      </c>
      <c r="AF77" s="70">
        <f>factures[[#This Row],[Prix Prestation Amiante 1]]+factures[[#This Row],[Prix Prestation Amiante 2]]+factures[[#This Row],[Prix Prestation Gaz]]+factures[[#This Row],[Prix analyses HT]]</f>
        <v>134.09</v>
      </c>
      <c r="AG77" s="69" t="s">
        <v>713</v>
      </c>
      <c r="AH77" s="86" t="s">
        <v>704</v>
      </c>
      <c r="AI77" s="69"/>
    </row>
    <row r="78" spans="1:35" ht="36" x14ac:dyDescent="0.3">
      <c r="A78" s="92" t="s">
        <v>663</v>
      </c>
      <c r="B78" s="72">
        <v>78200</v>
      </c>
      <c r="C78" s="69" t="s">
        <v>189</v>
      </c>
      <c r="D78" s="69" t="s">
        <v>1344</v>
      </c>
      <c r="E78" s="69">
        <v>302</v>
      </c>
      <c r="F78" s="69">
        <v>3</v>
      </c>
      <c r="G78" s="69">
        <v>2</v>
      </c>
      <c r="H78" s="69">
        <v>43406</v>
      </c>
      <c r="I78" s="69">
        <v>861</v>
      </c>
      <c r="J78" s="69" t="s">
        <v>245</v>
      </c>
      <c r="K78" s="69"/>
      <c r="L78" s="69" t="s">
        <v>664</v>
      </c>
      <c r="M78" s="71">
        <v>43538</v>
      </c>
      <c r="N78" s="69" t="s">
        <v>71</v>
      </c>
      <c r="O78" s="74">
        <v>43543</v>
      </c>
      <c r="P78" s="69" t="s">
        <v>131</v>
      </c>
      <c r="Q78" s="69" t="s">
        <v>77</v>
      </c>
      <c r="R78" s="73" t="s">
        <v>665</v>
      </c>
      <c r="S78" s="69">
        <v>932487</v>
      </c>
      <c r="T78" s="69"/>
      <c r="U78" s="69" t="s">
        <v>687</v>
      </c>
      <c r="V78" s="69" t="s">
        <v>53</v>
      </c>
      <c r="W78" s="70">
        <f>IFERROR(VLOOKUP(factures[[#This Row],[DT Prestation Amiante 1]],presta_amiante1[#Data],2,0),0)</f>
        <v>60.11</v>
      </c>
      <c r="X78" s="69"/>
      <c r="Y78" s="70">
        <f>IFERROR(VLOOKUP(factures[[#This Row],[DT Prestation Amiante 2]],presta_amiante2[#Data],2,0),0)</f>
        <v>0</v>
      </c>
      <c r="Z78" s="69" t="s">
        <v>61</v>
      </c>
      <c r="AA78" s="70">
        <f>IFERROR(VLOOKUP(factures[[#This Row],[DT Prestation Gaz]],presta_gaz[#Data],2,0),0)</f>
        <v>41.62</v>
      </c>
      <c r="AB78" s="69">
        <v>6</v>
      </c>
      <c r="AC78" s="69" t="s">
        <v>73</v>
      </c>
      <c r="AD78" s="70">
        <f>IFERROR(VLOOKUP(factures[[#This Row],[DT Analyses]],DT_analyses[#Data],2,0),0)</f>
        <v>36.99</v>
      </c>
      <c r="AE78" s="70">
        <f>IFERROR(factures[[#This Row],[Plvts ]]*factures[[#This Row],[Prix Analyses]],0)</f>
        <v>221.94</v>
      </c>
      <c r="AF78" s="70">
        <f>factures[[#This Row],[Prix Prestation Amiante 1]]+factures[[#This Row],[Prix Prestation Amiante 2]]+factures[[#This Row],[Prix Prestation Gaz]]+factures[[#This Row],[Prix analyses HT]]</f>
        <v>323.66999999999996</v>
      </c>
      <c r="AG78" s="69" t="s">
        <v>774</v>
      </c>
      <c r="AH78" s="86" t="s">
        <v>773</v>
      </c>
      <c r="AI78" s="69"/>
    </row>
    <row r="79" spans="1:35" ht="48" x14ac:dyDescent="0.3">
      <c r="A79" s="92" t="s">
        <v>666</v>
      </c>
      <c r="B79" s="72">
        <v>78200</v>
      </c>
      <c r="C79" s="69" t="s">
        <v>189</v>
      </c>
      <c r="D79" s="69" t="s">
        <v>190</v>
      </c>
      <c r="E79" s="69">
        <v>2</v>
      </c>
      <c r="F79" s="69" t="s">
        <v>102</v>
      </c>
      <c r="G79" s="69">
        <v>4</v>
      </c>
      <c r="H79" s="69">
        <v>10945</v>
      </c>
      <c r="I79" s="69">
        <v>161</v>
      </c>
      <c r="J79" s="90" t="s">
        <v>191</v>
      </c>
      <c r="K79" s="69"/>
      <c r="L79" s="69" t="s">
        <v>667</v>
      </c>
      <c r="M79" s="71">
        <v>43538</v>
      </c>
      <c r="N79" s="69" t="s">
        <v>84</v>
      </c>
      <c r="O79" s="71">
        <v>43543</v>
      </c>
      <c r="P79" s="69"/>
      <c r="Q79" s="92" t="s">
        <v>77</v>
      </c>
      <c r="R79" s="73" t="s">
        <v>668</v>
      </c>
      <c r="S79" s="69">
        <v>932492</v>
      </c>
      <c r="T79" s="69"/>
      <c r="U79" s="69" t="s">
        <v>688</v>
      </c>
      <c r="V79" s="69" t="s">
        <v>55</v>
      </c>
      <c r="W79" s="70">
        <f>IFERROR(VLOOKUP(factures[[#This Row],[DT Prestation Amiante 1]],presta_amiante1[#Data],2,0),0)</f>
        <v>55.49</v>
      </c>
      <c r="X79" s="69" t="s">
        <v>54</v>
      </c>
      <c r="Y79" s="70">
        <f>IFERROR(VLOOKUP(factures[[#This Row],[DT Prestation Amiante 2]],presta_amiante2[#Data],2,0),0)</f>
        <v>69.36</v>
      </c>
      <c r="Z79" s="69"/>
      <c r="AA79" s="70">
        <f>IFERROR(VLOOKUP(factures[[#This Row],[DT Prestation Gaz]],presta_gaz[#Data],2,0),0)</f>
        <v>0</v>
      </c>
      <c r="AB79" s="69">
        <v>7</v>
      </c>
      <c r="AC79" s="69" t="s">
        <v>73</v>
      </c>
      <c r="AD79" s="70">
        <f>IFERROR(VLOOKUP(factures[[#This Row],[DT Analyses]],DT_analyses[#Data],2,0),0)</f>
        <v>36.99</v>
      </c>
      <c r="AE79" s="70">
        <f>IFERROR(factures[[#This Row],[Plvts ]]*factures[[#This Row],[Prix Analyses]],0)</f>
        <v>258.93</v>
      </c>
      <c r="AF79" s="70">
        <f>factures[[#This Row],[Prix Prestation Amiante 1]]+factures[[#This Row],[Prix Prestation Amiante 2]]+factures[[#This Row],[Prix Prestation Gaz]]+factures[[#This Row],[Prix analyses HT]]</f>
        <v>383.78</v>
      </c>
      <c r="AG79" s="69" t="s">
        <v>775</v>
      </c>
      <c r="AH79" s="86" t="s">
        <v>773</v>
      </c>
      <c r="AI79" s="69"/>
    </row>
    <row r="80" spans="1:35" ht="36" x14ac:dyDescent="0.3">
      <c r="A80" s="92" t="s">
        <v>669</v>
      </c>
      <c r="B80" s="72">
        <v>78200</v>
      </c>
      <c r="C80" s="69" t="s">
        <v>189</v>
      </c>
      <c r="D80" s="69" t="s">
        <v>190</v>
      </c>
      <c r="E80" s="69">
        <v>401</v>
      </c>
      <c r="F80" s="69">
        <v>4</v>
      </c>
      <c r="G80" s="69">
        <v>3</v>
      </c>
      <c r="H80" s="69">
        <v>10393</v>
      </c>
      <c r="I80" s="69">
        <v>161</v>
      </c>
      <c r="J80" s="69" t="s">
        <v>245</v>
      </c>
      <c r="K80" s="69"/>
      <c r="L80" s="69" t="s">
        <v>670</v>
      </c>
      <c r="M80" s="71">
        <v>43538</v>
      </c>
      <c r="N80" s="69" t="s">
        <v>84</v>
      </c>
      <c r="O80" s="71">
        <v>43543</v>
      </c>
      <c r="P80" s="69"/>
      <c r="Q80" s="69" t="s">
        <v>77</v>
      </c>
      <c r="R80" s="73" t="s">
        <v>671</v>
      </c>
      <c r="S80" s="69">
        <v>932491</v>
      </c>
      <c r="T80" s="69"/>
      <c r="U80" s="69" t="s">
        <v>689</v>
      </c>
      <c r="V80" s="69" t="s">
        <v>55</v>
      </c>
      <c r="W80" s="70">
        <f>IFERROR(VLOOKUP(factures[[#This Row],[DT Prestation Amiante 1]],presta_amiante1[#Data],2,0),0)</f>
        <v>55.49</v>
      </c>
      <c r="X80" s="69" t="s">
        <v>53</v>
      </c>
      <c r="Y80" s="70">
        <f>IFERROR(VLOOKUP(factures[[#This Row],[DT Prestation Amiante 2]],presta_amiante2[#Data],2,0),0)</f>
        <v>60.11</v>
      </c>
      <c r="Z80" s="69" t="s">
        <v>61</v>
      </c>
      <c r="AA80" s="70">
        <f>IFERROR(VLOOKUP(factures[[#This Row],[DT Prestation Gaz]],presta_gaz[#Data],2,0),0)</f>
        <v>41.62</v>
      </c>
      <c r="AB80" s="69">
        <v>10</v>
      </c>
      <c r="AC80" s="69" t="s">
        <v>73</v>
      </c>
      <c r="AD80" s="70">
        <f>IFERROR(VLOOKUP(factures[[#This Row],[DT Analyses]],DT_analyses[#Data],2,0),0)</f>
        <v>36.99</v>
      </c>
      <c r="AE80" s="70">
        <f>IFERROR(factures[[#This Row],[Plvts ]]*factures[[#This Row],[Prix Analyses]],0)</f>
        <v>369.90000000000003</v>
      </c>
      <c r="AF80" s="70">
        <f>factures[[#This Row],[Prix Prestation Amiante 1]]+factures[[#This Row],[Prix Prestation Amiante 2]]+factures[[#This Row],[Prix Prestation Gaz]]+factures[[#This Row],[Prix analyses HT]]</f>
        <v>527.12</v>
      </c>
      <c r="AG80" s="69" t="s">
        <v>899</v>
      </c>
      <c r="AH80" s="86" t="s">
        <v>900</v>
      </c>
      <c r="AI80" s="69"/>
    </row>
    <row r="81" spans="1:35" ht="48" x14ac:dyDescent="0.3">
      <c r="A81" s="92" t="s">
        <v>672</v>
      </c>
      <c r="B81" s="72">
        <v>78200</v>
      </c>
      <c r="C81" s="69" t="s">
        <v>189</v>
      </c>
      <c r="D81" s="69" t="s">
        <v>190</v>
      </c>
      <c r="E81" s="69">
        <v>101</v>
      </c>
      <c r="F81" s="69">
        <v>1</v>
      </c>
      <c r="G81" s="69">
        <v>3</v>
      </c>
      <c r="H81" s="69">
        <v>10858</v>
      </c>
      <c r="I81" s="69">
        <v>161</v>
      </c>
      <c r="J81" s="90" t="s">
        <v>723</v>
      </c>
      <c r="K81" s="69"/>
      <c r="L81" s="69" t="s">
        <v>673</v>
      </c>
      <c r="M81" s="71">
        <v>43538</v>
      </c>
      <c r="N81" s="69" t="s">
        <v>84</v>
      </c>
      <c r="O81" s="71">
        <v>43543</v>
      </c>
      <c r="P81" s="69"/>
      <c r="Q81" s="69" t="s">
        <v>77</v>
      </c>
      <c r="R81" s="73" t="s">
        <v>674</v>
      </c>
      <c r="S81" s="69">
        <v>932490</v>
      </c>
      <c r="T81" s="69"/>
      <c r="U81" s="69" t="s">
        <v>690</v>
      </c>
      <c r="V81" s="69" t="s">
        <v>55</v>
      </c>
      <c r="W81" s="70">
        <f>IFERROR(VLOOKUP(factures[[#This Row],[DT Prestation Amiante 1]],presta_amiante1[#Data],2,0),0)</f>
        <v>55.49</v>
      </c>
      <c r="X81" s="69" t="s">
        <v>53</v>
      </c>
      <c r="Y81" s="70">
        <f>IFERROR(VLOOKUP(factures[[#This Row],[DT Prestation Amiante 2]],presta_amiante2[#Data],2,0),0)</f>
        <v>60.11</v>
      </c>
      <c r="Z81" s="69" t="s">
        <v>61</v>
      </c>
      <c r="AA81" s="70">
        <f>IFERROR(VLOOKUP(factures[[#This Row],[DT Prestation Gaz]],presta_gaz[#Data],2,0),0)</f>
        <v>41.62</v>
      </c>
      <c r="AB81" s="69">
        <v>12</v>
      </c>
      <c r="AC81" s="69" t="s">
        <v>73</v>
      </c>
      <c r="AD81" s="70">
        <f>IFERROR(VLOOKUP(factures[[#This Row],[DT Analyses]],DT_analyses[#Data],2,0),0)</f>
        <v>36.99</v>
      </c>
      <c r="AE81" s="70">
        <f>IFERROR(factures[[#This Row],[Plvts ]]*factures[[#This Row],[Prix Analyses]],0)</f>
        <v>443.88</v>
      </c>
      <c r="AF81" s="70">
        <f>factures[[#This Row],[Prix Prestation Amiante 1]]+factures[[#This Row],[Prix Prestation Amiante 2]]+factures[[#This Row],[Prix Prestation Gaz]]+factures[[#This Row],[Prix analyses HT]]</f>
        <v>601.1</v>
      </c>
      <c r="AG81" s="69" t="s">
        <v>901</v>
      </c>
      <c r="AH81" s="86" t="s">
        <v>900</v>
      </c>
      <c r="AI81" s="69"/>
    </row>
    <row r="82" spans="1:35" ht="48" x14ac:dyDescent="0.3">
      <c r="A82" s="92" t="s">
        <v>675</v>
      </c>
      <c r="B82" s="72">
        <v>78200</v>
      </c>
      <c r="C82" s="69" t="s">
        <v>189</v>
      </c>
      <c r="D82" s="69" t="s">
        <v>190</v>
      </c>
      <c r="E82" s="69">
        <v>101</v>
      </c>
      <c r="F82" s="69">
        <v>1</v>
      </c>
      <c r="G82" s="69">
        <v>3</v>
      </c>
      <c r="H82" s="69">
        <v>10828</v>
      </c>
      <c r="I82" s="69">
        <v>161</v>
      </c>
      <c r="J82" s="90" t="s">
        <v>191</v>
      </c>
      <c r="K82" s="69"/>
      <c r="L82" s="69" t="s">
        <v>676</v>
      </c>
      <c r="M82" s="71">
        <v>43538</v>
      </c>
      <c r="N82" s="69" t="s">
        <v>70</v>
      </c>
      <c r="O82" s="71">
        <v>43543</v>
      </c>
      <c r="P82" s="69"/>
      <c r="Q82" s="69" t="s">
        <v>77</v>
      </c>
      <c r="R82" s="73" t="s">
        <v>677</v>
      </c>
      <c r="S82" s="69">
        <v>932562</v>
      </c>
      <c r="T82" s="69"/>
      <c r="U82" s="69" t="s">
        <v>691</v>
      </c>
      <c r="V82" s="69" t="s">
        <v>53</v>
      </c>
      <c r="W82" s="70">
        <f>IFERROR(VLOOKUP(factures[[#This Row],[DT Prestation Amiante 1]],presta_amiante1[#Data],2,0),0)</f>
        <v>60.11</v>
      </c>
      <c r="X82" s="69"/>
      <c r="Y82" s="70">
        <f>IFERROR(VLOOKUP(factures[[#This Row],[DT Prestation Amiante 2]],presta_amiante2[#Data],2,0),0)</f>
        <v>0</v>
      </c>
      <c r="Z82" s="69"/>
      <c r="AA82" s="70">
        <f>IFERROR(VLOOKUP(factures[[#This Row],[DT Prestation Gaz]],presta_gaz[#Data],2,0),0)</f>
        <v>0</v>
      </c>
      <c r="AB82" s="69">
        <v>5</v>
      </c>
      <c r="AC82" s="69" t="s">
        <v>73</v>
      </c>
      <c r="AD82" s="70">
        <f>IFERROR(VLOOKUP(factures[[#This Row],[DT Analyses]],DT_analyses[#Data],2,0),0)</f>
        <v>36.99</v>
      </c>
      <c r="AE82" s="70">
        <f>IFERROR(factures[[#This Row],[Plvts ]]*factures[[#This Row],[Prix Analyses]],0)</f>
        <v>184.95000000000002</v>
      </c>
      <c r="AF82" s="70">
        <f>factures[[#This Row],[Prix Prestation Amiante 1]]+factures[[#This Row],[Prix Prestation Amiante 2]]+factures[[#This Row],[Prix Prestation Gaz]]+factures[[#This Row],[Prix analyses HT]]</f>
        <v>245.06</v>
      </c>
      <c r="AG82" s="69" t="s">
        <v>1147</v>
      </c>
      <c r="AH82" s="86" t="s">
        <v>1148</v>
      </c>
      <c r="AI82" s="69"/>
    </row>
    <row r="83" spans="1:35" ht="48" x14ac:dyDescent="0.3">
      <c r="A83" s="92" t="s">
        <v>692</v>
      </c>
      <c r="B83" s="72">
        <v>78200</v>
      </c>
      <c r="C83" s="69" t="s">
        <v>189</v>
      </c>
      <c r="D83" s="69" t="s">
        <v>693</v>
      </c>
      <c r="E83" s="69">
        <v>702</v>
      </c>
      <c r="F83" s="69">
        <v>7</v>
      </c>
      <c r="G83" s="69">
        <v>4</v>
      </c>
      <c r="H83" s="69">
        <v>10987</v>
      </c>
      <c r="I83" s="69">
        <v>164</v>
      </c>
      <c r="J83" s="90" t="s">
        <v>191</v>
      </c>
      <c r="K83" s="69"/>
      <c r="L83" s="69" t="s">
        <v>694</v>
      </c>
      <c r="M83" s="71">
        <v>43544</v>
      </c>
      <c r="N83" s="69" t="s">
        <v>83</v>
      </c>
      <c r="O83" s="71">
        <v>43546</v>
      </c>
      <c r="P83" s="69" t="s">
        <v>337</v>
      </c>
      <c r="Q83" s="69" t="s">
        <v>77</v>
      </c>
      <c r="R83" s="73" t="s">
        <v>695</v>
      </c>
      <c r="S83" s="69">
        <v>933350</v>
      </c>
      <c r="T83" s="69"/>
      <c r="U83" s="69" t="s">
        <v>699</v>
      </c>
      <c r="V83" s="69" t="s">
        <v>55</v>
      </c>
      <c r="W83" s="70">
        <f>IFERROR(VLOOKUP(factures[[#This Row],[DT Prestation Amiante 1]],presta_amiante1[#Data],2,0),0)</f>
        <v>55.49</v>
      </c>
      <c r="X83" s="69" t="s">
        <v>54</v>
      </c>
      <c r="Y83" s="70">
        <f>IFERROR(VLOOKUP(factures[[#This Row],[DT Prestation Amiante 2]],presta_amiante2[#Data],2,0),0)</f>
        <v>69.36</v>
      </c>
      <c r="Z83" s="69"/>
      <c r="AA83" s="70">
        <f>IFERROR(VLOOKUP(factures[[#This Row],[DT Prestation Gaz]],presta_gaz[#Data],2,0),0)</f>
        <v>0</v>
      </c>
      <c r="AB83" s="69">
        <v>14</v>
      </c>
      <c r="AC83" s="69" t="s">
        <v>73</v>
      </c>
      <c r="AD83" s="70">
        <f>IFERROR(VLOOKUP(factures[[#This Row],[DT Analyses]],DT_analyses[#Data],2,0),0)</f>
        <v>36.99</v>
      </c>
      <c r="AE83" s="70">
        <f>IFERROR(factures[[#This Row],[Plvts ]]*factures[[#This Row],[Prix Analyses]],0)</f>
        <v>517.86</v>
      </c>
      <c r="AF83" s="70">
        <f>factures[[#This Row],[Prix Prestation Amiante 1]]+factures[[#This Row],[Prix Prestation Amiante 2]]+factures[[#This Row],[Prix Prestation Gaz]]+factures[[#This Row],[Prix analyses HT]]</f>
        <v>642.71</v>
      </c>
      <c r="AG83" s="69" t="s">
        <v>1149</v>
      </c>
      <c r="AH83" s="86" t="s">
        <v>1148</v>
      </c>
      <c r="AI83" s="69"/>
    </row>
    <row r="84" spans="1:35" ht="51" x14ac:dyDescent="0.3">
      <c r="A84" s="92" t="s">
        <v>548</v>
      </c>
      <c r="B84" s="72">
        <v>92600</v>
      </c>
      <c r="C84" s="69" t="s">
        <v>609</v>
      </c>
      <c r="D84" s="69" t="s">
        <v>549</v>
      </c>
      <c r="E84" s="69">
        <v>404</v>
      </c>
      <c r="F84" s="69">
        <v>4</v>
      </c>
      <c r="G84" s="69">
        <v>3</v>
      </c>
      <c r="H84" s="69">
        <v>31368</v>
      </c>
      <c r="I84" s="69">
        <v>440</v>
      </c>
      <c r="J84" s="69" t="s">
        <v>785</v>
      </c>
      <c r="K84" s="69"/>
      <c r="L84" s="69" t="s">
        <v>700</v>
      </c>
      <c r="M84" s="71">
        <v>43549</v>
      </c>
      <c r="N84" s="69" t="s">
        <v>701</v>
      </c>
      <c r="O84" s="71">
        <v>43550</v>
      </c>
      <c r="P84" s="69" t="s">
        <v>131</v>
      </c>
      <c r="Q84" s="69" t="s">
        <v>77</v>
      </c>
      <c r="R84" s="73" t="s">
        <v>702</v>
      </c>
      <c r="S84" s="69">
        <v>934232</v>
      </c>
      <c r="T84" s="69"/>
      <c r="U84" s="69" t="s">
        <v>722</v>
      </c>
      <c r="V84" s="69" t="s">
        <v>53</v>
      </c>
      <c r="W84" s="70">
        <f>IFERROR(VLOOKUP(factures[[#This Row],[DT Prestation Amiante 1]],presta_amiante1[#Data],2,0),0)</f>
        <v>60.11</v>
      </c>
      <c r="X84" s="69" t="s">
        <v>93</v>
      </c>
      <c r="Y84" s="70">
        <f>IFERROR(VLOOKUP(factures[[#This Row],[DT Prestation Amiante 2]],presta_amiante2[#Data],2,0),0)</f>
        <v>80.459999999999994</v>
      </c>
      <c r="Z84" s="69" t="s">
        <v>61</v>
      </c>
      <c r="AA84" s="70">
        <f>IFERROR(VLOOKUP(factures[[#This Row],[DT Prestation Gaz]],presta_gaz[#Data],2,0),0)</f>
        <v>41.62</v>
      </c>
      <c r="AB84" s="69">
        <v>5</v>
      </c>
      <c r="AC84" s="69" t="s">
        <v>73</v>
      </c>
      <c r="AD84" s="70">
        <f>IFERROR(VLOOKUP(factures[[#This Row],[DT Analyses]],DT_analyses[#Data],2,0),0)</f>
        <v>36.99</v>
      </c>
      <c r="AE84" s="70">
        <f>IFERROR(factures[[#This Row],[Plvts ]]*factures[[#This Row],[Prix Analyses]],0)</f>
        <v>184.95000000000002</v>
      </c>
      <c r="AF84" s="70">
        <f>factures[[#This Row],[Prix Prestation Amiante 1]]+factures[[#This Row],[Prix Prestation Amiante 2]]+factures[[#This Row],[Prix Prestation Gaz]]+factures[[#This Row],[Prix analyses HT]]</f>
        <v>367.14</v>
      </c>
      <c r="AG84" s="69" t="s">
        <v>787</v>
      </c>
      <c r="AH84" s="86" t="s">
        <v>773</v>
      </c>
      <c r="AI84" s="69"/>
    </row>
    <row r="85" spans="1:35" ht="36" x14ac:dyDescent="0.3">
      <c r="A85" s="92" t="s">
        <v>715</v>
      </c>
      <c r="B85" s="72">
        <v>60600</v>
      </c>
      <c r="C85" s="69" t="s">
        <v>422</v>
      </c>
      <c r="D85" s="69" t="s">
        <v>430</v>
      </c>
      <c r="E85" s="69"/>
      <c r="F85" s="69"/>
      <c r="G85" s="69"/>
      <c r="H85" s="69"/>
      <c r="I85" s="69">
        <v>6786</v>
      </c>
      <c r="J85" s="69" t="s">
        <v>716</v>
      </c>
      <c r="K85" s="69"/>
      <c r="L85" s="69"/>
      <c r="M85" s="71"/>
      <c r="N85" s="69" t="s">
        <v>70</v>
      </c>
      <c r="O85" s="74">
        <v>43556</v>
      </c>
      <c r="P85" s="69" t="s">
        <v>171</v>
      </c>
      <c r="Q85" s="69" t="s">
        <v>77</v>
      </c>
      <c r="R85" s="73" t="s">
        <v>423</v>
      </c>
      <c r="S85" s="69">
        <v>915296</v>
      </c>
      <c r="T85" s="69"/>
      <c r="U85" s="69" t="s">
        <v>736</v>
      </c>
      <c r="V85" s="69" t="s">
        <v>53</v>
      </c>
      <c r="W85" s="70">
        <f>IFERROR(VLOOKUP(factures[[#This Row],[DT Prestation Amiante 1]],presta_amiante1[#Data],2,0),0)</f>
        <v>60.11</v>
      </c>
      <c r="X85" s="69"/>
      <c r="Y85" s="70">
        <f>IFERROR(VLOOKUP(factures[[#This Row],[DT Prestation Amiante 2]],presta_amiante2[#Data],2,0),0)</f>
        <v>0</v>
      </c>
      <c r="Z85" s="69"/>
      <c r="AA85" s="70">
        <f>IFERROR(VLOOKUP(factures[[#This Row],[DT Prestation Gaz]],presta_gaz[#Data],2,0),0)</f>
        <v>0</v>
      </c>
      <c r="AB85" s="69">
        <v>3</v>
      </c>
      <c r="AC85" s="69" t="s">
        <v>73</v>
      </c>
      <c r="AD85" s="70">
        <f>IFERROR(VLOOKUP(factures[[#This Row],[DT Analyses]],DT_analyses[#Data],2,0),0)</f>
        <v>36.99</v>
      </c>
      <c r="AE85" s="70">
        <f>IFERROR(factures[[#This Row],[Plvts ]]*factures[[#This Row],[Prix Analyses]],0)</f>
        <v>110.97</v>
      </c>
      <c r="AF85" s="70">
        <f>factures[[#This Row],[Prix Prestation Amiante 1]]+factures[[#This Row],[Prix Prestation Amiante 2]]+factures[[#This Row],[Prix Prestation Gaz]]+factures[[#This Row],[Prix analyses HT]]</f>
        <v>171.07999999999998</v>
      </c>
      <c r="AG85" s="69" t="s">
        <v>772</v>
      </c>
      <c r="AH85" s="86" t="s">
        <v>773</v>
      </c>
      <c r="AI85" s="69"/>
    </row>
    <row r="86" spans="1:35" ht="48" x14ac:dyDescent="0.3">
      <c r="A86" s="92" t="s">
        <v>588</v>
      </c>
      <c r="B86" s="72">
        <v>94500</v>
      </c>
      <c r="C86" s="69" t="s">
        <v>479</v>
      </c>
      <c r="D86" s="69" t="s">
        <v>589</v>
      </c>
      <c r="E86" s="69">
        <v>101</v>
      </c>
      <c r="F86" s="69">
        <v>1</v>
      </c>
      <c r="G86" s="69">
        <v>3</v>
      </c>
      <c r="H86" s="69">
        <v>18486</v>
      </c>
      <c r="I86" s="69">
        <v>259</v>
      </c>
      <c r="J86" s="69" t="s">
        <v>150</v>
      </c>
      <c r="K86" s="69" t="s">
        <v>234</v>
      </c>
      <c r="L86" s="93" t="s">
        <v>657</v>
      </c>
      <c r="M86" s="71">
        <v>43529</v>
      </c>
      <c r="N86" s="69" t="s">
        <v>70</v>
      </c>
      <c r="O86" s="71"/>
      <c r="P86" s="69"/>
      <c r="Q86" s="69" t="s">
        <v>77</v>
      </c>
      <c r="R86" s="73" t="s">
        <v>590</v>
      </c>
      <c r="S86" s="69">
        <v>930776</v>
      </c>
      <c r="T86" s="69" t="s">
        <v>658</v>
      </c>
      <c r="U86" s="69" t="s">
        <v>737</v>
      </c>
      <c r="V86" s="69" t="s">
        <v>53</v>
      </c>
      <c r="W86" s="70">
        <f>IFERROR(VLOOKUP(factures[[#This Row],[DT Prestation Amiante 1]],presta_amiante1[#Data],2,0),0)</f>
        <v>60.11</v>
      </c>
      <c r="X86" s="69"/>
      <c r="Y86" s="70">
        <f>IFERROR(VLOOKUP(factures[[#This Row],[DT Prestation Amiante 2]],presta_amiante2[#Data],2,0),0)</f>
        <v>0</v>
      </c>
      <c r="Z86" s="69"/>
      <c r="AA86" s="70">
        <f>IFERROR(VLOOKUP(factures[[#This Row],[DT Prestation Gaz]],presta_gaz[#Data],2,0),0)</f>
        <v>0</v>
      </c>
      <c r="AB86" s="69">
        <v>8</v>
      </c>
      <c r="AC86" s="69" t="s">
        <v>73</v>
      </c>
      <c r="AD86" s="70">
        <f>IFERROR(VLOOKUP(factures[[#This Row],[DT Analyses]],DT_analyses[#Data],2,0),0)</f>
        <v>36.99</v>
      </c>
      <c r="AE86" s="70">
        <f>IFERROR(factures[[#This Row],[Plvts ]]*factures[[#This Row],[Prix Analyses]],0)</f>
        <v>295.92</v>
      </c>
      <c r="AF86" s="70">
        <f>factures[[#This Row],[Prix Prestation Amiante 1]]+factures[[#This Row],[Prix Prestation Amiante 2]]+factures[[#This Row],[Prix Prestation Gaz]]+factures[[#This Row],[Prix analyses HT]]</f>
        <v>356.03000000000003</v>
      </c>
      <c r="AG86" s="69" t="s">
        <v>1089</v>
      </c>
      <c r="AH86" s="86" t="s">
        <v>1090</v>
      </c>
      <c r="AI86" s="69"/>
    </row>
    <row r="87" spans="1:35" ht="36" x14ac:dyDescent="0.3">
      <c r="A87" s="92" t="s">
        <v>717</v>
      </c>
      <c r="B87" s="72">
        <v>94550</v>
      </c>
      <c r="C87" s="69" t="s">
        <v>304</v>
      </c>
      <c r="D87" s="69" t="s">
        <v>305</v>
      </c>
      <c r="E87" s="69">
        <v>1</v>
      </c>
      <c r="F87" s="69" t="s">
        <v>102</v>
      </c>
      <c r="G87" s="69">
        <v>3</v>
      </c>
      <c r="H87" s="69">
        <v>4512</v>
      </c>
      <c r="I87" s="69">
        <v>74</v>
      </c>
      <c r="J87" s="69" t="s">
        <v>786</v>
      </c>
      <c r="K87" s="69"/>
      <c r="L87" s="69" t="s">
        <v>718</v>
      </c>
      <c r="M87" s="71">
        <v>43550</v>
      </c>
      <c r="N87" s="69" t="s">
        <v>71</v>
      </c>
      <c r="O87" s="71">
        <v>43557</v>
      </c>
      <c r="P87" s="69" t="s">
        <v>129</v>
      </c>
      <c r="Q87" s="69" t="s">
        <v>77</v>
      </c>
      <c r="R87" s="73" t="s">
        <v>719</v>
      </c>
      <c r="S87" s="69">
        <v>934389</v>
      </c>
      <c r="T87" s="69"/>
      <c r="U87" s="69" t="s">
        <v>738</v>
      </c>
      <c r="V87" s="69" t="s">
        <v>53</v>
      </c>
      <c r="W87" s="70">
        <f>IFERROR(VLOOKUP(factures[[#This Row],[DT Prestation Amiante 1]],presta_amiante1[#Data],2,0),0)</f>
        <v>60.11</v>
      </c>
      <c r="X87" s="69"/>
      <c r="Y87" s="70">
        <f>IFERROR(VLOOKUP(factures[[#This Row],[DT Prestation Amiante 2]],presta_amiante2[#Data],2,0),0)</f>
        <v>0</v>
      </c>
      <c r="Z87" s="69" t="s">
        <v>61</v>
      </c>
      <c r="AA87" s="70">
        <f>IFERROR(VLOOKUP(factures[[#This Row],[DT Prestation Gaz]],presta_gaz[#Data],2,0),0)</f>
        <v>41.62</v>
      </c>
      <c r="AB87" s="69">
        <v>3</v>
      </c>
      <c r="AC87" s="69" t="s">
        <v>73</v>
      </c>
      <c r="AD87" s="70">
        <f>IFERROR(VLOOKUP(factures[[#This Row],[DT Analyses]],DT_analyses[#Data],2,0),0)</f>
        <v>36.99</v>
      </c>
      <c r="AE87" s="70">
        <f>IFERROR(factures[[#This Row],[Plvts ]]*factures[[#This Row],[Prix Analyses]],0)</f>
        <v>110.97</v>
      </c>
      <c r="AF87" s="70">
        <f>factures[[#This Row],[Prix Prestation Amiante 1]]+factures[[#This Row],[Prix Prestation Amiante 2]]+factures[[#This Row],[Prix Prestation Gaz]]+factures[[#This Row],[Prix analyses HT]]</f>
        <v>212.7</v>
      </c>
      <c r="AG87" s="69" t="s">
        <v>788</v>
      </c>
      <c r="AH87" s="86" t="s">
        <v>773</v>
      </c>
      <c r="AI87" s="69"/>
    </row>
    <row r="88" spans="1:35" ht="36" x14ac:dyDescent="0.3">
      <c r="A88" s="92" t="s">
        <v>724</v>
      </c>
      <c r="B88" s="72">
        <v>78150</v>
      </c>
      <c r="C88" s="69" t="s">
        <v>725</v>
      </c>
      <c r="D88" s="69" t="s">
        <v>396</v>
      </c>
      <c r="E88" s="69">
        <v>201</v>
      </c>
      <c r="F88" s="69">
        <v>2</v>
      </c>
      <c r="G88" s="69">
        <v>1</v>
      </c>
      <c r="H88" s="69">
        <v>9538</v>
      </c>
      <c r="I88" s="69">
        <v>146</v>
      </c>
      <c r="J88" s="69" t="s">
        <v>392</v>
      </c>
      <c r="K88" s="69"/>
      <c r="L88" s="69" t="s">
        <v>729</v>
      </c>
      <c r="M88" s="71">
        <v>43551</v>
      </c>
      <c r="N88" s="69" t="s">
        <v>83</v>
      </c>
      <c r="O88" s="71">
        <v>43557</v>
      </c>
      <c r="P88" s="69" t="s">
        <v>131</v>
      </c>
      <c r="Q88" s="69" t="s">
        <v>77</v>
      </c>
      <c r="R88" s="73" t="s">
        <v>726</v>
      </c>
      <c r="S88" s="69">
        <v>934726</v>
      </c>
      <c r="T88" s="69"/>
      <c r="U88" s="69" t="s">
        <v>739</v>
      </c>
      <c r="V88" s="69" t="s">
        <v>55</v>
      </c>
      <c r="W88" s="70">
        <f>IFERROR(VLOOKUP(factures[[#This Row],[DT Prestation Amiante 1]],presta_amiante1[#Data],2,0),0)</f>
        <v>55.49</v>
      </c>
      <c r="X88" s="69" t="s">
        <v>53</v>
      </c>
      <c r="Y88" s="70">
        <f>IFERROR(VLOOKUP(factures[[#This Row],[DT Prestation Amiante 2]],presta_amiante2[#Data],2,0),0)</f>
        <v>60.11</v>
      </c>
      <c r="Z88" s="69"/>
      <c r="AA88" s="70">
        <f>IFERROR(VLOOKUP(factures[[#This Row],[DT Prestation Gaz]],presta_gaz[#Data],2,0),0)</f>
        <v>0</v>
      </c>
      <c r="AB88" s="69">
        <v>1</v>
      </c>
      <c r="AC88" s="69" t="s">
        <v>73</v>
      </c>
      <c r="AD88" s="70">
        <f>IFERROR(VLOOKUP(factures[[#This Row],[DT Analyses]],DT_analyses[#Data],2,0),0)</f>
        <v>36.99</v>
      </c>
      <c r="AE88" s="70">
        <f>IFERROR(factures[[#This Row],[Plvts ]]*factures[[#This Row],[Prix Analyses]],0)</f>
        <v>36.99</v>
      </c>
      <c r="AF88" s="70">
        <f>factures[[#This Row],[Prix Prestation Amiante 1]]+factures[[#This Row],[Prix Prestation Amiante 2]]+factures[[#This Row],[Prix Prestation Gaz]]+factures[[#This Row],[Prix analyses HT]]</f>
        <v>152.59</v>
      </c>
      <c r="AG88" s="69" t="s">
        <v>902</v>
      </c>
      <c r="AH88" s="86" t="s">
        <v>900</v>
      </c>
      <c r="AI88" s="69"/>
    </row>
    <row r="89" spans="1:35" ht="36" x14ac:dyDescent="0.3">
      <c r="A89" s="92" t="s">
        <v>740</v>
      </c>
      <c r="B89" s="72">
        <v>92500</v>
      </c>
      <c r="C89" s="69" t="s">
        <v>265</v>
      </c>
      <c r="D89" s="69" t="s">
        <v>741</v>
      </c>
      <c r="E89" s="69">
        <v>801</v>
      </c>
      <c r="F89" s="69">
        <v>8</v>
      </c>
      <c r="G89" s="69">
        <v>4</v>
      </c>
      <c r="H89" s="69">
        <v>14693</v>
      </c>
      <c r="I89" s="69">
        <v>212</v>
      </c>
      <c r="J89" s="69" t="s">
        <v>742</v>
      </c>
      <c r="K89" s="69"/>
      <c r="L89" s="69" t="s">
        <v>743</v>
      </c>
      <c r="M89" s="71">
        <v>43557</v>
      </c>
      <c r="N89" s="69" t="s">
        <v>71</v>
      </c>
      <c r="O89" s="71">
        <v>43559</v>
      </c>
      <c r="P89" s="69" t="s">
        <v>131</v>
      </c>
      <c r="Q89" s="92" t="s">
        <v>77</v>
      </c>
      <c r="R89" s="73" t="s">
        <v>744</v>
      </c>
      <c r="S89" s="69">
        <v>935815</v>
      </c>
      <c r="T89" s="69"/>
      <c r="U89" s="69" t="s">
        <v>748</v>
      </c>
      <c r="V89" s="69" t="s">
        <v>54</v>
      </c>
      <c r="W89" s="70">
        <f>IFERROR(VLOOKUP(factures[[#This Row],[DT Prestation Amiante 1]],presta_amiante1[#Data],2,0),0)</f>
        <v>69.36</v>
      </c>
      <c r="X89" s="69"/>
      <c r="Y89" s="70">
        <f>IFERROR(VLOOKUP(factures[[#This Row],[DT Prestation Amiante 2]],presta_amiante2[#Data],2,0),0)</f>
        <v>0</v>
      </c>
      <c r="Z89" s="69" t="s">
        <v>62</v>
      </c>
      <c r="AA89" s="70">
        <f>IFERROR(VLOOKUP(factures[[#This Row],[DT Prestation Gaz]],presta_gaz[#Data],2,0),0)</f>
        <v>49.01</v>
      </c>
      <c r="AB89" s="69">
        <v>1</v>
      </c>
      <c r="AC89" s="69" t="s">
        <v>73</v>
      </c>
      <c r="AD89" s="70">
        <f>IFERROR(VLOOKUP(factures[[#This Row],[DT Analyses]],DT_analyses[#Data],2,0),0)</f>
        <v>36.99</v>
      </c>
      <c r="AE89" s="70">
        <f>IFERROR(factures[[#This Row],[Plvts ]]*factures[[#This Row],[Prix Analyses]],0)</f>
        <v>36.99</v>
      </c>
      <c r="AF89" s="70">
        <f>factures[[#This Row],[Prix Prestation Amiante 1]]+factures[[#This Row],[Prix Prestation Amiante 2]]+factures[[#This Row],[Prix Prestation Gaz]]+factures[[#This Row],[Prix analyses HT]]</f>
        <v>155.36000000000001</v>
      </c>
      <c r="AG89" s="69" t="s">
        <v>838</v>
      </c>
      <c r="AH89" s="86" t="s">
        <v>818</v>
      </c>
      <c r="AI89" s="69"/>
    </row>
    <row r="90" spans="1:35" ht="36" x14ac:dyDescent="0.3">
      <c r="A90" s="92" t="s">
        <v>745</v>
      </c>
      <c r="B90" s="72">
        <v>92500</v>
      </c>
      <c r="C90" s="69" t="s">
        <v>265</v>
      </c>
      <c r="D90" s="69" t="s">
        <v>741</v>
      </c>
      <c r="E90" s="69">
        <v>402</v>
      </c>
      <c r="F90" s="69">
        <v>4</v>
      </c>
      <c r="G90" s="69">
        <v>3</v>
      </c>
      <c r="H90" s="69">
        <v>14629</v>
      </c>
      <c r="I90" s="69">
        <v>212</v>
      </c>
      <c r="J90" s="69" t="s">
        <v>742</v>
      </c>
      <c r="K90" s="69"/>
      <c r="L90" s="69" t="s">
        <v>746</v>
      </c>
      <c r="M90" s="71">
        <v>43558</v>
      </c>
      <c r="N90" s="69" t="s">
        <v>71</v>
      </c>
      <c r="O90" s="71">
        <v>43559</v>
      </c>
      <c r="P90" s="69" t="s">
        <v>131</v>
      </c>
      <c r="Q90" s="92" t="s">
        <v>77</v>
      </c>
      <c r="R90" s="73" t="s">
        <v>747</v>
      </c>
      <c r="S90" s="69">
        <v>935839</v>
      </c>
      <c r="T90" s="69"/>
      <c r="U90" s="69" t="s">
        <v>749</v>
      </c>
      <c r="V90" s="69" t="s">
        <v>53</v>
      </c>
      <c r="W90" s="70">
        <f>IFERROR(VLOOKUP(factures[[#This Row],[DT Prestation Amiante 1]],presta_amiante1[#Data],2,0),0)</f>
        <v>60.11</v>
      </c>
      <c r="X90" s="69"/>
      <c r="Y90" s="70">
        <f>IFERROR(VLOOKUP(factures[[#This Row],[DT Prestation Amiante 2]],presta_amiante2[#Data],2,0),0)</f>
        <v>0</v>
      </c>
      <c r="Z90" s="69" t="s">
        <v>61</v>
      </c>
      <c r="AA90" s="70">
        <f>IFERROR(VLOOKUP(factures[[#This Row],[DT Prestation Gaz]],presta_gaz[#Data],2,0),0)</f>
        <v>41.62</v>
      </c>
      <c r="AB90" s="69">
        <v>1</v>
      </c>
      <c r="AC90" s="69" t="s">
        <v>73</v>
      </c>
      <c r="AD90" s="70">
        <f>IFERROR(VLOOKUP(factures[[#This Row],[DT Analyses]],DT_analyses[#Data],2,0),0)</f>
        <v>36.99</v>
      </c>
      <c r="AE90" s="70">
        <f>IFERROR(factures[[#This Row],[Plvts ]]*factures[[#This Row],[Prix Analyses]],0)</f>
        <v>36.99</v>
      </c>
      <c r="AF90" s="70">
        <f>factures[[#This Row],[Prix Prestation Amiante 1]]+factures[[#This Row],[Prix Prestation Amiante 2]]+factures[[#This Row],[Prix Prestation Gaz]]+factures[[#This Row],[Prix analyses HT]]</f>
        <v>138.72</v>
      </c>
      <c r="AG90" s="69" t="s">
        <v>839</v>
      </c>
      <c r="AH90" s="86" t="s">
        <v>818</v>
      </c>
      <c r="AI90" s="69"/>
    </row>
    <row r="91" spans="1:35" ht="108" x14ac:dyDescent="0.3">
      <c r="A91" s="92" t="s">
        <v>638</v>
      </c>
      <c r="B91" s="72">
        <v>78540</v>
      </c>
      <c r="C91" s="69" t="s">
        <v>351</v>
      </c>
      <c r="D91" s="69" t="s">
        <v>639</v>
      </c>
      <c r="E91" s="69">
        <v>201</v>
      </c>
      <c r="F91" s="69">
        <v>2</v>
      </c>
      <c r="G91" s="69">
        <v>4</v>
      </c>
      <c r="H91" s="69">
        <v>53192</v>
      </c>
      <c r="I91" s="69">
        <v>9700</v>
      </c>
      <c r="J91" s="69" t="s">
        <v>778</v>
      </c>
      <c r="K91" s="69"/>
      <c r="L91" s="69" t="s">
        <v>640</v>
      </c>
      <c r="M91" s="71">
        <v>43532</v>
      </c>
      <c r="N91" s="69" t="s">
        <v>84</v>
      </c>
      <c r="O91" s="74">
        <v>43564</v>
      </c>
      <c r="P91" s="69" t="s">
        <v>779</v>
      </c>
      <c r="Q91" s="69" t="s">
        <v>77</v>
      </c>
      <c r="R91" s="73" t="s">
        <v>641</v>
      </c>
      <c r="S91" s="69">
        <v>931706</v>
      </c>
      <c r="T91" s="69" t="s">
        <v>714</v>
      </c>
      <c r="U91" s="69" t="s">
        <v>789</v>
      </c>
      <c r="V91" s="69" t="s">
        <v>55</v>
      </c>
      <c r="W91" s="70">
        <f>IFERROR(VLOOKUP(factures[[#This Row],[DT Prestation Amiante 1]],presta_amiante1[#Data],2,0),0)</f>
        <v>55.49</v>
      </c>
      <c r="X91" s="69" t="s">
        <v>54</v>
      </c>
      <c r="Y91" s="70">
        <f>IFERROR(VLOOKUP(factures[[#This Row],[DT Prestation Amiante 2]],presta_amiante2[#Data],2,0),0)</f>
        <v>69.36</v>
      </c>
      <c r="Z91" s="69" t="s">
        <v>62</v>
      </c>
      <c r="AA91" s="70">
        <f>IFERROR(VLOOKUP(factures[[#This Row],[DT Prestation Gaz]],presta_gaz[#Data],2,0),0)</f>
        <v>49.01</v>
      </c>
      <c r="AB91" s="69">
        <v>13</v>
      </c>
      <c r="AC91" s="69" t="s">
        <v>73</v>
      </c>
      <c r="AD91" s="70">
        <f>IFERROR(VLOOKUP(factures[[#This Row],[DT Analyses]],DT_analyses[#Data],2,0),0)</f>
        <v>36.99</v>
      </c>
      <c r="AE91" s="70">
        <f>IFERROR(factures[[#This Row],[Plvts ]]*factures[[#This Row],[Prix Analyses]],0)</f>
        <v>480.87</v>
      </c>
      <c r="AF91" s="70">
        <f>factures[[#This Row],[Prix Prestation Amiante 1]]+factures[[#This Row],[Prix Prestation Amiante 2]]+factures[[#This Row],[Prix Prestation Gaz]]+factures[[#This Row],[Prix analyses HT]]</f>
        <v>654.73</v>
      </c>
      <c r="AG91" s="69" t="s">
        <v>819</v>
      </c>
      <c r="AH91" s="86" t="s">
        <v>818</v>
      </c>
      <c r="AI91" s="69"/>
    </row>
    <row r="92" spans="1:35" ht="132.6" x14ac:dyDescent="0.3">
      <c r="A92" s="92" t="s">
        <v>642</v>
      </c>
      <c r="B92" s="72">
        <v>78540</v>
      </c>
      <c r="C92" s="69" t="s">
        <v>351</v>
      </c>
      <c r="D92" s="69" t="s">
        <v>352</v>
      </c>
      <c r="E92" s="69">
        <v>101</v>
      </c>
      <c r="F92" s="69">
        <v>1</v>
      </c>
      <c r="G92" s="69">
        <v>3</v>
      </c>
      <c r="H92" s="69">
        <v>53060</v>
      </c>
      <c r="I92" s="69">
        <v>9700</v>
      </c>
      <c r="J92" s="69" t="s">
        <v>777</v>
      </c>
      <c r="K92" s="69"/>
      <c r="L92" s="69" t="s">
        <v>643</v>
      </c>
      <c r="M92" s="71">
        <v>43532</v>
      </c>
      <c r="N92" s="69" t="s">
        <v>84</v>
      </c>
      <c r="O92" s="74">
        <v>43564</v>
      </c>
      <c r="P92" s="69" t="s">
        <v>779</v>
      </c>
      <c r="Q92" s="69" t="s">
        <v>77</v>
      </c>
      <c r="R92" s="73" t="s">
        <v>644</v>
      </c>
      <c r="S92" s="69">
        <v>931707</v>
      </c>
      <c r="T92" s="69" t="s">
        <v>714</v>
      </c>
      <c r="U92" s="69" t="s">
        <v>790</v>
      </c>
      <c r="V92" s="69" t="s">
        <v>55</v>
      </c>
      <c r="W92" s="70">
        <f>IFERROR(VLOOKUP(factures[[#This Row],[DT Prestation Amiante 1]],presta_amiante1[#Data],2,0),0)</f>
        <v>55.49</v>
      </c>
      <c r="X92" s="69" t="s">
        <v>53</v>
      </c>
      <c r="Y92" s="70">
        <f>IFERROR(VLOOKUP(factures[[#This Row],[DT Prestation Amiante 2]],presta_amiante2[#Data],2,0),0)</f>
        <v>60.11</v>
      </c>
      <c r="Z92" s="69" t="s">
        <v>61</v>
      </c>
      <c r="AA92" s="70">
        <f>IFERROR(VLOOKUP(factures[[#This Row],[DT Prestation Gaz]],presta_gaz[#Data],2,0),0)</f>
        <v>41.62</v>
      </c>
      <c r="AB92" s="69">
        <v>13</v>
      </c>
      <c r="AC92" s="69" t="s">
        <v>73</v>
      </c>
      <c r="AD92" s="70">
        <f>IFERROR(VLOOKUP(factures[[#This Row],[DT Analyses]],DT_analyses[#Data],2,0),0)</f>
        <v>36.99</v>
      </c>
      <c r="AE92" s="70">
        <f>IFERROR(factures[[#This Row],[Plvts ]]*factures[[#This Row],[Prix Analyses]],0)</f>
        <v>480.87</v>
      </c>
      <c r="AF92" s="70">
        <f>factures[[#This Row],[Prix Prestation Amiante 1]]+factures[[#This Row],[Prix Prestation Amiante 2]]+factures[[#This Row],[Prix Prestation Gaz]]+factures[[#This Row],[Prix analyses HT]]</f>
        <v>638.09</v>
      </c>
      <c r="AG92" s="69" t="s">
        <v>821</v>
      </c>
      <c r="AH92" s="86" t="s">
        <v>818</v>
      </c>
      <c r="AI92" s="69"/>
    </row>
    <row r="93" spans="1:35" ht="40.799999999999997" x14ac:dyDescent="0.3">
      <c r="A93" s="92" t="s">
        <v>727</v>
      </c>
      <c r="B93" s="72">
        <v>78260</v>
      </c>
      <c r="C93" s="69" t="s">
        <v>1082</v>
      </c>
      <c r="D93" s="69" t="s">
        <v>438</v>
      </c>
      <c r="E93" s="69">
        <v>401</v>
      </c>
      <c r="F93" s="69">
        <v>4</v>
      </c>
      <c r="G93" s="69">
        <v>3</v>
      </c>
      <c r="H93" s="69">
        <v>39794</v>
      </c>
      <c r="I93" s="69">
        <v>815</v>
      </c>
      <c r="J93" s="69" t="s">
        <v>470</v>
      </c>
      <c r="K93" s="69"/>
      <c r="L93" s="69" t="s">
        <v>728</v>
      </c>
      <c r="M93" s="71">
        <v>43553</v>
      </c>
      <c r="N93" s="69" t="s">
        <v>84</v>
      </c>
      <c r="O93" s="74">
        <v>43564</v>
      </c>
      <c r="P93" s="69" t="s">
        <v>656</v>
      </c>
      <c r="Q93" s="92" t="s">
        <v>77</v>
      </c>
      <c r="R93" s="73" t="s">
        <v>780</v>
      </c>
      <c r="S93" s="69">
        <v>935407</v>
      </c>
      <c r="T93" s="69" t="s">
        <v>735</v>
      </c>
      <c r="U93" s="69" t="s">
        <v>791</v>
      </c>
      <c r="V93" s="69" t="s">
        <v>55</v>
      </c>
      <c r="W93" s="70">
        <f>IFERROR(VLOOKUP(factures[[#This Row],[DT Prestation Amiante 1]],presta_amiante1[#Data],2,0),0)</f>
        <v>55.49</v>
      </c>
      <c r="X93" s="69" t="s">
        <v>53</v>
      </c>
      <c r="Y93" s="70">
        <f>IFERROR(VLOOKUP(factures[[#This Row],[DT Prestation Amiante 2]],presta_amiante2[#Data],2,0),0)</f>
        <v>60.11</v>
      </c>
      <c r="Z93" s="69" t="s">
        <v>61</v>
      </c>
      <c r="AA93" s="70">
        <f>IFERROR(VLOOKUP(factures[[#This Row],[DT Prestation Gaz]],presta_gaz[#Data],2,0),0)</f>
        <v>41.62</v>
      </c>
      <c r="AB93" s="69">
        <v>13</v>
      </c>
      <c r="AC93" s="69" t="s">
        <v>73</v>
      </c>
      <c r="AD93" s="70">
        <f>IFERROR(VLOOKUP(factures[[#This Row],[DT Analyses]],DT_analyses[#Data],2,0),0)</f>
        <v>36.99</v>
      </c>
      <c r="AE93" s="70">
        <f>IFERROR(factures[[#This Row],[Plvts ]]*factures[[#This Row],[Prix Analyses]],0)</f>
        <v>480.87</v>
      </c>
      <c r="AF93" s="70">
        <f>factures[[#This Row],[Prix Prestation Amiante 1]]+factures[[#This Row],[Prix Prestation Amiante 2]]+factures[[#This Row],[Prix Prestation Gaz]]+factures[[#This Row],[Prix analyses HT]]</f>
        <v>638.09</v>
      </c>
      <c r="AG93" s="69" t="s">
        <v>822</v>
      </c>
      <c r="AH93" s="86" t="s">
        <v>818</v>
      </c>
      <c r="AI93" s="69"/>
    </row>
    <row r="94" spans="1:35" ht="36" x14ac:dyDescent="0.3">
      <c r="A94" s="92" t="s">
        <v>782</v>
      </c>
      <c r="B94" s="72">
        <v>92600</v>
      </c>
      <c r="C94" s="69" t="s">
        <v>609</v>
      </c>
      <c r="D94" s="69" t="s">
        <v>1583</v>
      </c>
      <c r="E94" s="69">
        <v>501</v>
      </c>
      <c r="F94" s="69">
        <v>5</v>
      </c>
      <c r="G94" s="69">
        <v>2</v>
      </c>
      <c r="H94" s="69">
        <v>42090</v>
      </c>
      <c r="I94" s="69">
        <v>842</v>
      </c>
      <c r="J94" s="69" t="s">
        <v>785</v>
      </c>
      <c r="K94" s="69"/>
      <c r="L94" s="69" t="s">
        <v>783</v>
      </c>
      <c r="M94" s="71">
        <v>43563</v>
      </c>
      <c r="N94" s="69" t="s">
        <v>70</v>
      </c>
      <c r="O94" s="71">
        <v>43565</v>
      </c>
      <c r="P94" s="69" t="s">
        <v>619</v>
      </c>
      <c r="Q94" s="69" t="s">
        <v>77</v>
      </c>
      <c r="R94" s="73" t="s">
        <v>784</v>
      </c>
      <c r="S94" s="69">
        <v>936933</v>
      </c>
      <c r="T94" s="69"/>
      <c r="U94" s="69" t="s">
        <v>792</v>
      </c>
      <c r="V94" s="69" t="s">
        <v>53</v>
      </c>
      <c r="W94" s="70">
        <f>IFERROR(VLOOKUP(factures[[#This Row],[DT Prestation Amiante 1]],presta_amiante1[#Data],2,0),0)</f>
        <v>60.11</v>
      </c>
      <c r="X94" s="69"/>
      <c r="Y94" s="70">
        <f>IFERROR(VLOOKUP(factures[[#This Row],[DT Prestation Amiante 2]],presta_amiante2[#Data],2,0),0)</f>
        <v>0</v>
      </c>
      <c r="Z94" s="69"/>
      <c r="AA94" s="70">
        <f>IFERROR(VLOOKUP(factures[[#This Row],[DT Prestation Gaz]],presta_gaz[#Data],2,0),0)</f>
        <v>0</v>
      </c>
      <c r="AB94" s="69">
        <v>4</v>
      </c>
      <c r="AC94" s="69" t="s">
        <v>73</v>
      </c>
      <c r="AD94" s="70">
        <f>IFERROR(VLOOKUP(factures[[#This Row],[DT Analyses]],DT_analyses[#Data],2,0),0)</f>
        <v>36.99</v>
      </c>
      <c r="AE94" s="70">
        <f>IFERROR(factures[[#This Row],[Plvts ]]*factures[[#This Row],[Prix Analyses]],0)</f>
        <v>147.96</v>
      </c>
      <c r="AF94" s="70">
        <f>factures[[#This Row],[Prix Prestation Amiante 1]]+factures[[#This Row],[Prix Prestation Amiante 2]]+factures[[#This Row],[Prix Prestation Gaz]]+factures[[#This Row],[Prix analyses HT]]</f>
        <v>208.07</v>
      </c>
      <c r="AG94" s="69" t="s">
        <v>963</v>
      </c>
      <c r="AH94" s="86" t="s">
        <v>964</v>
      </c>
      <c r="AI94" s="69"/>
    </row>
    <row r="95" spans="1:35" ht="48" x14ac:dyDescent="0.3">
      <c r="A95" s="92" t="s">
        <v>751</v>
      </c>
      <c r="B95" s="72">
        <v>78200</v>
      </c>
      <c r="C95" s="69" t="s">
        <v>189</v>
      </c>
      <c r="D95" s="69" t="s">
        <v>752</v>
      </c>
      <c r="E95" s="69">
        <v>202</v>
      </c>
      <c r="F95" s="69">
        <v>2</v>
      </c>
      <c r="G95" s="69">
        <v>2</v>
      </c>
      <c r="H95" s="69">
        <v>10861</v>
      </c>
      <c r="I95" s="69">
        <v>161</v>
      </c>
      <c r="J95" s="90" t="s">
        <v>317</v>
      </c>
      <c r="K95" s="69"/>
      <c r="L95" s="69" t="s">
        <v>534</v>
      </c>
      <c r="M95" s="71">
        <v>43560</v>
      </c>
      <c r="N95" s="69" t="s">
        <v>84</v>
      </c>
      <c r="O95" s="71">
        <v>43565</v>
      </c>
      <c r="P95" s="69" t="s">
        <v>131</v>
      </c>
      <c r="Q95" s="92" t="s">
        <v>77</v>
      </c>
      <c r="R95" s="73" t="s">
        <v>753</v>
      </c>
      <c r="S95" s="69">
        <v>936534</v>
      </c>
      <c r="T95" s="69"/>
      <c r="U95" s="69" t="s">
        <v>793</v>
      </c>
      <c r="V95" s="69" t="s">
        <v>55</v>
      </c>
      <c r="W95" s="70">
        <f>IFERROR(VLOOKUP(factures[[#This Row],[DT Prestation Amiante 1]],presta_amiante1[#Data],2,0),0)</f>
        <v>55.49</v>
      </c>
      <c r="X95" s="69" t="s">
        <v>53</v>
      </c>
      <c r="Y95" s="70">
        <f>IFERROR(VLOOKUP(factures[[#This Row],[DT Prestation Amiante 2]],presta_amiante2[#Data],2,0),0)</f>
        <v>60.11</v>
      </c>
      <c r="Z95" s="69" t="s">
        <v>61</v>
      </c>
      <c r="AA95" s="70">
        <f>IFERROR(VLOOKUP(factures[[#This Row],[DT Prestation Gaz]],presta_gaz[#Data],2,0),0)</f>
        <v>41.62</v>
      </c>
      <c r="AB95" s="69">
        <v>13</v>
      </c>
      <c r="AC95" s="69" t="s">
        <v>73</v>
      </c>
      <c r="AD95" s="70">
        <f>IFERROR(VLOOKUP(factures[[#This Row],[DT Analyses]],DT_analyses[#Data],2,0),0)</f>
        <v>36.99</v>
      </c>
      <c r="AE95" s="70">
        <f>IFERROR(factures[[#This Row],[Plvts ]]*factures[[#This Row],[Prix Analyses]],0)</f>
        <v>480.87</v>
      </c>
      <c r="AF95" s="70">
        <f>factures[[#This Row],[Prix Prestation Amiante 1]]+factures[[#This Row],[Prix Prestation Amiante 2]]+factures[[#This Row],[Prix Prestation Gaz]]+factures[[#This Row],[Prix analyses HT]]</f>
        <v>638.09</v>
      </c>
      <c r="AG95" s="69" t="s">
        <v>868</v>
      </c>
      <c r="AH95" s="86" t="s">
        <v>869</v>
      </c>
      <c r="AI95" s="69"/>
    </row>
    <row r="96" spans="1:35" ht="48" x14ac:dyDescent="0.3">
      <c r="A96" s="92" t="s">
        <v>758</v>
      </c>
      <c r="B96" s="72">
        <v>78200</v>
      </c>
      <c r="C96" s="69" t="s">
        <v>189</v>
      </c>
      <c r="D96" s="69" t="s">
        <v>752</v>
      </c>
      <c r="E96" s="69">
        <v>301</v>
      </c>
      <c r="F96" s="69">
        <v>3</v>
      </c>
      <c r="G96" s="69">
        <v>3</v>
      </c>
      <c r="H96" s="69">
        <v>10529</v>
      </c>
      <c r="I96" s="69">
        <v>161</v>
      </c>
      <c r="J96" s="90" t="s">
        <v>317</v>
      </c>
      <c r="K96" s="69"/>
      <c r="L96" s="69" t="s">
        <v>759</v>
      </c>
      <c r="M96" s="71">
        <v>43560</v>
      </c>
      <c r="N96" s="69" t="s">
        <v>84</v>
      </c>
      <c r="O96" s="71">
        <v>43565</v>
      </c>
      <c r="P96" s="69" t="s">
        <v>131</v>
      </c>
      <c r="Q96" s="92" t="s">
        <v>77</v>
      </c>
      <c r="R96" s="73" t="s">
        <v>760</v>
      </c>
      <c r="S96" s="69">
        <v>936533</v>
      </c>
      <c r="T96" s="69"/>
      <c r="U96" s="69" t="s">
        <v>794</v>
      </c>
      <c r="V96" s="69" t="s">
        <v>55</v>
      </c>
      <c r="W96" s="70">
        <f>IFERROR(VLOOKUP(factures[[#This Row],[DT Prestation Amiante 1]],presta_amiante1[#Data],2,0),0)</f>
        <v>55.49</v>
      </c>
      <c r="X96" s="69" t="s">
        <v>53</v>
      </c>
      <c r="Y96" s="70">
        <f>IFERROR(VLOOKUP(factures[[#This Row],[DT Prestation Amiante 2]],presta_amiante2[#Data],2,0),0)</f>
        <v>60.11</v>
      </c>
      <c r="Z96" s="69" t="s">
        <v>61</v>
      </c>
      <c r="AA96" s="70">
        <f>IFERROR(VLOOKUP(factures[[#This Row],[DT Prestation Gaz]],presta_gaz[#Data],2,0),0)</f>
        <v>41.62</v>
      </c>
      <c r="AB96" s="69">
        <v>15</v>
      </c>
      <c r="AC96" s="69" t="s">
        <v>73</v>
      </c>
      <c r="AD96" s="70">
        <f>IFERROR(VLOOKUP(factures[[#This Row],[DT Analyses]],DT_analyses[#Data],2,0),0)</f>
        <v>36.99</v>
      </c>
      <c r="AE96" s="70">
        <f>IFERROR(factures[[#This Row],[Plvts ]]*factures[[#This Row],[Prix Analyses]],0)</f>
        <v>554.85</v>
      </c>
      <c r="AF96" s="70">
        <f>factures[[#This Row],[Prix Prestation Amiante 1]]+factures[[#This Row],[Prix Prestation Amiante 2]]+factures[[#This Row],[Prix Prestation Gaz]]+factures[[#This Row],[Prix analyses HT]]</f>
        <v>712.07</v>
      </c>
      <c r="AG96" s="69" t="s">
        <v>870</v>
      </c>
      <c r="AH96" s="86" t="s">
        <v>869</v>
      </c>
      <c r="AI96" s="69"/>
    </row>
    <row r="97" spans="1:35" ht="36" x14ac:dyDescent="0.3">
      <c r="A97" s="92" t="s">
        <v>761</v>
      </c>
      <c r="B97" s="72">
        <v>78200</v>
      </c>
      <c r="C97" s="69" t="s">
        <v>189</v>
      </c>
      <c r="D97" s="69" t="s">
        <v>190</v>
      </c>
      <c r="E97" s="69">
        <v>102</v>
      </c>
      <c r="F97" s="69">
        <v>1</v>
      </c>
      <c r="G97" s="69">
        <v>4</v>
      </c>
      <c r="H97" s="69">
        <v>10718</v>
      </c>
      <c r="I97" s="69">
        <v>161</v>
      </c>
      <c r="J97" s="69" t="s">
        <v>245</v>
      </c>
      <c r="K97" s="69"/>
      <c r="L97" s="69" t="s">
        <v>762</v>
      </c>
      <c r="M97" s="71">
        <v>43563</v>
      </c>
      <c r="N97" s="69" t="s">
        <v>84</v>
      </c>
      <c r="O97" s="71">
        <v>43565</v>
      </c>
      <c r="P97" s="69"/>
      <c r="Q97" s="92" t="s">
        <v>77</v>
      </c>
      <c r="R97" s="73" t="s">
        <v>763</v>
      </c>
      <c r="S97" s="69">
        <v>936775</v>
      </c>
      <c r="T97" s="69"/>
      <c r="U97" s="69" t="s">
        <v>795</v>
      </c>
      <c r="V97" s="69" t="s">
        <v>55</v>
      </c>
      <c r="W97" s="70">
        <f>IFERROR(VLOOKUP(factures[[#This Row],[DT Prestation Amiante 1]],presta_amiante1[#Data],2,0),0)</f>
        <v>55.49</v>
      </c>
      <c r="X97" s="69" t="s">
        <v>54</v>
      </c>
      <c r="Y97" s="70">
        <f>IFERROR(VLOOKUP(factures[[#This Row],[DT Prestation Amiante 2]],presta_amiante2[#Data],2,0),0)</f>
        <v>69.36</v>
      </c>
      <c r="Z97" s="69" t="s">
        <v>62</v>
      </c>
      <c r="AA97" s="70">
        <f>IFERROR(VLOOKUP(factures[[#This Row],[DT Prestation Gaz]],presta_gaz[#Data],2,0),0)</f>
        <v>49.01</v>
      </c>
      <c r="AB97" s="69">
        <v>3</v>
      </c>
      <c r="AC97" s="69" t="s">
        <v>73</v>
      </c>
      <c r="AD97" s="70">
        <f>IFERROR(VLOOKUP(factures[[#This Row],[DT Analyses]],DT_analyses[#Data],2,0),0)</f>
        <v>36.99</v>
      </c>
      <c r="AE97" s="70">
        <f>IFERROR(factures[[#This Row],[Plvts ]]*factures[[#This Row],[Prix Analyses]],0)</f>
        <v>110.97</v>
      </c>
      <c r="AF97" s="70">
        <f>factures[[#This Row],[Prix Prestation Amiante 1]]+factures[[#This Row],[Prix Prestation Amiante 2]]+factures[[#This Row],[Prix Prestation Gaz]]+factures[[#This Row],[Prix analyses HT]]</f>
        <v>284.83</v>
      </c>
      <c r="AG97" s="69" t="s">
        <v>859</v>
      </c>
      <c r="AH97" s="86" t="s">
        <v>860</v>
      </c>
      <c r="AI97" s="69"/>
    </row>
    <row r="98" spans="1:35" ht="48" x14ac:dyDescent="0.3">
      <c r="A98" s="92" t="s">
        <v>766</v>
      </c>
      <c r="B98" s="72">
        <v>92110</v>
      </c>
      <c r="C98" s="69" t="s">
        <v>764</v>
      </c>
      <c r="D98" s="69" t="s">
        <v>765</v>
      </c>
      <c r="E98" s="69">
        <v>102</v>
      </c>
      <c r="F98" s="69">
        <v>1</v>
      </c>
      <c r="G98" s="69">
        <v>3</v>
      </c>
      <c r="H98" s="69">
        <v>41674</v>
      </c>
      <c r="I98" s="69">
        <v>838</v>
      </c>
      <c r="J98" s="69" t="s">
        <v>771</v>
      </c>
      <c r="K98" s="69"/>
      <c r="L98" s="69" t="s">
        <v>769</v>
      </c>
      <c r="M98" s="71"/>
      <c r="N98" s="69" t="s">
        <v>70</v>
      </c>
      <c r="O98" s="71">
        <v>43565</v>
      </c>
      <c r="P98" s="69"/>
      <c r="Q98" s="69" t="s">
        <v>77</v>
      </c>
      <c r="R98" s="73" t="s">
        <v>767</v>
      </c>
      <c r="S98" s="69">
        <v>936760</v>
      </c>
      <c r="T98" s="69"/>
      <c r="U98" s="69" t="s">
        <v>796</v>
      </c>
      <c r="V98" s="69" t="s">
        <v>53</v>
      </c>
      <c r="W98" s="70">
        <f>IFERROR(VLOOKUP(factures[[#This Row],[DT Prestation Amiante 1]],presta_amiante1[#Data],2,0),0)</f>
        <v>60.11</v>
      </c>
      <c r="X98" s="69"/>
      <c r="Y98" s="70">
        <f>IFERROR(VLOOKUP(factures[[#This Row],[DT Prestation Amiante 2]],presta_amiante2[#Data],2,0),0)</f>
        <v>0</v>
      </c>
      <c r="Z98" s="69"/>
      <c r="AA98" s="70">
        <f>IFERROR(VLOOKUP(factures[[#This Row],[DT Prestation Gaz]],presta_gaz[#Data],2,0),0)</f>
        <v>0</v>
      </c>
      <c r="AB98" s="69">
        <v>4</v>
      </c>
      <c r="AC98" s="69" t="s">
        <v>73</v>
      </c>
      <c r="AD98" s="70">
        <f>IFERROR(VLOOKUP(factures[[#This Row],[DT Analyses]],DT_analyses[#Data],2,0),0)</f>
        <v>36.99</v>
      </c>
      <c r="AE98" s="70">
        <f>IFERROR(factures[[#This Row],[Plvts ]]*factures[[#This Row],[Prix Analyses]],0)</f>
        <v>147.96</v>
      </c>
      <c r="AF98" s="70">
        <f>factures[[#This Row],[Prix Prestation Amiante 1]]+factures[[#This Row],[Prix Prestation Amiante 2]]+factures[[#This Row],[Prix Prestation Gaz]]+factures[[#This Row],[Prix analyses HT]]</f>
        <v>208.07</v>
      </c>
      <c r="AG98" s="69" t="s">
        <v>903</v>
      </c>
      <c r="AH98" s="86" t="s">
        <v>900</v>
      </c>
      <c r="AI98" s="69"/>
    </row>
    <row r="99" spans="1:35" ht="36" x14ac:dyDescent="0.3">
      <c r="A99" s="92" t="s">
        <v>496</v>
      </c>
      <c r="B99" s="72">
        <v>78190</v>
      </c>
      <c r="C99" s="69" t="s">
        <v>754</v>
      </c>
      <c r="D99" s="69" t="s">
        <v>533</v>
      </c>
      <c r="E99" s="69">
        <v>201</v>
      </c>
      <c r="F99" s="69">
        <v>2</v>
      </c>
      <c r="G99" s="69">
        <v>4</v>
      </c>
      <c r="H99" s="69">
        <v>22238</v>
      </c>
      <c r="I99" s="69">
        <v>314</v>
      </c>
      <c r="J99" s="79" t="s">
        <v>389</v>
      </c>
      <c r="K99" s="69"/>
      <c r="L99" s="69" t="s">
        <v>756</v>
      </c>
      <c r="M99" s="71">
        <v>43560</v>
      </c>
      <c r="N99" s="69" t="s">
        <v>83</v>
      </c>
      <c r="O99" s="71">
        <v>43567</v>
      </c>
      <c r="P99" s="69"/>
      <c r="Q99" s="69" t="s">
        <v>77</v>
      </c>
      <c r="R99" s="73" t="s">
        <v>757</v>
      </c>
      <c r="S99" s="69">
        <v>936532</v>
      </c>
      <c r="T99" s="69"/>
      <c r="U99" s="69" t="s">
        <v>943</v>
      </c>
      <c r="V99" s="69" t="s">
        <v>55</v>
      </c>
      <c r="W99" s="70">
        <f>IFERROR(VLOOKUP(factures[[#This Row],[DT Prestation Amiante 1]],presta_amiante1[#Data],2,0),0)</f>
        <v>55.49</v>
      </c>
      <c r="X99" s="69" t="s">
        <v>54</v>
      </c>
      <c r="Y99" s="70">
        <f>IFERROR(VLOOKUP(factures[[#This Row],[DT Prestation Amiante 2]],presta_amiante2[#Data],2,0),0)</f>
        <v>69.36</v>
      </c>
      <c r="Z99" s="69"/>
      <c r="AA99" s="70">
        <f>IFERROR(VLOOKUP(factures[[#This Row],[DT Prestation Gaz]],presta_gaz[#Data],2,0),0)</f>
        <v>0</v>
      </c>
      <c r="AB99" s="69">
        <v>8</v>
      </c>
      <c r="AC99" s="69" t="s">
        <v>73</v>
      </c>
      <c r="AD99" s="70">
        <f>IFERROR(VLOOKUP(factures[[#This Row],[DT Analyses]],DT_analyses[#Data],2,0),0)</f>
        <v>36.99</v>
      </c>
      <c r="AE99" s="70">
        <f>IFERROR(factures[[#This Row],[Plvts ]]*factures[[#This Row],[Prix Analyses]],0)</f>
        <v>295.92</v>
      </c>
      <c r="AF99" s="70">
        <f>factures[[#This Row],[Prix Prestation Amiante 1]]+factures[[#This Row],[Prix Prestation Amiante 2]]+factures[[#This Row],[Prix Prestation Gaz]]+factures[[#This Row],[Prix analyses HT]]</f>
        <v>420.77</v>
      </c>
      <c r="AG99" s="69" t="s">
        <v>1002</v>
      </c>
      <c r="AH99" s="86" t="s">
        <v>998</v>
      </c>
      <c r="AI99" s="69"/>
    </row>
    <row r="100" spans="1:35" ht="36" x14ac:dyDescent="0.3">
      <c r="A100" s="92" t="s">
        <v>548</v>
      </c>
      <c r="B100" s="72">
        <v>92600</v>
      </c>
      <c r="C100" s="69" t="s">
        <v>609</v>
      </c>
      <c r="D100" s="69" t="s">
        <v>768</v>
      </c>
      <c r="E100" s="69">
        <v>503</v>
      </c>
      <c r="F100" s="69">
        <v>5</v>
      </c>
      <c r="G100" s="69">
        <v>3</v>
      </c>
      <c r="H100" s="69">
        <v>31373</v>
      </c>
      <c r="I100" s="69">
        <v>440</v>
      </c>
      <c r="J100" s="69" t="s">
        <v>781</v>
      </c>
      <c r="K100" s="69"/>
      <c r="L100" s="69" t="s">
        <v>770</v>
      </c>
      <c r="M100" s="71">
        <v>43563</v>
      </c>
      <c r="N100" s="69" t="s">
        <v>701</v>
      </c>
      <c r="O100" s="71">
        <v>43567</v>
      </c>
      <c r="P100" s="87">
        <v>0.39583333333333331</v>
      </c>
      <c r="Q100" s="69" t="s">
        <v>77</v>
      </c>
      <c r="R100" s="73" t="s">
        <v>2657</v>
      </c>
      <c r="S100" s="69">
        <v>936778</v>
      </c>
      <c r="T100" s="69"/>
      <c r="U100" s="69" t="s">
        <v>840</v>
      </c>
      <c r="V100" s="69" t="s">
        <v>53</v>
      </c>
      <c r="W100" s="70">
        <f>IFERROR(VLOOKUP(factures[[#This Row],[DT Prestation Amiante 1]],presta_amiante1[#Data],2,0),0)</f>
        <v>60.11</v>
      </c>
      <c r="X100" s="69" t="s">
        <v>93</v>
      </c>
      <c r="Y100" s="70">
        <f>IFERROR(VLOOKUP(factures[[#This Row],[DT Prestation Amiante 2]],presta_amiante2[#Data],2,0),0)</f>
        <v>80.459999999999994</v>
      </c>
      <c r="Z100" s="69" t="s">
        <v>61</v>
      </c>
      <c r="AA100" s="70">
        <f>IFERROR(VLOOKUP(factures[[#This Row],[DT Prestation Gaz]],presta_gaz[#Data],2,0),0)</f>
        <v>41.62</v>
      </c>
      <c r="AB100" s="69">
        <v>4</v>
      </c>
      <c r="AC100" s="69" t="s">
        <v>73</v>
      </c>
      <c r="AD100" s="70">
        <f>IFERROR(VLOOKUP(factures[[#This Row],[DT Analyses]],DT_analyses[#Data],2,0),0)</f>
        <v>36.99</v>
      </c>
      <c r="AE100" s="70">
        <f>IFERROR(factures[[#This Row],[Plvts ]]*factures[[#This Row],[Prix Analyses]],0)</f>
        <v>147.96</v>
      </c>
      <c r="AF100" s="70">
        <f>factures[[#This Row],[Prix Prestation Amiante 1]]+factures[[#This Row],[Prix Prestation Amiante 2]]+factures[[#This Row],[Prix Prestation Gaz]]+factures[[#This Row],[Prix analyses HT]]</f>
        <v>330.15</v>
      </c>
      <c r="AG100" s="69" t="s">
        <v>921</v>
      </c>
      <c r="AH100" s="86" t="s">
        <v>900</v>
      </c>
      <c r="AI100" s="69"/>
    </row>
    <row r="101" spans="1:35" ht="60" x14ac:dyDescent="0.3">
      <c r="A101" s="92" t="s">
        <v>797</v>
      </c>
      <c r="B101" s="72">
        <v>78260</v>
      </c>
      <c r="C101" s="69" t="s">
        <v>1082</v>
      </c>
      <c r="D101" s="69" t="s">
        <v>438</v>
      </c>
      <c r="E101" s="69">
        <v>1</v>
      </c>
      <c r="F101" s="69" t="s">
        <v>102</v>
      </c>
      <c r="G101" s="69">
        <v>2</v>
      </c>
      <c r="H101" s="69">
        <v>39769</v>
      </c>
      <c r="I101" s="69">
        <v>815</v>
      </c>
      <c r="J101" s="69" t="s">
        <v>470</v>
      </c>
      <c r="K101" s="69"/>
      <c r="L101" s="69" t="s">
        <v>798</v>
      </c>
      <c r="M101" s="71">
        <v>43567</v>
      </c>
      <c r="N101" s="69" t="s">
        <v>70</v>
      </c>
      <c r="O101" s="71">
        <v>43572</v>
      </c>
      <c r="P101" s="69" t="s">
        <v>337</v>
      </c>
      <c r="Q101" s="69" t="s">
        <v>77</v>
      </c>
      <c r="R101" s="73" t="s">
        <v>799</v>
      </c>
      <c r="S101" s="69">
        <v>937936</v>
      </c>
      <c r="T101" s="69"/>
      <c r="U101" s="69" t="s">
        <v>845</v>
      </c>
      <c r="V101" s="69" t="s">
        <v>53</v>
      </c>
      <c r="W101" s="70">
        <f>IFERROR(VLOOKUP(factures[[#This Row],[DT Prestation Amiante 1]],presta_amiante1[#Data],2,0),0)</f>
        <v>60.11</v>
      </c>
      <c r="X101" s="69"/>
      <c r="Y101" s="70">
        <f>IFERROR(VLOOKUP(factures[[#This Row],[DT Prestation Amiante 2]],presta_amiante2[#Data],2,0),0)</f>
        <v>0</v>
      </c>
      <c r="Z101" s="69"/>
      <c r="AA101" s="70">
        <f>IFERROR(VLOOKUP(factures[[#This Row],[DT Prestation Gaz]],presta_gaz[#Data],2,0),0)</f>
        <v>0</v>
      </c>
      <c r="AB101" s="69">
        <v>5</v>
      </c>
      <c r="AC101" s="69" t="s">
        <v>73</v>
      </c>
      <c r="AD101" s="70">
        <f>IFERROR(VLOOKUP(factures[[#This Row],[DT Analyses]],DT_analyses[#Data],2,0),0)</f>
        <v>36.99</v>
      </c>
      <c r="AE101" s="70">
        <f>IFERROR(factures[[#This Row],[Plvts ]]*factures[[#This Row],[Prix Analyses]],0)</f>
        <v>184.95000000000002</v>
      </c>
      <c r="AF101" s="70">
        <f>factures[[#This Row],[Prix Prestation Amiante 1]]+factures[[#This Row],[Prix Prestation Amiante 2]]+factures[[#This Row],[Prix Prestation Gaz]]+factures[[#This Row],[Prix analyses HT]]</f>
        <v>245.06</v>
      </c>
      <c r="AG101" s="69" t="s">
        <v>1003</v>
      </c>
      <c r="AH101" s="86" t="s">
        <v>998</v>
      </c>
      <c r="AI101" s="69"/>
    </row>
    <row r="102" spans="1:35" ht="61.2" x14ac:dyDescent="0.3">
      <c r="A102" s="124" t="s">
        <v>811</v>
      </c>
      <c r="B102" s="125">
        <v>78200</v>
      </c>
      <c r="C102" s="124" t="s">
        <v>812</v>
      </c>
      <c r="D102" s="124" t="s">
        <v>813</v>
      </c>
      <c r="E102" s="124">
        <v>103</v>
      </c>
      <c r="F102" s="124">
        <v>1</v>
      </c>
      <c r="G102" s="124">
        <v>4</v>
      </c>
      <c r="H102" s="124">
        <v>11134</v>
      </c>
      <c r="I102" s="124">
        <v>166</v>
      </c>
      <c r="J102" s="124" t="s">
        <v>317</v>
      </c>
      <c r="K102" s="124"/>
      <c r="L102" s="124" t="s">
        <v>814</v>
      </c>
      <c r="M102" s="126">
        <v>43567</v>
      </c>
      <c r="N102" s="124" t="s">
        <v>84</v>
      </c>
      <c r="O102" s="126">
        <v>43572</v>
      </c>
      <c r="P102" s="124" t="s">
        <v>334</v>
      </c>
      <c r="Q102" s="124" t="s">
        <v>67</v>
      </c>
      <c r="R102" s="127" t="s">
        <v>815</v>
      </c>
      <c r="S102" s="124">
        <v>946856</v>
      </c>
      <c r="T102" s="124"/>
      <c r="U102" s="124" t="s">
        <v>853</v>
      </c>
      <c r="V102" s="124" t="s">
        <v>54</v>
      </c>
      <c r="W102" s="128">
        <f>IFERROR(VLOOKUP(factures[[#This Row],[DT Prestation Amiante 1]],presta_amiante1[#Data],2,0),0)</f>
        <v>69.36</v>
      </c>
      <c r="X102" s="124" t="s">
        <v>55</v>
      </c>
      <c r="Y102" s="128">
        <v>55.49</v>
      </c>
      <c r="Z102" s="124" t="s">
        <v>62</v>
      </c>
      <c r="AA102" s="128">
        <v>49.01</v>
      </c>
      <c r="AB102" s="124">
        <v>12</v>
      </c>
      <c r="AC102" s="124" t="s">
        <v>73</v>
      </c>
      <c r="AD102" s="128">
        <v>36.99</v>
      </c>
      <c r="AE102" s="128">
        <f>IFERROR(factures[[#This Row],[Plvts ]]*factures[[#This Row],[Prix Analyses]],0)</f>
        <v>443.88</v>
      </c>
      <c r="AF102" s="128">
        <f>factures[[#This Row],[Prix Prestation Amiante 1]]+factures[[#This Row],[Prix Prestation Amiante 2]]+factures[[#This Row],[Prix Prestation Gaz]]+factures[[#This Row],[Prix analyses HT]]</f>
        <v>617.74</v>
      </c>
      <c r="AG102" s="124"/>
      <c r="AH102" s="129"/>
      <c r="AI102" s="124"/>
    </row>
    <row r="103" spans="1:35" ht="36" x14ac:dyDescent="0.3">
      <c r="A103" s="92" t="s">
        <v>823</v>
      </c>
      <c r="B103" s="72">
        <v>78200</v>
      </c>
      <c r="C103" s="69" t="s">
        <v>189</v>
      </c>
      <c r="D103" s="69" t="s">
        <v>752</v>
      </c>
      <c r="E103" s="69">
        <v>102</v>
      </c>
      <c r="F103" s="69">
        <v>1</v>
      </c>
      <c r="G103" s="69">
        <v>4</v>
      </c>
      <c r="H103" s="69">
        <v>10849</v>
      </c>
      <c r="I103" s="69">
        <v>161</v>
      </c>
      <c r="J103" s="69"/>
      <c r="K103" s="69"/>
      <c r="L103" s="69" t="s">
        <v>824</v>
      </c>
      <c r="M103" s="71">
        <v>43567</v>
      </c>
      <c r="N103" s="69" t="s">
        <v>70</v>
      </c>
      <c r="O103" s="71">
        <v>43572</v>
      </c>
      <c r="P103" s="69" t="s">
        <v>337</v>
      </c>
      <c r="Q103" s="69" t="s">
        <v>77</v>
      </c>
      <c r="R103" s="73" t="s">
        <v>799</v>
      </c>
      <c r="S103" s="69">
        <v>937943</v>
      </c>
      <c r="T103" s="69"/>
      <c r="U103" s="69" t="s">
        <v>854</v>
      </c>
      <c r="V103" s="69" t="s">
        <v>53</v>
      </c>
      <c r="W103" s="70">
        <f>IFERROR(VLOOKUP(factures[[#This Row],[DT Prestation Amiante 1]],presta_amiante1[#Data],2,0),0)</f>
        <v>60.11</v>
      </c>
      <c r="X103" s="69"/>
      <c r="Y103" s="70">
        <f>IFERROR(VLOOKUP(factures[[#This Row],[DT Prestation Amiante 2]],presta_amiante2[#Data],2,0),0)</f>
        <v>0</v>
      </c>
      <c r="Z103" s="69"/>
      <c r="AA103" s="70">
        <f>IFERROR(VLOOKUP(factures[[#This Row],[DT Prestation Gaz]],presta_gaz[#Data],2,0),0)</f>
        <v>0</v>
      </c>
      <c r="AB103" s="69">
        <v>8</v>
      </c>
      <c r="AC103" s="69" t="s">
        <v>73</v>
      </c>
      <c r="AD103" s="70">
        <f>IFERROR(VLOOKUP(factures[[#This Row],[DT Analyses]],DT_analyses[#Data],2,0),0)</f>
        <v>36.99</v>
      </c>
      <c r="AE103" s="70">
        <f>IFERROR(factures[[#This Row],[Plvts ]]*factures[[#This Row],[Prix Analyses]],0)</f>
        <v>295.92</v>
      </c>
      <c r="AF103" s="70">
        <f>factures[[#This Row],[Prix Prestation Amiante 1]]+factures[[#This Row],[Prix Prestation Amiante 2]]+factures[[#This Row],[Prix Prestation Gaz]]+factures[[#This Row],[Prix analyses HT]]</f>
        <v>356.03000000000003</v>
      </c>
      <c r="AG103" s="69" t="s">
        <v>1901</v>
      </c>
      <c r="AH103" s="86" t="s">
        <v>1902</v>
      </c>
      <c r="AI103" s="69"/>
    </row>
    <row r="104" spans="1:35" ht="36" x14ac:dyDescent="0.3">
      <c r="A104" s="92" t="s">
        <v>825</v>
      </c>
      <c r="B104" s="72">
        <v>78200</v>
      </c>
      <c r="C104" s="69" t="s">
        <v>189</v>
      </c>
      <c r="D104" s="69" t="s">
        <v>190</v>
      </c>
      <c r="E104" s="69">
        <v>202</v>
      </c>
      <c r="F104" s="69">
        <v>2</v>
      </c>
      <c r="G104" s="69">
        <v>4</v>
      </c>
      <c r="H104" s="69">
        <v>10490</v>
      </c>
      <c r="I104" s="69">
        <v>161</v>
      </c>
      <c r="J104" s="69"/>
      <c r="K104" s="69"/>
      <c r="L104" s="69" t="s">
        <v>826</v>
      </c>
      <c r="M104" s="69"/>
      <c r="N104" s="69" t="s">
        <v>70</v>
      </c>
      <c r="O104" s="71">
        <v>43572</v>
      </c>
      <c r="P104" s="69" t="s">
        <v>614</v>
      </c>
      <c r="Q104" s="69" t="s">
        <v>77</v>
      </c>
      <c r="R104" s="73" t="s">
        <v>875</v>
      </c>
      <c r="S104" s="69">
        <v>937943</v>
      </c>
      <c r="T104" s="69"/>
      <c r="U104" s="69" t="s">
        <v>855</v>
      </c>
      <c r="V104" s="69" t="s">
        <v>53</v>
      </c>
      <c r="W104" s="70">
        <f>IFERROR(VLOOKUP(factures[[#This Row],[DT Prestation Amiante 1]],presta_amiante1[#Data],2,0),0)</f>
        <v>60.11</v>
      </c>
      <c r="X104" s="69"/>
      <c r="Y104" s="70">
        <f>IFERROR(VLOOKUP(factures[[#This Row],[DT Prestation Amiante 2]],presta_amiante2[#Data],2,0),0)</f>
        <v>0</v>
      </c>
      <c r="Z104" s="69"/>
      <c r="AA104" s="70">
        <f>IFERROR(VLOOKUP(factures[[#This Row],[DT Prestation Gaz]],presta_gaz[#Data],2,0),0)</f>
        <v>0</v>
      </c>
      <c r="AB104" s="69">
        <v>8</v>
      </c>
      <c r="AC104" s="69" t="s">
        <v>73</v>
      </c>
      <c r="AD104" s="70">
        <f>IFERROR(VLOOKUP(factures[[#This Row],[DT Analyses]],DT_analyses[#Data],2,0),0)</f>
        <v>36.99</v>
      </c>
      <c r="AE104" s="70">
        <f>IFERROR(factures[[#This Row],[Plvts ]]*factures[[#This Row],[Prix Analyses]],0)</f>
        <v>295.92</v>
      </c>
      <c r="AF104" s="70">
        <f>factures[[#This Row],[Prix Prestation Amiante 1]]+factures[[#This Row],[Prix Prestation Amiante 2]]+factures[[#This Row],[Prix Prestation Gaz]]+factures[[#This Row],[Prix analyses HT]]</f>
        <v>356.03000000000003</v>
      </c>
      <c r="AG104" s="69" t="s">
        <v>2639</v>
      </c>
      <c r="AH104" s="86" t="s">
        <v>1902</v>
      </c>
      <c r="AI104" s="69"/>
    </row>
    <row r="105" spans="1:35" ht="108" x14ac:dyDescent="0.3">
      <c r="A105" s="92" t="s">
        <v>800</v>
      </c>
      <c r="B105" s="72">
        <v>78540</v>
      </c>
      <c r="C105" s="69" t="s">
        <v>351</v>
      </c>
      <c r="D105" s="69" t="s">
        <v>639</v>
      </c>
      <c r="E105" s="69">
        <v>401</v>
      </c>
      <c r="F105" s="69">
        <v>4</v>
      </c>
      <c r="G105" s="69">
        <v>3</v>
      </c>
      <c r="H105" s="69">
        <v>52886</v>
      </c>
      <c r="I105" s="69">
        <v>9700</v>
      </c>
      <c r="J105" s="69" t="s">
        <v>777</v>
      </c>
      <c r="K105" s="69"/>
      <c r="L105" s="69" t="s">
        <v>801</v>
      </c>
      <c r="M105" s="71">
        <v>43567</v>
      </c>
      <c r="N105" s="69" t="s">
        <v>84</v>
      </c>
      <c r="O105" s="71">
        <v>43573</v>
      </c>
      <c r="P105" s="69" t="s">
        <v>129</v>
      </c>
      <c r="Q105" s="69" t="s">
        <v>77</v>
      </c>
      <c r="R105" s="73" t="s">
        <v>802</v>
      </c>
      <c r="S105" s="69">
        <v>937910</v>
      </c>
      <c r="T105" s="69"/>
      <c r="U105" s="69" t="s">
        <v>861</v>
      </c>
      <c r="V105" s="69" t="s">
        <v>53</v>
      </c>
      <c r="W105" s="70">
        <f>IFERROR(VLOOKUP(factures[[#This Row],[DT Prestation Amiante 1]],presta_amiante1[#Data],2,0),0)</f>
        <v>60.11</v>
      </c>
      <c r="X105" s="69" t="s">
        <v>55</v>
      </c>
      <c r="Y105" s="70">
        <f>IFERROR(VLOOKUP(factures[[#This Row],[DT Prestation Amiante 2]],presta_amiante2[#Data],2,0),0)</f>
        <v>55.49</v>
      </c>
      <c r="Z105" s="69" t="s">
        <v>61</v>
      </c>
      <c r="AA105" s="70">
        <f>IFERROR(VLOOKUP(factures[[#This Row],[DT Prestation Gaz]],presta_gaz[#Data],2,0),0)</f>
        <v>41.62</v>
      </c>
      <c r="AB105" s="69">
        <v>10</v>
      </c>
      <c r="AC105" s="69" t="s">
        <v>73</v>
      </c>
      <c r="AD105" s="70">
        <f>IFERROR(VLOOKUP(factures[[#This Row],[DT Analyses]],DT_analyses[#Data],2,0),0)</f>
        <v>36.99</v>
      </c>
      <c r="AE105" s="70">
        <f>IFERROR(factures[[#This Row],[Plvts ]]*factures[[#This Row],[Prix Analyses]],0)</f>
        <v>369.90000000000003</v>
      </c>
      <c r="AF105" s="70">
        <f>factures[[#This Row],[Prix Prestation Amiante 1]]+factures[[#This Row],[Prix Prestation Amiante 2]]+factures[[#This Row],[Prix Prestation Gaz]]+factures[[#This Row],[Prix analyses HT]]</f>
        <v>527.12</v>
      </c>
      <c r="AG105" s="69" t="s">
        <v>933</v>
      </c>
      <c r="AH105" s="86" t="s">
        <v>934</v>
      </c>
      <c r="AI105" s="69"/>
    </row>
    <row r="106" spans="1:35" ht="108" x14ac:dyDescent="0.3">
      <c r="A106" s="92" t="s">
        <v>808</v>
      </c>
      <c r="B106" s="72">
        <v>78540</v>
      </c>
      <c r="C106" s="69" t="s">
        <v>351</v>
      </c>
      <c r="D106" s="69" t="s">
        <v>460</v>
      </c>
      <c r="E106" s="69">
        <v>202</v>
      </c>
      <c r="F106" s="69">
        <v>2</v>
      </c>
      <c r="G106" s="69">
        <v>4</v>
      </c>
      <c r="H106" s="69">
        <v>53283</v>
      </c>
      <c r="I106" s="69">
        <v>9700</v>
      </c>
      <c r="J106" s="69" t="s">
        <v>777</v>
      </c>
      <c r="K106" s="69"/>
      <c r="L106" s="69" t="s">
        <v>809</v>
      </c>
      <c r="M106" s="71">
        <v>43567</v>
      </c>
      <c r="N106" s="69" t="s">
        <v>84</v>
      </c>
      <c r="O106" s="71">
        <v>43573</v>
      </c>
      <c r="P106" s="69" t="s">
        <v>131</v>
      </c>
      <c r="Q106" s="69" t="s">
        <v>77</v>
      </c>
      <c r="R106" s="73" t="s">
        <v>810</v>
      </c>
      <c r="S106" s="69">
        <v>937913</v>
      </c>
      <c r="T106" s="69"/>
      <c r="U106" s="69" t="s">
        <v>862</v>
      </c>
      <c r="V106" s="69" t="s">
        <v>54</v>
      </c>
      <c r="W106" s="70">
        <f>IFERROR(VLOOKUP(factures[[#This Row],[DT Prestation Amiante 1]],presta_amiante1[#Data],2,0),0)</f>
        <v>69.36</v>
      </c>
      <c r="X106" s="69" t="s">
        <v>55</v>
      </c>
      <c r="Y106" s="70">
        <f>IFERROR(VLOOKUP(factures[[#This Row],[DT Prestation Amiante 2]],presta_amiante2[#Data],2,0),0)</f>
        <v>55.49</v>
      </c>
      <c r="Z106" s="69" t="s">
        <v>62</v>
      </c>
      <c r="AA106" s="70">
        <f>IFERROR(VLOOKUP(factures[[#This Row],[DT Prestation Gaz]],presta_gaz[#Data],2,0),0)</f>
        <v>49.01</v>
      </c>
      <c r="AB106" s="69">
        <v>2</v>
      </c>
      <c r="AC106" s="69" t="s">
        <v>73</v>
      </c>
      <c r="AD106" s="70">
        <f>IFERROR(VLOOKUP(factures[[#This Row],[DT Analyses]],DT_analyses[#Data],2,0),0)</f>
        <v>36.99</v>
      </c>
      <c r="AE106" s="70">
        <f>IFERROR(factures[[#This Row],[Plvts ]]*factures[[#This Row],[Prix Analyses]],0)</f>
        <v>73.98</v>
      </c>
      <c r="AF106" s="70">
        <f>factures[[#This Row],[Prix Prestation Amiante 1]]+factures[[#This Row],[Prix Prestation Amiante 2]]+factures[[#This Row],[Prix Prestation Gaz]]+factures[[#This Row],[Prix analyses HT]]</f>
        <v>247.83999999999997</v>
      </c>
      <c r="AG106" s="69" t="s">
        <v>1116</v>
      </c>
      <c r="AH106" s="86" t="s">
        <v>1117</v>
      </c>
      <c r="AI106" s="69"/>
    </row>
    <row r="107" spans="1:35" ht="48" x14ac:dyDescent="0.3">
      <c r="A107" s="92" t="s">
        <v>841</v>
      </c>
      <c r="B107" s="72">
        <v>78500</v>
      </c>
      <c r="C107" s="69" t="s">
        <v>214</v>
      </c>
      <c r="D107" s="69" t="s">
        <v>215</v>
      </c>
      <c r="E107" s="69">
        <v>203</v>
      </c>
      <c r="F107" s="69">
        <v>2</v>
      </c>
      <c r="G107" s="69">
        <v>3</v>
      </c>
      <c r="H107" s="69">
        <v>36047</v>
      </c>
      <c r="I107" s="69">
        <v>588</v>
      </c>
      <c r="J107" s="69" t="s">
        <v>216</v>
      </c>
      <c r="K107" s="69"/>
      <c r="L107" s="69" t="s">
        <v>836</v>
      </c>
      <c r="M107" s="71">
        <v>43570</v>
      </c>
      <c r="N107" s="69" t="s">
        <v>84</v>
      </c>
      <c r="O107" s="71">
        <v>43573</v>
      </c>
      <c r="P107" s="69" t="s">
        <v>171</v>
      </c>
      <c r="Q107" s="69" t="s">
        <v>77</v>
      </c>
      <c r="R107" s="73" t="s">
        <v>837</v>
      </c>
      <c r="S107" s="69">
        <v>932301</v>
      </c>
      <c r="T107" s="69"/>
      <c r="U107" s="69" t="s">
        <v>863</v>
      </c>
      <c r="V107" s="69" t="s">
        <v>55</v>
      </c>
      <c r="W107" s="70">
        <f>IFERROR(VLOOKUP(factures[[#This Row],[DT Prestation Amiante 1]],presta_amiante1[#Data],2,0),0)</f>
        <v>55.49</v>
      </c>
      <c r="X107" s="69" t="s">
        <v>53</v>
      </c>
      <c r="Y107" s="70">
        <f>IFERROR(VLOOKUP(factures[[#This Row],[DT Prestation Amiante 2]],presta_amiante2[#Data],2,0),0)</f>
        <v>60.11</v>
      </c>
      <c r="Z107" s="69" t="s">
        <v>61</v>
      </c>
      <c r="AA107" s="70">
        <f>IFERROR(VLOOKUP(factures[[#This Row],[DT Prestation Gaz]],presta_gaz[#Data],2,0),0)</f>
        <v>41.62</v>
      </c>
      <c r="AB107" s="69">
        <v>2</v>
      </c>
      <c r="AC107" s="69" t="s">
        <v>73</v>
      </c>
      <c r="AD107" s="70">
        <f>IFERROR(VLOOKUP(factures[[#This Row],[DT Analyses]],DT_analyses[#Data],2,0),0)</f>
        <v>36.99</v>
      </c>
      <c r="AE107" s="70">
        <f>IFERROR(factures[[#This Row],[Plvts ]]*factures[[#This Row],[Prix Analyses]],0)</f>
        <v>73.98</v>
      </c>
      <c r="AF107" s="70">
        <f>factures[[#This Row],[Prix Prestation Amiante 1]]+factures[[#This Row],[Prix Prestation Amiante 2]]+factures[[#This Row],[Prix Prestation Gaz]]+factures[[#This Row],[Prix analyses HT]]</f>
        <v>231.2</v>
      </c>
      <c r="AG107" s="69" t="s">
        <v>1005</v>
      </c>
      <c r="AH107" s="86" t="s">
        <v>998</v>
      </c>
      <c r="AI107" s="69"/>
    </row>
    <row r="108" spans="1:35" ht="81.599999999999994" x14ac:dyDescent="0.3">
      <c r="A108" s="92" t="s">
        <v>842</v>
      </c>
      <c r="B108" s="72">
        <v>78130</v>
      </c>
      <c r="C108" s="69" t="s">
        <v>553</v>
      </c>
      <c r="D108" s="69" t="s">
        <v>554</v>
      </c>
      <c r="E108" s="69">
        <v>402</v>
      </c>
      <c r="F108" s="69">
        <v>4</v>
      </c>
      <c r="G108" s="69">
        <v>4</v>
      </c>
      <c r="H108" s="69">
        <v>51565</v>
      </c>
      <c r="I108" s="69">
        <v>1021</v>
      </c>
      <c r="J108" s="69" t="s">
        <v>555</v>
      </c>
      <c r="K108" s="69"/>
      <c r="L108" s="69" t="s">
        <v>843</v>
      </c>
      <c r="M108" s="71">
        <v>43571</v>
      </c>
      <c r="N108" s="69" t="s">
        <v>84</v>
      </c>
      <c r="O108" s="71">
        <v>43573</v>
      </c>
      <c r="P108" s="69" t="s">
        <v>130</v>
      </c>
      <c r="Q108" s="69" t="s">
        <v>77</v>
      </c>
      <c r="R108" s="73" t="s">
        <v>844</v>
      </c>
      <c r="S108" s="69">
        <v>938482</v>
      </c>
      <c r="T108" s="91" t="s">
        <v>866</v>
      </c>
      <c r="U108" s="69" t="s">
        <v>864</v>
      </c>
      <c r="V108" s="69" t="s">
        <v>55</v>
      </c>
      <c r="W108" s="70">
        <f>IFERROR(VLOOKUP(factures[[#This Row],[DT Prestation Amiante 1]],presta_amiante1[#Data],2,0),0)</f>
        <v>55.49</v>
      </c>
      <c r="X108" s="69" t="s">
        <v>54</v>
      </c>
      <c r="Y108" s="70">
        <f>IFERROR(VLOOKUP(factures[[#This Row],[DT Prestation Amiante 2]],presta_amiante2[#Data],2,0),0)</f>
        <v>69.36</v>
      </c>
      <c r="Z108" s="69" t="s">
        <v>62</v>
      </c>
      <c r="AA108" s="70">
        <f>IFERROR(VLOOKUP(factures[[#This Row],[DT Prestation Gaz]],presta_gaz[#Data],2,0),0)</f>
        <v>49.01</v>
      </c>
      <c r="AB108" s="69">
        <v>13</v>
      </c>
      <c r="AC108" s="69" t="s">
        <v>73</v>
      </c>
      <c r="AD108" s="70">
        <f>IFERROR(VLOOKUP(factures[[#This Row],[DT Analyses]],DT_analyses[#Data],2,0),0)</f>
        <v>36.99</v>
      </c>
      <c r="AE108" s="70">
        <f>IFERROR(factures[[#This Row],[Plvts ]]*factures[[#This Row],[Prix Analyses]],0)</f>
        <v>480.87</v>
      </c>
      <c r="AF108" s="70">
        <f>factures[[#This Row],[Prix Prestation Amiante 1]]+factures[[#This Row],[Prix Prestation Amiante 2]]+factures[[#This Row],[Prix Prestation Gaz]]+factures[[#This Row],[Prix analyses HT]]</f>
        <v>654.73</v>
      </c>
      <c r="AG108" s="69" t="s">
        <v>2232</v>
      </c>
      <c r="AH108" s="86" t="s">
        <v>2233</v>
      </c>
      <c r="AI108" s="69"/>
    </row>
    <row r="109" spans="1:35" ht="60" x14ac:dyDescent="0.3">
      <c r="A109" s="92" t="s">
        <v>846</v>
      </c>
      <c r="B109" s="72">
        <v>78130</v>
      </c>
      <c r="C109" s="69" t="s">
        <v>553</v>
      </c>
      <c r="D109" s="69" t="s">
        <v>554</v>
      </c>
      <c r="E109" s="69">
        <v>102</v>
      </c>
      <c r="F109" s="69">
        <v>1</v>
      </c>
      <c r="G109" s="69">
        <v>5</v>
      </c>
      <c r="H109" s="69">
        <v>51257</v>
      </c>
      <c r="I109" s="69">
        <v>1026</v>
      </c>
      <c r="J109" s="69" t="s">
        <v>555</v>
      </c>
      <c r="K109" s="69"/>
      <c r="L109" s="69" t="s">
        <v>847</v>
      </c>
      <c r="M109" s="71">
        <v>43572</v>
      </c>
      <c r="N109" s="69" t="s">
        <v>84</v>
      </c>
      <c r="O109" s="71">
        <v>43573</v>
      </c>
      <c r="P109" s="69" t="s">
        <v>130</v>
      </c>
      <c r="Q109" s="69" t="s">
        <v>77</v>
      </c>
      <c r="R109" s="73" t="s">
        <v>848</v>
      </c>
      <c r="S109" s="69">
        <v>938474</v>
      </c>
      <c r="T109" s="91" t="s">
        <v>866</v>
      </c>
      <c r="U109" s="69" t="s">
        <v>865</v>
      </c>
      <c r="V109" s="69" t="s">
        <v>55</v>
      </c>
      <c r="W109" s="70">
        <f>IFERROR(VLOOKUP(factures[[#This Row],[DT Prestation Amiante 1]],presta_amiante1[#Data],2,0),0)</f>
        <v>55.49</v>
      </c>
      <c r="X109" s="69" t="s">
        <v>54</v>
      </c>
      <c r="Y109" s="70">
        <f>IFERROR(VLOOKUP(factures[[#This Row],[DT Prestation Amiante 2]],presta_amiante2[#Data],2,0),0)</f>
        <v>69.36</v>
      </c>
      <c r="Z109" s="69" t="s">
        <v>62</v>
      </c>
      <c r="AA109" s="70">
        <f>IFERROR(VLOOKUP(factures[[#This Row],[DT Prestation Gaz]],presta_gaz[#Data],2,0),0)</f>
        <v>49.01</v>
      </c>
      <c r="AB109" s="69">
        <v>1</v>
      </c>
      <c r="AC109" s="69" t="s">
        <v>73</v>
      </c>
      <c r="AD109" s="70">
        <f>IFERROR(VLOOKUP(factures[[#This Row],[DT Analyses]],DT_analyses[#Data],2,0),0)</f>
        <v>36.99</v>
      </c>
      <c r="AE109" s="70">
        <f>IFERROR(factures[[#This Row],[Plvts ]]*factures[[#This Row],[Prix Analyses]],0)</f>
        <v>36.99</v>
      </c>
      <c r="AF109" s="70">
        <f>factures[[#This Row],[Prix Prestation Amiante 1]]+factures[[#This Row],[Prix Prestation Amiante 2]]+factures[[#This Row],[Prix Prestation Gaz]]+factures[[#This Row],[Prix analyses HT]]</f>
        <v>210.85</v>
      </c>
      <c r="AG109" s="69" t="s">
        <v>1948</v>
      </c>
      <c r="AH109" s="86" t="s">
        <v>1945</v>
      </c>
      <c r="AI109" s="69"/>
    </row>
    <row r="110" spans="1:35" ht="36" x14ac:dyDescent="0.3">
      <c r="A110" s="92" t="s">
        <v>831</v>
      </c>
      <c r="B110" s="72">
        <v>78960</v>
      </c>
      <c r="C110" s="69" t="s">
        <v>196</v>
      </c>
      <c r="D110" s="69" t="s">
        <v>832</v>
      </c>
      <c r="E110" s="69">
        <v>202</v>
      </c>
      <c r="F110" s="69">
        <v>2</v>
      </c>
      <c r="G110" s="69">
        <v>4</v>
      </c>
      <c r="H110" s="69">
        <v>38263</v>
      </c>
      <c r="I110" s="69">
        <v>831</v>
      </c>
      <c r="J110" s="69" t="s">
        <v>198</v>
      </c>
      <c r="K110" s="69"/>
      <c r="L110" s="69" t="s">
        <v>833</v>
      </c>
      <c r="M110" s="71">
        <v>43570</v>
      </c>
      <c r="N110" s="69" t="s">
        <v>83</v>
      </c>
      <c r="O110" s="71">
        <v>43574</v>
      </c>
      <c r="P110" s="69" t="s">
        <v>131</v>
      </c>
      <c r="Q110" s="69" t="s">
        <v>77</v>
      </c>
      <c r="R110" s="73" t="s">
        <v>834</v>
      </c>
      <c r="S110" s="69">
        <v>938030</v>
      </c>
      <c r="T110" s="69"/>
      <c r="U110" s="69" t="s">
        <v>872</v>
      </c>
      <c r="V110" s="69" t="s">
        <v>55</v>
      </c>
      <c r="W110" s="70">
        <f>IFERROR(VLOOKUP(factures[[#This Row],[DT Prestation Amiante 1]],presta_amiante1[#Data],2,0),0)</f>
        <v>55.49</v>
      </c>
      <c r="X110" s="69" t="s">
        <v>54</v>
      </c>
      <c r="Y110" s="70">
        <f>IFERROR(VLOOKUP(factures[[#This Row],[DT Prestation Amiante 2]],presta_amiante2[#Data],2,0),0)</f>
        <v>69.36</v>
      </c>
      <c r="Z110" s="69"/>
      <c r="AA110" s="70">
        <f>IFERROR(VLOOKUP(factures[[#This Row],[DT Prestation Gaz]],presta_gaz[#Data],2,0),0)</f>
        <v>0</v>
      </c>
      <c r="AB110" s="69">
        <v>2</v>
      </c>
      <c r="AC110" s="69" t="s">
        <v>73</v>
      </c>
      <c r="AD110" s="70">
        <f>IFERROR(VLOOKUP(factures[[#This Row],[DT Analyses]],DT_analyses[#Data],2,0),0)</f>
        <v>36.99</v>
      </c>
      <c r="AE110" s="70">
        <f>IFERROR(factures[[#This Row],[Plvts ]]*factures[[#This Row],[Prix Analyses]],0)</f>
        <v>73.98</v>
      </c>
      <c r="AF110" s="70">
        <f>factures[[#This Row],[Prix Prestation Amiante 1]]+factures[[#This Row],[Prix Prestation Amiante 2]]+factures[[#This Row],[Prix Prestation Gaz]]+factures[[#This Row],[Prix analyses HT]]</f>
        <v>198.82999999999998</v>
      </c>
      <c r="AG110" s="69" t="s">
        <v>1004</v>
      </c>
      <c r="AH110" s="86" t="s">
        <v>998</v>
      </c>
      <c r="AI110" s="69"/>
    </row>
    <row r="111" spans="1:35" ht="48" x14ac:dyDescent="0.3">
      <c r="A111" s="92" t="s">
        <v>132</v>
      </c>
      <c r="B111" s="72">
        <v>92100</v>
      </c>
      <c r="C111" s="69" t="s">
        <v>133</v>
      </c>
      <c r="D111" s="69" t="s">
        <v>849</v>
      </c>
      <c r="E111" s="69">
        <v>6</v>
      </c>
      <c r="F111" s="69" t="s">
        <v>102</v>
      </c>
      <c r="G111" s="69">
        <v>3</v>
      </c>
      <c r="H111" s="69">
        <v>60924</v>
      </c>
      <c r="I111" s="69">
        <v>753</v>
      </c>
      <c r="J111" s="69" t="s">
        <v>135</v>
      </c>
      <c r="K111" s="69"/>
      <c r="L111" s="69" t="s">
        <v>850</v>
      </c>
      <c r="M111" s="71">
        <v>43572</v>
      </c>
      <c r="N111" s="69" t="s">
        <v>70</v>
      </c>
      <c r="O111" s="71">
        <v>43574</v>
      </c>
      <c r="P111" s="69" t="s">
        <v>129</v>
      </c>
      <c r="Q111" s="69" t="s">
        <v>77</v>
      </c>
      <c r="R111" s="73" t="s">
        <v>851</v>
      </c>
      <c r="S111" s="69">
        <v>938530</v>
      </c>
      <c r="T111" s="69"/>
      <c r="U111" s="69" t="s">
        <v>873</v>
      </c>
      <c r="V111" s="69" t="s">
        <v>53</v>
      </c>
      <c r="W111" s="70">
        <f>IFERROR(VLOOKUP(factures[[#This Row],[DT Prestation Amiante 1]],presta_amiante1[#Data],2,0),0)</f>
        <v>60.11</v>
      </c>
      <c r="X111" s="69"/>
      <c r="Y111" s="70">
        <f>IFERROR(VLOOKUP(factures[[#This Row],[DT Prestation Amiante 2]],presta_amiante2[#Data],2,0),0)</f>
        <v>0</v>
      </c>
      <c r="Z111" s="69"/>
      <c r="AA111" s="70">
        <f>IFERROR(VLOOKUP(factures[[#This Row],[DT Prestation Gaz]],presta_gaz[#Data],2,0),0)</f>
        <v>0</v>
      </c>
      <c r="AB111" s="69">
        <v>2</v>
      </c>
      <c r="AC111" s="69" t="s">
        <v>73</v>
      </c>
      <c r="AD111" s="70">
        <f>IFERROR(VLOOKUP(factures[[#This Row],[DT Analyses]],DT_analyses[#Data],2,0),0)</f>
        <v>36.99</v>
      </c>
      <c r="AE111" s="70">
        <f>IFERROR(factures[[#This Row],[Plvts ]]*factures[[#This Row],[Prix Analyses]],0)</f>
        <v>73.98</v>
      </c>
      <c r="AF111" s="70">
        <f>factures[[#This Row],[Prix Prestation Amiante 1]]+factures[[#This Row],[Prix Prestation Amiante 2]]+factures[[#This Row],[Prix Prestation Gaz]]+factures[[#This Row],[Prix analyses HT]]</f>
        <v>134.09</v>
      </c>
      <c r="AG111" s="69" t="s">
        <v>882</v>
      </c>
      <c r="AH111" s="86" t="s">
        <v>883</v>
      </c>
      <c r="AI111" s="69"/>
    </row>
    <row r="112" spans="1:35" ht="108" x14ac:dyDescent="0.3">
      <c r="A112" s="92" t="s">
        <v>804</v>
      </c>
      <c r="B112" s="72">
        <v>78540</v>
      </c>
      <c r="C112" s="69" t="s">
        <v>351</v>
      </c>
      <c r="D112" s="69" t="s">
        <v>639</v>
      </c>
      <c r="E112" s="69">
        <v>402</v>
      </c>
      <c r="F112" s="69">
        <v>2</v>
      </c>
      <c r="G112" s="69">
        <v>3</v>
      </c>
      <c r="H112" s="69">
        <v>53047</v>
      </c>
      <c r="I112" s="69">
        <v>9700</v>
      </c>
      <c r="J112" s="69" t="s">
        <v>777</v>
      </c>
      <c r="K112" s="69"/>
      <c r="L112" s="69" t="s">
        <v>806</v>
      </c>
      <c r="M112" s="71">
        <v>43567</v>
      </c>
      <c r="N112" s="69" t="s">
        <v>84</v>
      </c>
      <c r="O112" s="71">
        <v>43580</v>
      </c>
      <c r="P112" s="69" t="s">
        <v>131</v>
      </c>
      <c r="Q112" s="69" t="s">
        <v>77</v>
      </c>
      <c r="R112" s="73" t="s">
        <v>807</v>
      </c>
      <c r="S112" s="69">
        <v>937903</v>
      </c>
      <c r="T112" s="69" t="s">
        <v>852</v>
      </c>
      <c r="U112" s="69" t="s">
        <v>874</v>
      </c>
      <c r="V112" s="69" t="s">
        <v>53</v>
      </c>
      <c r="W112" s="70">
        <f>IFERROR(VLOOKUP(factures[[#This Row],[DT Prestation Amiante 1]],presta_amiante1[#Data],2,0),0)</f>
        <v>60.11</v>
      </c>
      <c r="X112" s="69" t="s">
        <v>55</v>
      </c>
      <c r="Y112" s="70">
        <f>IFERROR(VLOOKUP(factures[[#This Row],[DT Prestation Amiante 2]],presta_amiante2[#Data],2,0),0)</f>
        <v>55.49</v>
      </c>
      <c r="Z112" s="69" t="s">
        <v>61</v>
      </c>
      <c r="AA112" s="70">
        <f>IFERROR(VLOOKUP(factures[[#This Row],[DT Prestation Gaz]],presta_gaz[#Data],2,0),0)</f>
        <v>41.62</v>
      </c>
      <c r="AB112" s="69">
        <v>11</v>
      </c>
      <c r="AC112" s="69" t="s">
        <v>73</v>
      </c>
      <c r="AD112" s="70">
        <f>IFERROR(VLOOKUP(factures[[#This Row],[DT Analyses]],DT_analyses[#Data],2,0),0)</f>
        <v>36.99</v>
      </c>
      <c r="AE112" s="70">
        <f>IFERROR(factures[[#This Row],[Plvts ]]*factures[[#This Row],[Prix Analyses]],0)</f>
        <v>406.89000000000004</v>
      </c>
      <c r="AF112" s="70">
        <f>factures[[#This Row],[Prix Prestation Amiante 1]]+factures[[#This Row],[Prix Prestation Amiante 2]]+factures[[#This Row],[Prix Prestation Gaz]]+factures[[#This Row],[Prix analyses HT]]</f>
        <v>564.11</v>
      </c>
      <c r="AG112" s="69" t="s">
        <v>935</v>
      </c>
      <c r="AH112" s="86" t="s">
        <v>934</v>
      </c>
      <c r="AI112" s="69"/>
    </row>
    <row r="113" spans="1:35" ht="36" x14ac:dyDescent="0.3">
      <c r="A113" s="92" t="s">
        <v>907</v>
      </c>
      <c r="B113" s="72">
        <v>92220</v>
      </c>
      <c r="C113" s="69" t="s">
        <v>141</v>
      </c>
      <c r="D113" s="69" t="s">
        <v>419</v>
      </c>
      <c r="E113" s="69">
        <v>302</v>
      </c>
      <c r="F113" s="69">
        <v>3</v>
      </c>
      <c r="G113" s="69">
        <v>3</v>
      </c>
      <c r="H113" s="69">
        <v>51870</v>
      </c>
      <c r="I113" s="69">
        <v>9152</v>
      </c>
      <c r="J113" s="69" t="s">
        <v>877</v>
      </c>
      <c r="K113" s="69"/>
      <c r="L113" s="69"/>
      <c r="M113" s="71">
        <v>43584</v>
      </c>
      <c r="N113" s="69" t="s">
        <v>70</v>
      </c>
      <c r="O113" s="71">
        <v>43585</v>
      </c>
      <c r="P113" s="69"/>
      <c r="Q113" s="69" t="s">
        <v>77</v>
      </c>
      <c r="R113" s="73" t="s">
        <v>908</v>
      </c>
      <c r="S113" s="69">
        <v>940352</v>
      </c>
      <c r="T113" s="69"/>
      <c r="U113" s="69" t="s">
        <v>928</v>
      </c>
      <c r="V113" s="69" t="s">
        <v>54</v>
      </c>
      <c r="W113" s="70">
        <f>IFERROR(VLOOKUP(factures[[#This Row],[DT Prestation Amiante 1]],presta_amiante1[#Data],2,0),0)</f>
        <v>69.36</v>
      </c>
      <c r="X113" s="69"/>
      <c r="Y113" s="70">
        <f>IFERROR(VLOOKUP(factures[[#This Row],[DT Prestation Amiante 2]],presta_amiante2[#Data],2,0),0)</f>
        <v>0</v>
      </c>
      <c r="Z113" s="69"/>
      <c r="AA113" s="70">
        <f>IFERROR(VLOOKUP(factures[[#This Row],[DT Prestation Gaz]],presta_gaz[#Data],2,0),0)</f>
        <v>0</v>
      </c>
      <c r="AB113" s="69">
        <v>2</v>
      </c>
      <c r="AC113" s="69" t="s">
        <v>73</v>
      </c>
      <c r="AD113" s="70">
        <f>IFERROR(VLOOKUP(factures[[#This Row],[DT Analyses]],DT_analyses[#Data],2,0),0)</f>
        <v>36.99</v>
      </c>
      <c r="AE113" s="70">
        <f>IFERROR(factures[[#This Row],[Plvts ]]*factures[[#This Row],[Prix Analyses]],0)</f>
        <v>73.98</v>
      </c>
      <c r="AF113" s="70">
        <f>factures[[#This Row],[Prix Prestation Amiante 1]]+factures[[#This Row],[Prix Prestation Amiante 2]]+factures[[#This Row],[Prix Prestation Gaz]]+factures[[#This Row],[Prix analyses HT]]</f>
        <v>143.34</v>
      </c>
      <c r="AG113" s="69" t="s">
        <v>1179</v>
      </c>
      <c r="AH113" s="86" t="s">
        <v>1180</v>
      </c>
      <c r="AI113" s="69"/>
    </row>
    <row r="114" spans="1:35" ht="40.799999999999997" x14ac:dyDescent="0.3">
      <c r="A114" s="92" t="s">
        <v>909</v>
      </c>
      <c r="B114" s="72">
        <v>92220</v>
      </c>
      <c r="C114" s="69" t="s">
        <v>141</v>
      </c>
      <c r="D114" s="69" t="s">
        <v>419</v>
      </c>
      <c r="E114" s="69">
        <v>302</v>
      </c>
      <c r="F114" s="69">
        <v>3</v>
      </c>
      <c r="G114" s="69">
        <v>3</v>
      </c>
      <c r="H114" s="69">
        <v>51805</v>
      </c>
      <c r="I114" s="69">
        <v>9152</v>
      </c>
      <c r="J114" s="69">
        <v>603496252</v>
      </c>
      <c r="K114" s="69"/>
      <c r="L114" s="69" t="s">
        <v>910</v>
      </c>
      <c r="M114" s="71">
        <v>43584</v>
      </c>
      <c r="N114" s="69" t="s">
        <v>71</v>
      </c>
      <c r="O114" s="71">
        <v>43585</v>
      </c>
      <c r="P114" s="69"/>
      <c r="Q114" s="69" t="s">
        <v>77</v>
      </c>
      <c r="R114" s="73" t="s">
        <v>911</v>
      </c>
      <c r="S114" s="69">
        <v>940321</v>
      </c>
      <c r="T114" s="69"/>
      <c r="U114" s="69" t="s">
        <v>929</v>
      </c>
      <c r="V114" s="69" t="s">
        <v>53</v>
      </c>
      <c r="W114" s="70">
        <f>IFERROR(VLOOKUP(factures[[#This Row],[DT Prestation Amiante 1]],presta_amiante1[#Data],2,0),0)</f>
        <v>60.11</v>
      </c>
      <c r="X114" s="69"/>
      <c r="Y114" s="70">
        <f>IFERROR(VLOOKUP(factures[[#This Row],[DT Prestation Amiante 2]],presta_amiante2[#Data],2,0),0)</f>
        <v>0</v>
      </c>
      <c r="Z114" s="69" t="s">
        <v>61</v>
      </c>
      <c r="AA114" s="70">
        <f>IFERROR(VLOOKUP(factures[[#This Row],[DT Prestation Gaz]],presta_gaz[#Data],2,0),0)</f>
        <v>41.62</v>
      </c>
      <c r="AB114" s="69">
        <v>7</v>
      </c>
      <c r="AC114" s="69" t="s">
        <v>73</v>
      </c>
      <c r="AD114" s="70">
        <f>IFERROR(VLOOKUP(factures[[#This Row],[DT Analyses]],DT_analyses[#Data],2,0),0)</f>
        <v>36.99</v>
      </c>
      <c r="AE114" s="70">
        <f>IFERROR(factures[[#This Row],[Plvts ]]*factures[[#This Row],[Prix Analyses]],0)</f>
        <v>258.93</v>
      </c>
      <c r="AF114" s="70">
        <f>factures[[#This Row],[Prix Prestation Amiante 1]]+factures[[#This Row],[Prix Prestation Amiante 2]]+factures[[#This Row],[Prix Prestation Gaz]]+factures[[#This Row],[Prix analyses HT]]</f>
        <v>360.65999999999997</v>
      </c>
      <c r="AG114" s="69" t="s">
        <v>968</v>
      </c>
      <c r="AH114" s="86" t="s">
        <v>964</v>
      </c>
      <c r="AI114" s="69"/>
    </row>
    <row r="115" spans="1:35" ht="48" x14ac:dyDescent="0.3">
      <c r="A115" s="92" t="s">
        <v>827</v>
      </c>
      <c r="B115" s="72">
        <v>92400</v>
      </c>
      <c r="C115" s="69" t="s">
        <v>104</v>
      </c>
      <c r="D115" s="69" t="s">
        <v>578</v>
      </c>
      <c r="E115" s="69">
        <v>210</v>
      </c>
      <c r="F115" s="69">
        <v>2</v>
      </c>
      <c r="G115" s="69">
        <v>2</v>
      </c>
      <c r="H115" s="69">
        <v>44224</v>
      </c>
      <c r="I115" s="69">
        <v>871</v>
      </c>
      <c r="J115" s="69" t="s">
        <v>547</v>
      </c>
      <c r="K115" s="69"/>
      <c r="L115" s="69" t="s">
        <v>828</v>
      </c>
      <c r="M115" s="71"/>
      <c r="N115" s="69" t="s">
        <v>70</v>
      </c>
      <c r="O115" s="71">
        <v>43585</v>
      </c>
      <c r="P115" s="69" t="s">
        <v>904</v>
      </c>
      <c r="Q115" s="69" t="s">
        <v>77</v>
      </c>
      <c r="R115" s="73" t="s">
        <v>829</v>
      </c>
      <c r="S115" s="69">
        <v>938006</v>
      </c>
      <c r="T115" s="69" t="s">
        <v>871</v>
      </c>
      <c r="U115" s="69" t="s">
        <v>924</v>
      </c>
      <c r="V115" s="69" t="s">
        <v>53</v>
      </c>
      <c r="W115" s="70">
        <f>IFERROR(VLOOKUP(factures[[#This Row],[DT Prestation Amiante 1]],presta_amiante1[#Data],2,0),0)</f>
        <v>60.11</v>
      </c>
      <c r="X115" s="69"/>
      <c r="Y115" s="70">
        <f>IFERROR(VLOOKUP(factures[[#This Row],[DT Prestation Amiante 2]],presta_amiante2[#Data],2,0),0)</f>
        <v>0</v>
      </c>
      <c r="Z115" s="69"/>
      <c r="AA115" s="70">
        <f>IFERROR(VLOOKUP(factures[[#This Row],[DT Prestation Gaz]],presta_gaz[#Data],2,0),0)</f>
        <v>0</v>
      </c>
      <c r="AB115" s="69">
        <v>2</v>
      </c>
      <c r="AC115" s="69" t="s">
        <v>73</v>
      </c>
      <c r="AD115" s="70">
        <f>IFERROR(VLOOKUP(factures[[#This Row],[DT Analyses]],DT_analyses[#Data],2,0),0)</f>
        <v>36.99</v>
      </c>
      <c r="AE115" s="70">
        <f>IFERROR(factures[[#This Row],[Plvts ]]*factures[[#This Row],[Prix Analyses]],0)</f>
        <v>73.98</v>
      </c>
      <c r="AF115" s="70">
        <f>factures[[#This Row],[Prix Prestation Amiante 1]]+factures[[#This Row],[Prix Prestation Amiante 2]]+factures[[#This Row],[Prix Prestation Gaz]]+factures[[#This Row],[Prix analyses HT]]</f>
        <v>134.09</v>
      </c>
      <c r="AG115" s="69" t="s">
        <v>965</v>
      </c>
      <c r="AH115" s="86" t="s">
        <v>964</v>
      </c>
      <c r="AI115" s="69"/>
    </row>
    <row r="116" spans="1:35" ht="122.25" customHeight="1" x14ac:dyDescent="0.3">
      <c r="A116" s="92" t="s">
        <v>876</v>
      </c>
      <c r="B116" s="72">
        <v>92220</v>
      </c>
      <c r="C116" s="69" t="s">
        <v>418</v>
      </c>
      <c r="D116" s="69" t="s">
        <v>419</v>
      </c>
      <c r="E116" s="69">
        <v>201</v>
      </c>
      <c r="F116" s="69">
        <v>2</v>
      </c>
      <c r="G116" s="69">
        <v>3</v>
      </c>
      <c r="H116" s="69">
        <v>51852</v>
      </c>
      <c r="I116" s="69">
        <v>9152</v>
      </c>
      <c r="J116" s="69" t="s">
        <v>877</v>
      </c>
      <c r="K116" s="69"/>
      <c r="L116" s="69" t="s">
        <v>905</v>
      </c>
      <c r="M116" s="71">
        <v>43580</v>
      </c>
      <c r="N116" s="69" t="s">
        <v>70</v>
      </c>
      <c r="O116" s="71">
        <v>43585</v>
      </c>
      <c r="P116" s="69" t="s">
        <v>130</v>
      </c>
      <c r="Q116" s="69" t="s">
        <v>77</v>
      </c>
      <c r="R116" s="73" t="s">
        <v>878</v>
      </c>
      <c r="S116" s="69">
        <v>939699</v>
      </c>
      <c r="T116" s="69"/>
      <c r="U116" s="69" t="s">
        <v>925</v>
      </c>
      <c r="V116" s="69" t="s">
        <v>53</v>
      </c>
      <c r="W116" s="70">
        <f>IFERROR(VLOOKUP(factures[[#This Row],[DT Prestation Amiante 1]],presta_amiante1[#Data],2,0),0)</f>
        <v>60.11</v>
      </c>
      <c r="X116" s="69"/>
      <c r="Y116" s="70">
        <f>IFERROR(VLOOKUP(factures[[#This Row],[DT Prestation Amiante 2]],presta_amiante2[#Data],2,0),0)</f>
        <v>0</v>
      </c>
      <c r="Z116" s="69"/>
      <c r="AA116" s="70">
        <f>IFERROR(VLOOKUP(factures[[#This Row],[DT Prestation Gaz]],presta_gaz[#Data],2,0),0)</f>
        <v>0</v>
      </c>
      <c r="AB116" s="69">
        <v>2</v>
      </c>
      <c r="AC116" s="69" t="s">
        <v>73</v>
      </c>
      <c r="AD116" s="70">
        <f>IFERROR(VLOOKUP(factures[[#This Row],[DT Analyses]],DT_analyses[#Data],2,0),0)</f>
        <v>36.99</v>
      </c>
      <c r="AE116" s="70">
        <f>IFERROR(factures[[#This Row],[Plvts ]]*factures[[#This Row],[Prix Analyses]],0)</f>
        <v>73.98</v>
      </c>
      <c r="AF116" s="70">
        <f>factures[[#This Row],[Prix Prestation Amiante 1]]+factures[[#This Row],[Prix Prestation Amiante 2]]+factures[[#This Row],[Prix Prestation Gaz]]+factures[[#This Row],[Prix analyses HT]]</f>
        <v>134.09</v>
      </c>
      <c r="AG116" s="69" t="s">
        <v>966</v>
      </c>
      <c r="AH116" s="86" t="s">
        <v>964</v>
      </c>
      <c r="AI116" s="69"/>
    </row>
    <row r="117" spans="1:35" ht="36" x14ac:dyDescent="0.3">
      <c r="A117" s="92" t="s">
        <v>879</v>
      </c>
      <c r="B117" s="72">
        <v>78260</v>
      </c>
      <c r="C117" s="69" t="s">
        <v>1082</v>
      </c>
      <c r="D117" s="69" t="s">
        <v>438</v>
      </c>
      <c r="E117" s="69">
        <v>202</v>
      </c>
      <c r="F117" s="69">
        <v>2</v>
      </c>
      <c r="G117" s="69">
        <v>1</v>
      </c>
      <c r="H117" s="69">
        <v>39755</v>
      </c>
      <c r="I117" s="69">
        <v>815</v>
      </c>
      <c r="J117" s="69" t="s">
        <v>470</v>
      </c>
      <c r="K117" s="69"/>
      <c r="L117" s="69" t="s">
        <v>880</v>
      </c>
      <c r="M117" s="71">
        <v>43580</v>
      </c>
      <c r="N117" s="69" t="s">
        <v>84</v>
      </c>
      <c r="O117" s="71">
        <v>43585</v>
      </c>
      <c r="P117" s="69" t="s">
        <v>131</v>
      </c>
      <c r="Q117" s="69" t="s">
        <v>77</v>
      </c>
      <c r="R117" s="73" t="s">
        <v>881</v>
      </c>
      <c r="S117" s="69">
        <v>939714</v>
      </c>
      <c r="T117" s="69"/>
      <c r="U117" s="69" t="s">
        <v>926</v>
      </c>
      <c r="V117" s="69" t="s">
        <v>55</v>
      </c>
      <c r="W117" s="70">
        <f>IFERROR(VLOOKUP(factures[[#This Row],[DT Prestation Amiante 1]],presta_amiante1[#Data],2,0),0)</f>
        <v>55.49</v>
      </c>
      <c r="X117" s="69" t="s">
        <v>53</v>
      </c>
      <c r="Y117" s="70">
        <f>IFERROR(VLOOKUP(factures[[#This Row],[DT Prestation Amiante 2]],presta_amiante2[#Data],2,0),0)</f>
        <v>60.11</v>
      </c>
      <c r="Z117" s="69" t="s">
        <v>61</v>
      </c>
      <c r="AA117" s="70">
        <f>IFERROR(VLOOKUP(factures[[#This Row],[DT Prestation Gaz]],presta_gaz[#Data],2,0),0)</f>
        <v>41.62</v>
      </c>
      <c r="AB117" s="69">
        <v>2</v>
      </c>
      <c r="AC117" s="69" t="s">
        <v>73</v>
      </c>
      <c r="AD117" s="70">
        <f>IFERROR(VLOOKUP(factures[[#This Row],[DT Analyses]],DT_analyses[#Data],2,0),0)</f>
        <v>36.99</v>
      </c>
      <c r="AE117" s="70">
        <f>IFERROR(factures[[#This Row],[Plvts ]]*factures[[#This Row],[Prix Analyses]],0)</f>
        <v>73.98</v>
      </c>
      <c r="AF117" s="70">
        <f>factures[[#This Row],[Prix Prestation Amiante 1]]+factures[[#This Row],[Prix Prestation Amiante 2]]+factures[[#This Row],[Prix Prestation Gaz]]+factures[[#This Row],[Prix analyses HT]]</f>
        <v>231.2</v>
      </c>
      <c r="AG117" s="69" t="s">
        <v>1006</v>
      </c>
      <c r="AH117" s="86" t="s">
        <v>998</v>
      </c>
      <c r="AI117" s="69"/>
    </row>
    <row r="118" spans="1:35" ht="40.799999999999997" x14ac:dyDescent="0.3">
      <c r="A118" s="92" t="s">
        <v>439</v>
      </c>
      <c r="B118" s="72">
        <v>92800</v>
      </c>
      <c r="C118" s="69" t="s">
        <v>202</v>
      </c>
      <c r="D118" s="69" t="s">
        <v>888</v>
      </c>
      <c r="E118" s="69">
        <v>502</v>
      </c>
      <c r="F118" s="69">
        <v>5</v>
      </c>
      <c r="G118" s="69">
        <v>3</v>
      </c>
      <c r="H118" s="69">
        <v>13385</v>
      </c>
      <c r="I118" s="69">
        <v>195</v>
      </c>
      <c r="J118" s="69" t="s">
        <v>2264</v>
      </c>
      <c r="K118" s="69"/>
      <c r="L118" s="69" t="s">
        <v>889</v>
      </c>
      <c r="M118" s="71">
        <v>43584</v>
      </c>
      <c r="N118" s="69" t="s">
        <v>70</v>
      </c>
      <c r="O118" s="71">
        <v>43585</v>
      </c>
      <c r="P118" s="69" t="s">
        <v>294</v>
      </c>
      <c r="Q118" s="69" t="s">
        <v>77</v>
      </c>
      <c r="R118" s="73" t="s">
        <v>890</v>
      </c>
      <c r="S118" s="69">
        <v>940313</v>
      </c>
      <c r="T118" s="69"/>
      <c r="U118" s="69" t="s">
        <v>927</v>
      </c>
      <c r="V118" s="69" t="s">
        <v>53</v>
      </c>
      <c r="W118" s="70">
        <f>IFERROR(VLOOKUP(factures[[#This Row],[DT Prestation Amiante 1]],presta_amiante1[#Data],2,0),0)</f>
        <v>60.11</v>
      </c>
      <c r="X118" s="69"/>
      <c r="Y118" s="70">
        <f>IFERROR(VLOOKUP(factures[[#This Row],[DT Prestation Amiante 2]],presta_amiante2[#Data],2,0),0)</f>
        <v>0</v>
      </c>
      <c r="Z118" s="69"/>
      <c r="AA118" s="70">
        <f>IFERROR(VLOOKUP(factures[[#This Row],[DT Prestation Gaz]],presta_gaz[#Data],2,0),0)</f>
        <v>0</v>
      </c>
      <c r="AB118" s="69">
        <v>5</v>
      </c>
      <c r="AC118" s="69" t="s">
        <v>73</v>
      </c>
      <c r="AD118" s="70">
        <f>IFERROR(VLOOKUP(factures[[#This Row],[DT Analyses]],DT_analyses[#Data],2,0),0)</f>
        <v>36.99</v>
      </c>
      <c r="AE118" s="70">
        <f>IFERROR(factures[[#This Row],[Plvts ]]*factures[[#This Row],[Prix Analyses]],0)</f>
        <v>184.95000000000002</v>
      </c>
      <c r="AF118" s="70">
        <f>factures[[#This Row],[Prix Prestation Amiante 1]]+factures[[#This Row],[Prix Prestation Amiante 2]]+factures[[#This Row],[Prix Prestation Gaz]]+factures[[#This Row],[Prix analyses HT]]</f>
        <v>245.06</v>
      </c>
      <c r="AG118" s="69" t="s">
        <v>967</v>
      </c>
      <c r="AH118" s="86" t="s">
        <v>964</v>
      </c>
      <c r="AI118" s="69"/>
    </row>
    <row r="119" spans="1:35" ht="108" x14ac:dyDescent="0.3">
      <c r="A119" s="92" t="s">
        <v>922</v>
      </c>
      <c r="B119" s="72">
        <v>78540</v>
      </c>
      <c r="C119" s="69" t="s">
        <v>351</v>
      </c>
      <c r="D119" s="69" t="s">
        <v>639</v>
      </c>
      <c r="E119" s="69">
        <v>402</v>
      </c>
      <c r="F119" s="69">
        <v>4</v>
      </c>
      <c r="G119" s="69">
        <v>3</v>
      </c>
      <c r="H119" s="69">
        <v>53087</v>
      </c>
      <c r="I119" s="69">
        <v>9700</v>
      </c>
      <c r="J119" s="69" t="s">
        <v>777</v>
      </c>
      <c r="K119" s="69"/>
      <c r="L119" s="69" t="s">
        <v>923</v>
      </c>
      <c r="M119" s="71">
        <v>43585</v>
      </c>
      <c r="N119" s="69" t="s">
        <v>84</v>
      </c>
      <c r="O119" s="71">
        <v>43588</v>
      </c>
      <c r="P119" s="69" t="s">
        <v>337</v>
      </c>
      <c r="Q119" s="69" t="s">
        <v>77</v>
      </c>
      <c r="R119" s="73" t="s">
        <v>994</v>
      </c>
      <c r="S119" s="69">
        <v>940549</v>
      </c>
      <c r="T119" s="69"/>
      <c r="U119" s="69" t="s">
        <v>949</v>
      </c>
      <c r="V119" s="69" t="s">
        <v>55</v>
      </c>
      <c r="W119" s="70">
        <f>IFERROR(VLOOKUP(factures[[#This Row],[DT Prestation Amiante 1]],presta_amiante1[#Data],2,0),0)</f>
        <v>55.49</v>
      </c>
      <c r="X119" s="69" t="s">
        <v>53</v>
      </c>
      <c r="Y119" s="70">
        <f>IFERROR(VLOOKUP(factures[[#This Row],[DT Prestation Amiante 2]],presta_amiante2[#Data],2,0),0)</f>
        <v>60.11</v>
      </c>
      <c r="Z119" s="69" t="s">
        <v>61</v>
      </c>
      <c r="AA119" s="70">
        <f>IFERROR(VLOOKUP(factures[[#This Row],[DT Prestation Gaz]],presta_gaz[#Data],2,0),0)</f>
        <v>41.62</v>
      </c>
      <c r="AB119" s="69">
        <v>14</v>
      </c>
      <c r="AC119" s="69" t="s">
        <v>73</v>
      </c>
      <c r="AD119" s="70">
        <f>IFERROR(VLOOKUP(factures[[#This Row],[DT Analyses]],DT_analyses[#Data],2,0),0)</f>
        <v>36.99</v>
      </c>
      <c r="AE119" s="70">
        <f>IFERROR(factures[[#This Row],[Plvts ]]*factures[[#This Row],[Prix Analyses]],0)</f>
        <v>517.86</v>
      </c>
      <c r="AF119" s="70">
        <f>factures[[#This Row],[Prix Prestation Amiante 1]]+factures[[#This Row],[Prix Prestation Amiante 2]]+factures[[#This Row],[Prix Prestation Gaz]]+factures[[#This Row],[Prix analyses HT]]</f>
        <v>675.08</v>
      </c>
      <c r="AG119" s="69" t="s">
        <v>997</v>
      </c>
      <c r="AH119" s="86" t="s">
        <v>998</v>
      </c>
      <c r="AI119" s="69"/>
    </row>
    <row r="120" spans="1:35" ht="36" x14ac:dyDescent="0.3">
      <c r="A120" s="92" t="s">
        <v>912</v>
      </c>
      <c r="B120" s="72">
        <v>78180</v>
      </c>
      <c r="C120" s="69" t="s">
        <v>115</v>
      </c>
      <c r="D120" s="69" t="s">
        <v>913</v>
      </c>
      <c r="E120" s="69">
        <v>202</v>
      </c>
      <c r="F120" s="69">
        <v>2</v>
      </c>
      <c r="G120" s="69">
        <v>4</v>
      </c>
      <c r="H120" s="69">
        <v>31927</v>
      </c>
      <c r="I120" s="69">
        <v>454</v>
      </c>
      <c r="J120" s="69" t="s">
        <v>914</v>
      </c>
      <c r="K120" s="69"/>
      <c r="L120" s="69" t="s">
        <v>915</v>
      </c>
      <c r="M120" s="71">
        <v>43584</v>
      </c>
      <c r="N120" s="69" t="s">
        <v>70</v>
      </c>
      <c r="O120" s="71">
        <v>43588</v>
      </c>
      <c r="P120" s="69"/>
      <c r="Q120" s="69" t="s">
        <v>77</v>
      </c>
      <c r="R120" s="73" t="s">
        <v>916</v>
      </c>
      <c r="S120" s="69">
        <v>940306</v>
      </c>
      <c r="T120" s="69"/>
      <c r="U120" s="69" t="s">
        <v>942</v>
      </c>
      <c r="V120" s="69" t="s">
        <v>54</v>
      </c>
      <c r="W120" s="70">
        <f>IFERROR(VLOOKUP(factures[[#This Row],[DT Prestation Amiante 1]],presta_amiante1[#Data],2,0),0)</f>
        <v>69.36</v>
      </c>
      <c r="X120" s="69"/>
      <c r="Y120" s="70">
        <f>IFERROR(VLOOKUP(factures[[#This Row],[DT Prestation Amiante 2]],presta_amiante2[#Data],2,0),0)</f>
        <v>0</v>
      </c>
      <c r="Z120" s="69"/>
      <c r="AA120" s="70">
        <f>IFERROR(VLOOKUP(factures[[#This Row],[DT Prestation Gaz]],presta_gaz[#Data],2,0),0)</f>
        <v>0</v>
      </c>
      <c r="AB120" s="69">
        <v>2</v>
      </c>
      <c r="AC120" s="69" t="s">
        <v>73</v>
      </c>
      <c r="AD120" s="70">
        <f>IFERROR(VLOOKUP(factures[[#This Row],[DT Analyses]],DT_analyses[#Data],2,0),0)</f>
        <v>36.99</v>
      </c>
      <c r="AE120" s="70">
        <f>IFERROR(factures[[#This Row],[Plvts ]]*factures[[#This Row],[Prix Analyses]],0)</f>
        <v>73.98</v>
      </c>
      <c r="AF120" s="70">
        <f>factures[[#This Row],[Prix Prestation Amiante 1]]+factures[[#This Row],[Prix Prestation Amiante 2]]+factures[[#This Row],[Prix Prestation Gaz]]+factures[[#This Row],[Prix analyses HT]]</f>
        <v>143.34</v>
      </c>
      <c r="AG120" s="69" t="s">
        <v>1007</v>
      </c>
      <c r="AH120" s="86" t="s">
        <v>998</v>
      </c>
      <c r="AI120" s="69"/>
    </row>
    <row r="121" spans="1:35" ht="40.799999999999997" x14ac:dyDescent="0.3">
      <c r="A121" s="92" t="s">
        <v>895</v>
      </c>
      <c r="B121" s="72">
        <v>94120</v>
      </c>
      <c r="C121" s="69" t="s">
        <v>896</v>
      </c>
      <c r="D121" s="69" t="s">
        <v>892</v>
      </c>
      <c r="E121" s="69">
        <v>104</v>
      </c>
      <c r="F121" s="69">
        <v>1</v>
      </c>
      <c r="G121" s="69">
        <v>3</v>
      </c>
      <c r="H121" s="69">
        <v>33690</v>
      </c>
      <c r="I121" s="69">
        <v>520</v>
      </c>
      <c r="J121" s="69" t="s">
        <v>253</v>
      </c>
      <c r="K121" s="69"/>
      <c r="L121" s="69" t="s">
        <v>897</v>
      </c>
      <c r="M121" s="71">
        <v>43584</v>
      </c>
      <c r="N121" s="69" t="s">
        <v>71</v>
      </c>
      <c r="O121" s="71">
        <v>43591</v>
      </c>
      <c r="P121" s="69" t="s">
        <v>339</v>
      </c>
      <c r="Q121" s="69" t="s">
        <v>77</v>
      </c>
      <c r="R121" s="73" t="s">
        <v>898</v>
      </c>
      <c r="S121" s="69">
        <v>940289</v>
      </c>
      <c r="T121" s="69"/>
      <c r="U121" s="69" t="s">
        <v>958</v>
      </c>
      <c r="V121" s="69" t="s">
        <v>53</v>
      </c>
      <c r="W121" s="70">
        <f>IFERROR(VLOOKUP(factures[[#This Row],[DT Prestation Amiante 1]],presta_amiante1[#Data],2,0),0)</f>
        <v>60.11</v>
      </c>
      <c r="X121" s="69"/>
      <c r="Y121" s="70">
        <f>IFERROR(VLOOKUP(factures[[#This Row],[DT Prestation Amiante 2]],presta_amiante2[#Data],2,0),0)</f>
        <v>0</v>
      </c>
      <c r="Z121" s="69" t="s">
        <v>61</v>
      </c>
      <c r="AA121" s="70">
        <f>IFERROR(VLOOKUP(factures[[#This Row],[DT Prestation Gaz]],presta_gaz[#Data],2,0),0)</f>
        <v>41.62</v>
      </c>
      <c r="AB121" s="69">
        <v>7</v>
      </c>
      <c r="AC121" s="69" t="s">
        <v>73</v>
      </c>
      <c r="AD121" s="70">
        <f>IFERROR(VLOOKUP(factures[[#This Row],[DT Analyses]],DT_analyses[#Data],2,0),0)</f>
        <v>36.99</v>
      </c>
      <c r="AE121" s="70">
        <f>IFERROR(factures[[#This Row],[Plvts ]]*factures[[#This Row],[Prix Analyses]],0)</f>
        <v>258.93</v>
      </c>
      <c r="AF121" s="70">
        <f>factures[[#This Row],[Prix Prestation Amiante 1]]+factures[[#This Row],[Prix Prestation Amiante 2]]+factures[[#This Row],[Prix Prestation Gaz]]+factures[[#This Row],[Prix analyses HT]]</f>
        <v>360.65999999999997</v>
      </c>
      <c r="AG121" s="69" t="s">
        <v>1015</v>
      </c>
      <c r="AH121" s="86" t="s">
        <v>1016</v>
      </c>
      <c r="AI121" s="69"/>
    </row>
    <row r="122" spans="1:35" ht="108" x14ac:dyDescent="0.3">
      <c r="A122" s="92" t="s">
        <v>857</v>
      </c>
      <c r="B122" s="72">
        <v>78540</v>
      </c>
      <c r="C122" s="69" t="s">
        <v>351</v>
      </c>
      <c r="D122" s="69" t="s">
        <v>639</v>
      </c>
      <c r="E122" s="69">
        <v>402</v>
      </c>
      <c r="F122" s="69">
        <v>4</v>
      </c>
      <c r="G122" s="69">
        <v>4</v>
      </c>
      <c r="H122" s="69">
        <v>53247</v>
      </c>
      <c r="I122" s="69">
        <v>9700</v>
      </c>
      <c r="J122" s="69" t="s">
        <v>777</v>
      </c>
      <c r="K122" s="69"/>
      <c r="L122" s="69" t="s">
        <v>858</v>
      </c>
      <c r="M122" s="71">
        <v>43573</v>
      </c>
      <c r="N122" s="69" t="s">
        <v>84</v>
      </c>
      <c r="O122" s="71">
        <v>43594</v>
      </c>
      <c r="P122" s="69" t="s">
        <v>131</v>
      </c>
      <c r="Q122" s="69" t="s">
        <v>77</v>
      </c>
      <c r="R122" s="73" t="s">
        <v>867</v>
      </c>
      <c r="S122" s="69">
        <v>938704</v>
      </c>
      <c r="T122" s="69"/>
      <c r="U122" s="69" t="s">
        <v>980</v>
      </c>
      <c r="V122" s="69" t="s">
        <v>55</v>
      </c>
      <c r="W122" s="70">
        <f>IFERROR(VLOOKUP(factures[[#This Row],[DT Prestation Amiante 1]],presta_amiante1[#Data],2,0),0)</f>
        <v>55.49</v>
      </c>
      <c r="X122" s="69" t="s">
        <v>54</v>
      </c>
      <c r="Y122" s="70">
        <f>IFERROR(VLOOKUP(factures[[#This Row],[DT Prestation Amiante 2]],presta_amiante2[#Data],2,0),0)</f>
        <v>69.36</v>
      </c>
      <c r="Z122" s="69" t="s">
        <v>62</v>
      </c>
      <c r="AA122" s="70">
        <f>IFERROR(VLOOKUP(factures[[#This Row],[DT Prestation Gaz]],presta_gaz[#Data],2,0),0)</f>
        <v>49.01</v>
      </c>
      <c r="AB122" s="69">
        <v>10</v>
      </c>
      <c r="AC122" s="69" t="s">
        <v>73</v>
      </c>
      <c r="AD122" s="70">
        <f>IFERROR(VLOOKUP(factures[[#This Row],[DT Analyses]],DT_analyses[#Data],2,0),0)</f>
        <v>36.99</v>
      </c>
      <c r="AE122" s="70">
        <f>IFERROR(factures[[#This Row],[Plvts ]]*factures[[#This Row],[Prix Analyses]],0)</f>
        <v>369.90000000000003</v>
      </c>
      <c r="AF122" s="70">
        <f>factures[[#This Row],[Prix Prestation Amiante 1]]+factures[[#This Row],[Prix Prestation Amiante 2]]+factures[[#This Row],[Prix Prestation Gaz]]+factures[[#This Row],[Prix analyses HT]]</f>
        <v>543.76</v>
      </c>
      <c r="AG122" s="69" t="s">
        <v>1059</v>
      </c>
      <c r="AH122" s="86" t="s">
        <v>1060</v>
      </c>
      <c r="AI122" s="69"/>
    </row>
    <row r="123" spans="1:35" ht="36" x14ac:dyDescent="0.3">
      <c r="A123" s="92" t="s">
        <v>930</v>
      </c>
      <c r="B123" s="72">
        <v>78260</v>
      </c>
      <c r="C123" s="69" t="s">
        <v>1082</v>
      </c>
      <c r="D123" s="69" t="s">
        <v>438</v>
      </c>
      <c r="E123" s="69">
        <v>602</v>
      </c>
      <c r="F123" s="69">
        <v>6</v>
      </c>
      <c r="G123" s="69">
        <v>1</v>
      </c>
      <c r="H123" s="69">
        <v>39821</v>
      </c>
      <c r="I123" s="69">
        <v>815</v>
      </c>
      <c r="J123" s="69" t="s">
        <v>470</v>
      </c>
      <c r="K123" s="69"/>
      <c r="L123" s="69" t="s">
        <v>931</v>
      </c>
      <c r="M123" s="71">
        <v>43585</v>
      </c>
      <c r="N123" s="69" t="s">
        <v>84</v>
      </c>
      <c r="O123" s="71">
        <v>43594</v>
      </c>
      <c r="P123" s="69" t="s">
        <v>129</v>
      </c>
      <c r="Q123" s="69" t="s">
        <v>77</v>
      </c>
      <c r="R123" s="73" t="s">
        <v>932</v>
      </c>
      <c r="S123" s="69">
        <v>940698</v>
      </c>
      <c r="T123" s="69"/>
      <c r="U123" s="69" t="s">
        <v>981</v>
      </c>
      <c r="V123" s="69" t="s">
        <v>55</v>
      </c>
      <c r="W123" s="70">
        <f>IFERROR(VLOOKUP(factures[[#This Row],[DT Prestation Amiante 1]],presta_amiante1[#Data],2,0),0)</f>
        <v>55.49</v>
      </c>
      <c r="X123" s="69" t="s">
        <v>53</v>
      </c>
      <c r="Y123" s="70">
        <f>IFERROR(VLOOKUP(factures[[#This Row],[DT Prestation Amiante 2]],presta_amiante2[#Data],2,0),0)</f>
        <v>60.11</v>
      </c>
      <c r="Z123" s="69" t="s">
        <v>61</v>
      </c>
      <c r="AA123" s="70">
        <f>IFERROR(VLOOKUP(factures[[#This Row],[DT Prestation Gaz]],presta_gaz[#Data],2,0),0)</f>
        <v>41.62</v>
      </c>
      <c r="AB123" s="69">
        <v>2</v>
      </c>
      <c r="AC123" s="69" t="s">
        <v>73</v>
      </c>
      <c r="AD123" s="70">
        <f>IFERROR(VLOOKUP(factures[[#This Row],[DT Analyses]],DT_analyses[#Data],2,0),0)</f>
        <v>36.99</v>
      </c>
      <c r="AE123" s="70">
        <f>IFERROR(factures[[#This Row],[Plvts ]]*factures[[#This Row],[Prix Analyses]],0)</f>
        <v>73.98</v>
      </c>
      <c r="AF123" s="70">
        <f>factures[[#This Row],[Prix Prestation Amiante 1]]+factures[[#This Row],[Prix Prestation Amiante 2]]+factures[[#This Row],[Prix Prestation Gaz]]+factures[[#This Row],[Prix analyses HT]]</f>
        <v>231.2</v>
      </c>
      <c r="AG123" s="69" t="s">
        <v>1017</v>
      </c>
      <c r="AH123" s="86" t="s">
        <v>1016</v>
      </c>
      <c r="AI123" s="69"/>
    </row>
    <row r="124" spans="1:35" ht="48" x14ac:dyDescent="0.3">
      <c r="A124" s="92" t="s">
        <v>944</v>
      </c>
      <c r="B124" s="72">
        <v>78960</v>
      </c>
      <c r="C124" s="69" t="s">
        <v>196</v>
      </c>
      <c r="D124" s="69" t="s">
        <v>945</v>
      </c>
      <c r="E124" s="69">
        <v>202</v>
      </c>
      <c r="F124" s="69">
        <v>2</v>
      </c>
      <c r="G124" s="69">
        <v>4</v>
      </c>
      <c r="H124" s="69">
        <v>38300</v>
      </c>
      <c r="I124" s="69">
        <v>761</v>
      </c>
      <c r="J124" s="69" t="s">
        <v>198</v>
      </c>
      <c r="K124" s="69"/>
      <c r="L124" s="69" t="s">
        <v>946</v>
      </c>
      <c r="M124" s="71">
        <v>43588</v>
      </c>
      <c r="N124" s="69" t="s">
        <v>83</v>
      </c>
      <c r="O124" s="71">
        <v>43594</v>
      </c>
      <c r="P124" s="69" t="s">
        <v>130</v>
      </c>
      <c r="Q124" s="69" t="s">
        <v>77</v>
      </c>
      <c r="R124" s="73" t="s">
        <v>947</v>
      </c>
      <c r="S124" s="69">
        <v>941100</v>
      </c>
      <c r="T124" s="91" t="s">
        <v>984</v>
      </c>
      <c r="U124" s="69" t="s">
        <v>982</v>
      </c>
      <c r="V124" s="69" t="s">
        <v>55</v>
      </c>
      <c r="W124" s="70">
        <f>IFERROR(VLOOKUP(factures[[#This Row],[DT Prestation Amiante 1]],presta_amiante1[#Data],2,0),0)</f>
        <v>55.49</v>
      </c>
      <c r="X124" s="69" t="s">
        <v>54</v>
      </c>
      <c r="Y124" s="70">
        <f>IFERROR(VLOOKUP(factures[[#This Row],[DT Prestation Amiante 2]],presta_amiante2[#Data],2,0),0)</f>
        <v>69.36</v>
      </c>
      <c r="Z124" s="69"/>
      <c r="AA124" s="70">
        <f>IFERROR(VLOOKUP(factures[[#This Row],[DT Prestation Gaz]],presta_gaz[#Data],2,0),0)</f>
        <v>0</v>
      </c>
      <c r="AB124" s="69">
        <v>11</v>
      </c>
      <c r="AC124" s="69" t="s">
        <v>73</v>
      </c>
      <c r="AD124" s="70">
        <f>IFERROR(VLOOKUP(factures[[#This Row],[DT Analyses]],DT_analyses[#Data],2,0),0)</f>
        <v>36.99</v>
      </c>
      <c r="AE124" s="70">
        <f>IFERROR(factures[[#This Row],[Plvts ]]*factures[[#This Row],[Prix Analyses]],0)</f>
        <v>406.89000000000004</v>
      </c>
      <c r="AF124" s="70">
        <f>factures[[#This Row],[Prix Prestation Amiante 1]]+factures[[#This Row],[Prix Prestation Amiante 2]]+factures[[#This Row],[Prix Prestation Gaz]]+factures[[#This Row],[Prix analyses HT]]</f>
        <v>531.74</v>
      </c>
      <c r="AG124" s="69" t="s">
        <v>1151</v>
      </c>
      <c r="AH124" s="86" t="s">
        <v>1148</v>
      </c>
      <c r="AI124" s="69"/>
    </row>
    <row r="125" spans="1:35" ht="48" x14ac:dyDescent="0.3">
      <c r="A125" s="92" t="s">
        <v>766</v>
      </c>
      <c r="B125" s="72">
        <v>92110</v>
      </c>
      <c r="C125" s="69" t="s">
        <v>764</v>
      </c>
      <c r="D125" s="69" t="s">
        <v>953</v>
      </c>
      <c r="E125" s="69">
        <v>602</v>
      </c>
      <c r="F125" s="69">
        <v>6</v>
      </c>
      <c r="G125" s="69">
        <v>2</v>
      </c>
      <c r="H125" s="69">
        <v>41684</v>
      </c>
      <c r="I125" s="69">
        <v>838</v>
      </c>
      <c r="J125" s="69" t="s">
        <v>771</v>
      </c>
      <c r="K125" s="69"/>
      <c r="L125" s="69" t="s">
        <v>954</v>
      </c>
      <c r="M125" s="71">
        <v>43591</v>
      </c>
      <c r="N125" s="69" t="s">
        <v>70</v>
      </c>
      <c r="O125" s="71">
        <v>43594</v>
      </c>
      <c r="P125" s="69" t="s">
        <v>171</v>
      </c>
      <c r="Q125" s="69" t="s">
        <v>77</v>
      </c>
      <c r="R125" s="73" t="s">
        <v>955</v>
      </c>
      <c r="S125" s="69">
        <v>941261</v>
      </c>
      <c r="T125" s="69"/>
      <c r="U125" s="69" t="s">
        <v>983</v>
      </c>
      <c r="V125" s="69" t="s">
        <v>53</v>
      </c>
      <c r="W125" s="70">
        <f>IFERROR(VLOOKUP(factures[[#This Row],[DT Prestation Amiante 1]],presta_amiante1[#Data],2,0),0)</f>
        <v>60.11</v>
      </c>
      <c r="X125" s="69"/>
      <c r="Y125" s="70">
        <f>IFERROR(VLOOKUP(factures[[#This Row],[DT Prestation Amiante 2]],presta_amiante2[#Data],2,0),0)</f>
        <v>0</v>
      </c>
      <c r="Z125" s="69"/>
      <c r="AA125" s="70">
        <f>IFERROR(VLOOKUP(factures[[#This Row],[DT Prestation Gaz]],presta_gaz[#Data],2,0),0)</f>
        <v>0</v>
      </c>
      <c r="AB125" s="69">
        <v>1</v>
      </c>
      <c r="AC125" s="69" t="s">
        <v>73</v>
      </c>
      <c r="AD125" s="70">
        <f>IFERROR(VLOOKUP(factures[[#This Row],[DT Analyses]],DT_analyses[#Data],2,0),0)</f>
        <v>36.99</v>
      </c>
      <c r="AE125" s="70">
        <f>IFERROR(factures[[#This Row],[Plvts ]]*factures[[#This Row],[Prix Analyses]],0)</f>
        <v>36.99</v>
      </c>
      <c r="AF125" s="70">
        <f>factures[[#This Row],[Prix Prestation Amiante 1]]+factures[[#This Row],[Prix Prestation Amiante 2]]+factures[[#This Row],[Prix Prestation Gaz]]+factures[[#This Row],[Prix analyses HT]]</f>
        <v>97.1</v>
      </c>
      <c r="AG125" s="69" t="s">
        <v>1018</v>
      </c>
      <c r="AH125" s="86" t="s">
        <v>1016</v>
      </c>
      <c r="AI125" s="69"/>
    </row>
    <row r="126" spans="1:35" ht="36" x14ac:dyDescent="0.3">
      <c r="A126" s="92" t="s">
        <v>969</v>
      </c>
      <c r="B126" s="72">
        <v>78130</v>
      </c>
      <c r="C126" s="69" t="s">
        <v>553</v>
      </c>
      <c r="D126" s="69" t="s">
        <v>554</v>
      </c>
      <c r="E126" s="69">
        <v>302</v>
      </c>
      <c r="F126" s="69">
        <v>3</v>
      </c>
      <c r="G126" s="69">
        <v>3</v>
      </c>
      <c r="H126" s="69">
        <v>50941</v>
      </c>
      <c r="I126" s="69">
        <v>1021</v>
      </c>
      <c r="J126" s="69" t="s">
        <v>555</v>
      </c>
      <c r="K126" s="69"/>
      <c r="L126" s="69" t="s">
        <v>970</v>
      </c>
      <c r="M126" s="71">
        <v>43592</v>
      </c>
      <c r="N126" s="69" t="s">
        <v>83</v>
      </c>
      <c r="O126" s="71">
        <v>43595</v>
      </c>
      <c r="P126" s="69" t="s">
        <v>131</v>
      </c>
      <c r="Q126" s="69" t="s">
        <v>77</v>
      </c>
      <c r="R126" s="73" t="s">
        <v>971</v>
      </c>
      <c r="S126" s="69">
        <v>941515</v>
      </c>
      <c r="T126" s="69"/>
      <c r="U126" s="69" t="s">
        <v>991</v>
      </c>
      <c r="V126" s="69" t="s">
        <v>55</v>
      </c>
      <c r="W126" s="70">
        <f>IFERROR(VLOOKUP(factures[[#This Row],[DT Prestation Amiante 1]],presta_amiante1[#Data],2,0),0)</f>
        <v>55.49</v>
      </c>
      <c r="X126" s="69" t="s">
        <v>53</v>
      </c>
      <c r="Y126" s="70">
        <f>IFERROR(VLOOKUP(factures[[#This Row],[DT Prestation Amiante 2]],presta_amiante2[#Data],2,0),0)</f>
        <v>60.11</v>
      </c>
      <c r="Z126" s="69"/>
      <c r="AA126" s="70">
        <f>IFERROR(VLOOKUP(factures[[#This Row],[DT Prestation Gaz]],presta_gaz[#Data],2,0),0)</f>
        <v>0</v>
      </c>
      <c r="AB126" s="69">
        <v>12</v>
      </c>
      <c r="AC126" s="69" t="s">
        <v>73</v>
      </c>
      <c r="AD126" s="70">
        <f>IFERROR(VLOOKUP(factures[[#This Row],[DT Analyses]],DT_analyses[#Data],2,0),0)</f>
        <v>36.99</v>
      </c>
      <c r="AE126" s="70">
        <f>IFERROR(factures[[#This Row],[Plvts ]]*factures[[#This Row],[Prix Analyses]],0)</f>
        <v>443.88</v>
      </c>
      <c r="AF126" s="70">
        <f>factures[[#This Row],[Prix Prestation Amiante 1]]+factures[[#This Row],[Prix Prestation Amiante 2]]+factures[[#This Row],[Prix Prestation Gaz]]+factures[[#This Row],[Prix analyses HT]]</f>
        <v>559.48</v>
      </c>
      <c r="AG126" s="69" t="s">
        <v>1949</v>
      </c>
      <c r="AH126" s="86" t="s">
        <v>1945</v>
      </c>
      <c r="AI126" s="69"/>
    </row>
    <row r="127" spans="1:35" ht="36" x14ac:dyDescent="0.3">
      <c r="A127" s="92" t="s">
        <v>972</v>
      </c>
      <c r="B127" s="72">
        <v>78130</v>
      </c>
      <c r="C127" s="69" t="s">
        <v>553</v>
      </c>
      <c r="D127" s="69" t="s">
        <v>554</v>
      </c>
      <c r="E127" s="69">
        <v>1</v>
      </c>
      <c r="F127" s="69" t="s">
        <v>102</v>
      </c>
      <c r="G127" s="69">
        <v>3</v>
      </c>
      <c r="H127" s="69">
        <v>50637</v>
      </c>
      <c r="I127" s="69">
        <v>1022</v>
      </c>
      <c r="J127" s="69" t="s">
        <v>555</v>
      </c>
      <c r="K127" s="69"/>
      <c r="L127" s="69" t="s">
        <v>973</v>
      </c>
      <c r="M127" s="71">
        <v>43594</v>
      </c>
      <c r="N127" s="69" t="s">
        <v>83</v>
      </c>
      <c r="O127" s="71">
        <v>43595</v>
      </c>
      <c r="P127" s="69" t="s">
        <v>131</v>
      </c>
      <c r="Q127" s="69" t="s">
        <v>77</v>
      </c>
      <c r="R127" s="73" t="s">
        <v>974</v>
      </c>
      <c r="S127" s="69">
        <v>941154</v>
      </c>
      <c r="T127" s="69"/>
      <c r="U127" s="69" t="s">
        <v>992</v>
      </c>
      <c r="V127" s="69" t="s">
        <v>55</v>
      </c>
      <c r="W127" s="70">
        <v>54</v>
      </c>
      <c r="X127" s="69" t="s">
        <v>53</v>
      </c>
      <c r="Y127" s="70">
        <v>58.5</v>
      </c>
      <c r="Z127" s="69"/>
      <c r="AA127" s="70">
        <f>IFERROR(VLOOKUP(factures[[#This Row],[DT Prestation Gaz]],presta_gaz[#Data],2,0),0)</f>
        <v>0</v>
      </c>
      <c r="AB127" s="69">
        <v>11</v>
      </c>
      <c r="AC127" s="69" t="s">
        <v>73</v>
      </c>
      <c r="AD127" s="70">
        <v>36</v>
      </c>
      <c r="AE127" s="70">
        <f>IFERROR(factures[[#This Row],[Plvts ]]*factures[[#This Row],[Prix Analyses]],0)</f>
        <v>396</v>
      </c>
      <c r="AF127" s="70">
        <f>factures[[#This Row],[Prix Prestation Amiante 1]]+factures[[#This Row],[Prix Prestation Amiante 2]]+factures[[#This Row],[Prix Prestation Gaz]]+factures[[#This Row],[Prix analyses HT]]</f>
        <v>508.5</v>
      </c>
      <c r="AG127" s="69" t="s">
        <v>2614</v>
      </c>
      <c r="AH127" s="86" t="s">
        <v>2593</v>
      </c>
      <c r="AI127" s="69"/>
    </row>
    <row r="128" spans="1:35" ht="36" x14ac:dyDescent="0.3">
      <c r="A128" s="92" t="s">
        <v>975</v>
      </c>
      <c r="B128" s="72">
        <v>78130</v>
      </c>
      <c r="C128" s="69" t="s">
        <v>553</v>
      </c>
      <c r="D128" s="69" t="s">
        <v>554</v>
      </c>
      <c r="E128" s="69">
        <v>402</v>
      </c>
      <c r="F128" s="69">
        <v>4</v>
      </c>
      <c r="G128" s="69">
        <v>3</v>
      </c>
      <c r="H128" s="69">
        <v>50831</v>
      </c>
      <c r="I128" s="69">
        <v>1025</v>
      </c>
      <c r="J128" s="69" t="s">
        <v>555</v>
      </c>
      <c r="K128" s="69"/>
      <c r="L128" s="69" t="s">
        <v>976</v>
      </c>
      <c r="M128" s="71">
        <v>43594</v>
      </c>
      <c r="N128" s="69" t="s">
        <v>84</v>
      </c>
      <c r="O128" s="71">
        <v>43595</v>
      </c>
      <c r="P128" s="69" t="s">
        <v>131</v>
      </c>
      <c r="Q128" s="69" t="s">
        <v>77</v>
      </c>
      <c r="R128" s="73" t="s">
        <v>977</v>
      </c>
      <c r="S128" s="69">
        <v>941149</v>
      </c>
      <c r="T128" s="69"/>
      <c r="U128" s="69" t="s">
        <v>993</v>
      </c>
      <c r="V128" s="69" t="s">
        <v>55</v>
      </c>
      <c r="W128" s="70">
        <f>IFERROR(VLOOKUP(factures[[#This Row],[DT Prestation Amiante 1]],presta_amiante1[#Data],2,0),0)</f>
        <v>55.49</v>
      </c>
      <c r="X128" s="69" t="s">
        <v>53</v>
      </c>
      <c r="Y128" s="70">
        <f>IFERROR(VLOOKUP(factures[[#This Row],[DT Prestation Amiante 2]],presta_amiante2[#Data],2,0),0)</f>
        <v>60.11</v>
      </c>
      <c r="Z128" s="69"/>
      <c r="AA128" s="70">
        <f>IFERROR(VLOOKUP(factures[[#This Row],[DT Prestation Gaz]],presta_gaz[#Data],2,0),0)</f>
        <v>0</v>
      </c>
      <c r="AB128" s="69">
        <v>12</v>
      </c>
      <c r="AC128" s="69" t="s">
        <v>73</v>
      </c>
      <c r="AD128" s="70">
        <f>IFERROR(VLOOKUP(factures[[#This Row],[DT Analyses]],DT_analyses[#Data],2,0),0)</f>
        <v>36.99</v>
      </c>
      <c r="AE128" s="70">
        <f>IFERROR(factures[[#This Row],[Plvts ]]*factures[[#This Row],[Prix Analyses]],0)</f>
        <v>443.88</v>
      </c>
      <c r="AF128" s="70">
        <f>factures[[#This Row],[Prix Prestation Amiante 1]]+factures[[#This Row],[Prix Prestation Amiante 2]]+factures[[#This Row],[Prix Prestation Gaz]]+factures[[#This Row],[Prix analyses HT]]</f>
        <v>559.48</v>
      </c>
      <c r="AG128" s="69" t="s">
        <v>1950</v>
      </c>
      <c r="AH128" s="86" t="s">
        <v>1945</v>
      </c>
      <c r="AI128" s="69"/>
    </row>
    <row r="129" spans="1:35" ht="36" x14ac:dyDescent="0.3">
      <c r="A129" s="92" t="s">
        <v>950</v>
      </c>
      <c r="B129" s="72">
        <v>94460</v>
      </c>
      <c r="C129" s="69" t="s">
        <v>100</v>
      </c>
      <c r="D129" s="69" t="s">
        <v>230</v>
      </c>
      <c r="E129" s="69">
        <v>202</v>
      </c>
      <c r="F129" s="69">
        <v>2</v>
      </c>
      <c r="G129" s="69">
        <v>6</v>
      </c>
      <c r="H129" s="69">
        <v>49134</v>
      </c>
      <c r="I129" s="69">
        <v>9124</v>
      </c>
      <c r="J129" s="69" t="s">
        <v>231</v>
      </c>
      <c r="K129" s="69"/>
      <c r="L129" s="69" t="s">
        <v>951</v>
      </c>
      <c r="M129" s="71">
        <v>43591</v>
      </c>
      <c r="N129" s="69" t="s">
        <v>71</v>
      </c>
      <c r="O129" s="71">
        <v>43599</v>
      </c>
      <c r="P129" s="69" t="s">
        <v>995</v>
      </c>
      <c r="Q129" s="69" t="s">
        <v>77</v>
      </c>
      <c r="R129" s="73" t="s">
        <v>952</v>
      </c>
      <c r="S129" s="69">
        <v>941306</v>
      </c>
      <c r="T129" s="69"/>
      <c r="U129" s="69" t="s">
        <v>1013</v>
      </c>
      <c r="V129" s="69" t="s">
        <v>54</v>
      </c>
      <c r="W129" s="70">
        <f>IFERROR(VLOOKUP(factures[[#This Row],[DT Prestation Amiante 1]],presta_amiante1[#Data],2,0),0)</f>
        <v>69.36</v>
      </c>
      <c r="X129" s="69"/>
      <c r="Y129" s="70">
        <f>IFERROR(VLOOKUP(factures[[#This Row],[DT Prestation Amiante 2]],presta_amiante2[#Data],2,0),0)</f>
        <v>0</v>
      </c>
      <c r="Z129" s="69" t="s">
        <v>62</v>
      </c>
      <c r="AA129" s="70">
        <f>IFERROR(VLOOKUP(factures[[#This Row],[DT Prestation Gaz]],presta_gaz[#Data],2,0),0)</f>
        <v>49.01</v>
      </c>
      <c r="AB129" s="69">
        <v>5</v>
      </c>
      <c r="AC129" s="69" t="s">
        <v>73</v>
      </c>
      <c r="AD129" s="70">
        <f>IFERROR(VLOOKUP(factures[[#This Row],[DT Analyses]],DT_analyses[#Data],2,0),0)</f>
        <v>36.99</v>
      </c>
      <c r="AE129" s="70">
        <f>IFERROR(factures[[#This Row],[Plvts ]]*factures[[#This Row],[Prix Analyses]],0)</f>
        <v>184.95000000000002</v>
      </c>
      <c r="AF129" s="70">
        <f>factures[[#This Row],[Prix Prestation Amiante 1]]+factures[[#This Row],[Prix Prestation Amiante 2]]+factures[[#This Row],[Prix Prestation Gaz]]+factures[[#This Row],[Prix analyses HT]]</f>
        <v>303.32000000000005</v>
      </c>
      <c r="AG129" s="69" t="s">
        <v>1118</v>
      </c>
      <c r="AH129" s="86" t="s">
        <v>1117</v>
      </c>
      <c r="AI129" s="69"/>
    </row>
    <row r="130" spans="1:35" ht="51" x14ac:dyDescent="0.3">
      <c r="A130" s="92" t="s">
        <v>567</v>
      </c>
      <c r="B130" s="72">
        <v>78570</v>
      </c>
      <c r="C130" s="69" t="s">
        <v>568</v>
      </c>
      <c r="D130" s="69" t="s">
        <v>805</v>
      </c>
      <c r="E130" s="69">
        <v>203</v>
      </c>
      <c r="F130" s="69">
        <v>2</v>
      </c>
      <c r="G130" s="69">
        <v>3</v>
      </c>
      <c r="H130" s="69">
        <v>52422</v>
      </c>
      <c r="I130" s="69">
        <v>9288</v>
      </c>
      <c r="J130" s="69" t="s">
        <v>570</v>
      </c>
      <c r="K130" s="69"/>
      <c r="L130" s="69" t="s">
        <v>803</v>
      </c>
      <c r="M130" s="71">
        <v>43567</v>
      </c>
      <c r="N130" s="69" t="s">
        <v>84</v>
      </c>
      <c r="O130" s="71">
        <v>43601</v>
      </c>
      <c r="P130" s="69" t="s">
        <v>338</v>
      </c>
      <c r="Q130" s="69" t="s">
        <v>77</v>
      </c>
      <c r="R130" s="73" t="s">
        <v>830</v>
      </c>
      <c r="S130" s="69">
        <v>937906</v>
      </c>
      <c r="T130" s="69" t="s">
        <v>856</v>
      </c>
      <c r="U130" s="69" t="s">
        <v>1055</v>
      </c>
      <c r="V130" s="69" t="s">
        <v>53</v>
      </c>
      <c r="W130" s="70">
        <f>IFERROR(VLOOKUP(factures[[#This Row],[DT Prestation Amiante 1]],presta_amiante1[#Data],2,0),0)</f>
        <v>60.11</v>
      </c>
      <c r="X130" s="69" t="s">
        <v>55</v>
      </c>
      <c r="Y130" s="70">
        <f>IFERROR(VLOOKUP(factures[[#This Row],[DT Prestation Amiante 2]],presta_amiante2[#Data],2,0),0)</f>
        <v>55.49</v>
      </c>
      <c r="Z130" s="69" t="s">
        <v>61</v>
      </c>
      <c r="AA130" s="70">
        <f>IFERROR(VLOOKUP(factures[[#This Row],[DT Prestation Gaz]],presta_gaz[#Data],2,0),0)</f>
        <v>41.62</v>
      </c>
      <c r="AB130" s="69">
        <v>4</v>
      </c>
      <c r="AC130" s="69" t="s">
        <v>73</v>
      </c>
      <c r="AD130" s="70">
        <f>IFERROR(VLOOKUP(factures[[#This Row],[DT Analyses]],DT_analyses[#Data],2,0),0)</f>
        <v>36.99</v>
      </c>
      <c r="AE130" s="70">
        <f>IFERROR(factures[[#This Row],[Plvts ]]*factures[[#This Row],[Prix Analyses]],0)</f>
        <v>147.96</v>
      </c>
      <c r="AF130" s="70">
        <f>factures[[#This Row],[Prix Prestation Amiante 1]]+factures[[#This Row],[Prix Prestation Amiante 2]]+factures[[#This Row],[Prix Prestation Gaz]]+factures[[#This Row],[Prix analyses HT]]</f>
        <v>305.18</v>
      </c>
      <c r="AG130" s="69" t="s">
        <v>1093</v>
      </c>
      <c r="AH130" s="86" t="s">
        <v>1094</v>
      </c>
      <c r="AI130" s="69"/>
    </row>
    <row r="131" spans="1:35" ht="48" x14ac:dyDescent="0.3">
      <c r="A131" s="92" t="s">
        <v>218</v>
      </c>
      <c r="B131" s="72">
        <v>78500</v>
      </c>
      <c r="C131" s="69" t="s">
        <v>214</v>
      </c>
      <c r="D131" s="69" t="s">
        <v>215</v>
      </c>
      <c r="E131" s="69">
        <v>605</v>
      </c>
      <c r="F131" s="69">
        <v>6</v>
      </c>
      <c r="G131" s="69">
        <v>2</v>
      </c>
      <c r="H131" s="69">
        <v>36192</v>
      </c>
      <c r="I131" s="69">
        <v>588</v>
      </c>
      <c r="J131" s="69" t="s">
        <v>216</v>
      </c>
      <c r="K131" s="69"/>
      <c r="L131" s="69" t="s">
        <v>985</v>
      </c>
      <c r="M131" s="71">
        <v>43594</v>
      </c>
      <c r="N131" s="69" t="s">
        <v>84</v>
      </c>
      <c r="O131" s="71">
        <v>43601</v>
      </c>
      <c r="P131" s="69" t="s">
        <v>338</v>
      </c>
      <c r="Q131" s="69" t="s">
        <v>77</v>
      </c>
      <c r="R131" s="73" t="s">
        <v>986</v>
      </c>
      <c r="S131" s="69">
        <v>941939</v>
      </c>
      <c r="T131" s="69"/>
      <c r="U131" s="69" t="s">
        <v>1056</v>
      </c>
      <c r="V131" s="69" t="s">
        <v>55</v>
      </c>
      <c r="W131" s="70">
        <f>IFERROR(VLOOKUP(factures[[#This Row],[DT Prestation Amiante 1]],presta_amiante1[#Data],2,0),0)</f>
        <v>55.49</v>
      </c>
      <c r="X131" s="69" t="s">
        <v>53</v>
      </c>
      <c r="Y131" s="70">
        <f>IFERROR(VLOOKUP(factures[[#This Row],[DT Prestation Amiante 2]],presta_amiante2[#Data],2,0),0)</f>
        <v>60.11</v>
      </c>
      <c r="Z131" s="69" t="s">
        <v>61</v>
      </c>
      <c r="AA131" s="70">
        <f>IFERROR(VLOOKUP(factures[[#This Row],[DT Prestation Gaz]],presta_gaz[#Data],2,0),0)</f>
        <v>41.62</v>
      </c>
      <c r="AB131" s="69">
        <v>3</v>
      </c>
      <c r="AC131" s="69" t="s">
        <v>73</v>
      </c>
      <c r="AD131" s="70">
        <f>IFERROR(VLOOKUP(factures[[#This Row],[DT Analyses]],DT_analyses[#Data],2,0),0)</f>
        <v>36.99</v>
      </c>
      <c r="AE131" s="70">
        <f>IFERROR(factures[[#This Row],[Plvts ]]*factures[[#This Row],[Prix Analyses]],0)</f>
        <v>110.97</v>
      </c>
      <c r="AF131" s="70">
        <f>factures[[#This Row],[Prix Prestation Amiante 1]]+factures[[#This Row],[Prix Prestation Amiante 2]]+factures[[#This Row],[Prix Prestation Gaz]]+factures[[#This Row],[Prix analyses HT]]</f>
        <v>268.19</v>
      </c>
      <c r="AG131" s="69" t="s">
        <v>1095</v>
      </c>
      <c r="AH131" s="86" t="s">
        <v>1094</v>
      </c>
      <c r="AI131" s="69"/>
    </row>
    <row r="132" spans="1:35" ht="108" x14ac:dyDescent="0.3">
      <c r="A132" s="92" t="s">
        <v>987</v>
      </c>
      <c r="B132" s="72">
        <v>78540</v>
      </c>
      <c r="C132" s="69" t="s">
        <v>351</v>
      </c>
      <c r="D132" s="69" t="s">
        <v>639</v>
      </c>
      <c r="E132" s="69">
        <v>601</v>
      </c>
      <c r="F132" s="69">
        <v>6</v>
      </c>
      <c r="G132" s="69">
        <v>2</v>
      </c>
      <c r="H132" s="69">
        <v>53499</v>
      </c>
      <c r="I132" s="69">
        <v>9700</v>
      </c>
      <c r="J132" s="69" t="s">
        <v>777</v>
      </c>
      <c r="K132" s="69"/>
      <c r="L132" s="69" t="s">
        <v>996</v>
      </c>
      <c r="M132" s="71">
        <v>43594</v>
      </c>
      <c r="N132" s="69" t="s">
        <v>84</v>
      </c>
      <c r="O132" s="71">
        <v>43601</v>
      </c>
      <c r="P132" s="69" t="s">
        <v>131</v>
      </c>
      <c r="Q132" s="69" t="s">
        <v>77</v>
      </c>
      <c r="R132" s="73" t="s">
        <v>988</v>
      </c>
      <c r="S132" s="69">
        <v>941944</v>
      </c>
      <c r="T132" s="69"/>
      <c r="U132" s="69" t="s">
        <v>1057</v>
      </c>
      <c r="V132" s="69" t="s">
        <v>55</v>
      </c>
      <c r="W132" s="70">
        <f>IFERROR(VLOOKUP(factures[[#This Row],[DT Prestation Amiante 1]],presta_amiante1[#Data],2,0),0)</f>
        <v>55.49</v>
      </c>
      <c r="X132" s="69" t="s">
        <v>53</v>
      </c>
      <c r="Y132" s="70">
        <f>IFERROR(VLOOKUP(factures[[#This Row],[DT Prestation Amiante 2]],presta_amiante2[#Data],2,0),0)</f>
        <v>60.11</v>
      </c>
      <c r="Z132" s="69" t="s">
        <v>61</v>
      </c>
      <c r="AA132" s="70">
        <f>IFERROR(VLOOKUP(factures[[#This Row],[DT Prestation Gaz]],presta_gaz[#Data],2,0),0)</f>
        <v>41.62</v>
      </c>
      <c r="AB132" s="69">
        <v>2</v>
      </c>
      <c r="AC132" s="69" t="s">
        <v>73</v>
      </c>
      <c r="AD132" s="70">
        <f>IFERROR(VLOOKUP(factures[[#This Row],[DT Analyses]],DT_analyses[#Data],2,0),0)</f>
        <v>36.99</v>
      </c>
      <c r="AE132" s="70">
        <f>IFERROR(factures[[#This Row],[Plvts ]]*factures[[#This Row],[Prix Analyses]],0)</f>
        <v>73.98</v>
      </c>
      <c r="AF132" s="70">
        <f>factures[[#This Row],[Prix Prestation Amiante 1]]+factures[[#This Row],[Prix Prestation Amiante 2]]+factures[[#This Row],[Prix Prestation Gaz]]+factures[[#This Row],[Prix analyses HT]]</f>
        <v>231.2</v>
      </c>
      <c r="AG132" s="69" t="s">
        <v>1096</v>
      </c>
      <c r="AH132" s="86" t="s">
        <v>1094</v>
      </c>
      <c r="AI132" s="69"/>
    </row>
    <row r="133" spans="1:35" ht="108" x14ac:dyDescent="0.3">
      <c r="A133" s="92" t="s">
        <v>989</v>
      </c>
      <c r="B133" s="72">
        <v>78540</v>
      </c>
      <c r="C133" s="69" t="s">
        <v>351</v>
      </c>
      <c r="D133" s="69" t="s">
        <v>639</v>
      </c>
      <c r="E133" s="69">
        <v>101</v>
      </c>
      <c r="F133" s="69">
        <v>1</v>
      </c>
      <c r="G133" s="69">
        <v>3</v>
      </c>
      <c r="H133" s="69">
        <v>52960</v>
      </c>
      <c r="I133" s="69">
        <v>9700</v>
      </c>
      <c r="J133" s="69" t="s">
        <v>777</v>
      </c>
      <c r="K133" s="69"/>
      <c r="L133" s="69" t="s">
        <v>990</v>
      </c>
      <c r="M133" s="71">
        <v>43595</v>
      </c>
      <c r="N133" s="69" t="s">
        <v>84</v>
      </c>
      <c r="O133" s="71">
        <v>43601</v>
      </c>
      <c r="P133" s="69" t="s">
        <v>131</v>
      </c>
      <c r="Q133" s="69" t="s">
        <v>77</v>
      </c>
      <c r="R133" s="73" t="s">
        <v>1091</v>
      </c>
      <c r="S133" s="69">
        <v>941993</v>
      </c>
      <c r="T133" s="69"/>
      <c r="U133" s="69" t="s">
        <v>1058</v>
      </c>
      <c r="V133" s="69" t="s">
        <v>55</v>
      </c>
      <c r="W133" s="70">
        <f>IFERROR(VLOOKUP(factures[[#This Row],[DT Prestation Amiante 1]],presta_amiante1[#Data],2,0),0)</f>
        <v>55.49</v>
      </c>
      <c r="X133" s="69" t="s">
        <v>53</v>
      </c>
      <c r="Y133" s="70">
        <f>IFERROR(VLOOKUP(factures[[#This Row],[DT Prestation Amiante 2]],presta_amiante2[#Data],2,0),0)</f>
        <v>60.11</v>
      </c>
      <c r="Z133" s="69" t="s">
        <v>61</v>
      </c>
      <c r="AA133" s="70">
        <f>IFERROR(VLOOKUP(factures[[#This Row],[DT Prestation Gaz]],presta_gaz[#Data],2,0),0)</f>
        <v>41.62</v>
      </c>
      <c r="AB133" s="69">
        <v>12</v>
      </c>
      <c r="AC133" s="69" t="s">
        <v>73</v>
      </c>
      <c r="AD133" s="70">
        <f>IFERROR(VLOOKUP(factures[[#This Row],[DT Analyses]],DT_analyses[#Data],2,0),0)</f>
        <v>36.99</v>
      </c>
      <c r="AE133" s="70">
        <f>IFERROR(factures[[#This Row],[Plvts ]]*factures[[#This Row],[Prix Analyses]],0)</f>
        <v>443.88</v>
      </c>
      <c r="AF133" s="70">
        <f>factures[[#This Row],[Prix Prestation Amiante 1]]+factures[[#This Row],[Prix Prestation Amiante 2]]+factures[[#This Row],[Prix Prestation Gaz]]+factures[[#This Row],[Prix analyses HT]]</f>
        <v>601.1</v>
      </c>
      <c r="AG133" s="69" t="s">
        <v>1152</v>
      </c>
      <c r="AH133" s="86" t="s">
        <v>1148</v>
      </c>
      <c r="AI133" s="69"/>
    </row>
    <row r="134" spans="1:35" ht="48" x14ac:dyDescent="0.3">
      <c r="A134" s="92" t="s">
        <v>1025</v>
      </c>
      <c r="B134" s="72">
        <v>92110</v>
      </c>
      <c r="C134" s="69" t="s">
        <v>1026</v>
      </c>
      <c r="D134" s="69" t="s">
        <v>765</v>
      </c>
      <c r="E134" s="69"/>
      <c r="F134" s="69"/>
      <c r="G134" s="69"/>
      <c r="H134" s="69"/>
      <c r="I134" s="69">
        <v>838</v>
      </c>
      <c r="J134" s="69" t="s">
        <v>771</v>
      </c>
      <c r="K134" s="69"/>
      <c r="L134" s="92" t="s">
        <v>1027</v>
      </c>
      <c r="M134" s="71">
        <v>43601</v>
      </c>
      <c r="N134" s="69" t="s">
        <v>70</v>
      </c>
      <c r="O134" s="71">
        <v>43605</v>
      </c>
      <c r="P134" s="69" t="s">
        <v>1071</v>
      </c>
      <c r="Q134" s="69" t="s">
        <v>77</v>
      </c>
      <c r="R134" s="73" t="s">
        <v>1028</v>
      </c>
      <c r="S134" s="69">
        <v>943077</v>
      </c>
      <c r="T134" s="69"/>
      <c r="U134" s="69" t="s">
        <v>1080</v>
      </c>
      <c r="V134" s="69" t="s">
        <v>53</v>
      </c>
      <c r="W134" s="70">
        <f>IFERROR(VLOOKUP(factures[[#This Row],[DT Prestation Amiante 1]],presta_amiante1[#Data],2,0),0)</f>
        <v>60.11</v>
      </c>
      <c r="X134" s="69"/>
      <c r="Y134" s="70">
        <f>IFERROR(VLOOKUP(factures[[#This Row],[DT Prestation Amiante 2]],presta_amiante2[#Data],2,0),0)</f>
        <v>0</v>
      </c>
      <c r="Z134" s="69"/>
      <c r="AA134" s="70">
        <f>IFERROR(VLOOKUP(factures[[#This Row],[DT Prestation Gaz]],presta_gaz[#Data],2,0),0)</f>
        <v>0</v>
      </c>
      <c r="AB134" s="69">
        <v>4</v>
      </c>
      <c r="AC134" s="69" t="s">
        <v>73</v>
      </c>
      <c r="AD134" s="70">
        <f>IFERROR(VLOOKUP(factures[[#This Row],[DT Analyses]],DT_analyses[#Data],2,0),0)</f>
        <v>36.99</v>
      </c>
      <c r="AE134" s="70">
        <f>IFERROR(factures[[#This Row],[Plvts ]]*factures[[#This Row],[Prix Analyses]],0)</f>
        <v>147.96</v>
      </c>
      <c r="AF134" s="70">
        <f>factures[[#This Row],[Prix Prestation Amiante 1]]+factures[[#This Row],[Prix Prestation Amiante 2]]+factures[[#This Row],[Prix Prestation Gaz]]+factures[[#This Row],[Prix analyses HT]]</f>
        <v>208.07</v>
      </c>
      <c r="AG134" s="69" t="s">
        <v>1119</v>
      </c>
      <c r="AH134" s="86" t="s">
        <v>1120</v>
      </c>
      <c r="AI134" s="69"/>
    </row>
    <row r="135" spans="1:35" ht="40.799999999999997" x14ac:dyDescent="0.3">
      <c r="A135" s="92" t="s">
        <v>536</v>
      </c>
      <c r="B135" s="72">
        <v>78260</v>
      </c>
      <c r="C135" s="69" t="s">
        <v>1082</v>
      </c>
      <c r="D135" s="69" t="s">
        <v>438</v>
      </c>
      <c r="E135" s="69">
        <v>302</v>
      </c>
      <c r="F135" s="69">
        <v>3</v>
      </c>
      <c r="G135" s="69">
        <v>5</v>
      </c>
      <c r="H135" s="69">
        <v>39833</v>
      </c>
      <c r="I135" s="69">
        <v>815</v>
      </c>
      <c r="J135" s="69" t="s">
        <v>470</v>
      </c>
      <c r="K135" s="69"/>
      <c r="L135" s="69" t="s">
        <v>1029</v>
      </c>
      <c r="M135" s="71">
        <v>43601</v>
      </c>
      <c r="N135" s="69" t="s">
        <v>71</v>
      </c>
      <c r="O135" s="71">
        <v>43606</v>
      </c>
      <c r="P135" s="69" t="s">
        <v>171</v>
      </c>
      <c r="Q135" s="69" t="s">
        <v>77</v>
      </c>
      <c r="R135" s="73" t="s">
        <v>1171</v>
      </c>
      <c r="S135" s="69">
        <v>943033</v>
      </c>
      <c r="T135" s="69"/>
      <c r="U135" s="69" t="s">
        <v>1144</v>
      </c>
      <c r="V135" s="69" t="s">
        <v>54</v>
      </c>
      <c r="W135" s="70">
        <v>67.5</v>
      </c>
      <c r="X135" s="69" t="s">
        <v>55</v>
      </c>
      <c r="Y135" s="70">
        <v>54</v>
      </c>
      <c r="Z135" s="69" t="s">
        <v>62</v>
      </c>
      <c r="AA135" s="70">
        <v>47.7</v>
      </c>
      <c r="AB135" s="69">
        <v>13</v>
      </c>
      <c r="AC135" s="69" t="s">
        <v>73</v>
      </c>
      <c r="AD135" s="70">
        <v>36</v>
      </c>
      <c r="AE135" s="70">
        <f>IFERROR(factures[[#This Row],[Plvts ]]*factures[[#This Row],[Prix Analyses]],0)</f>
        <v>468</v>
      </c>
      <c r="AF135" s="70">
        <f>factures[[#This Row],[Prix Prestation Amiante 1]]+factures[[#This Row],[Prix Prestation Amiante 2]]+factures[[#This Row],[Prix Prestation Gaz]]+factures[[#This Row],[Prix analyses HT]]</f>
        <v>637.20000000000005</v>
      </c>
      <c r="AG135" s="69" t="s">
        <v>1301</v>
      </c>
      <c r="AH135" s="86" t="s">
        <v>1302</v>
      </c>
      <c r="AI135" s="69"/>
    </row>
    <row r="136" spans="1:35" ht="48" x14ac:dyDescent="0.3">
      <c r="A136" s="92" t="s">
        <v>891</v>
      </c>
      <c r="B136" s="72">
        <v>94120</v>
      </c>
      <c r="C136" s="69" t="s">
        <v>896</v>
      </c>
      <c r="D136" s="69" t="s">
        <v>1020</v>
      </c>
      <c r="E136" s="69">
        <v>503</v>
      </c>
      <c r="F136" s="69">
        <v>5</v>
      </c>
      <c r="G136" s="69">
        <v>3</v>
      </c>
      <c r="H136" s="69">
        <v>33681</v>
      </c>
      <c r="I136" s="69">
        <v>520</v>
      </c>
      <c r="J136" s="69" t="s">
        <v>1076</v>
      </c>
      <c r="K136" s="69" t="s">
        <v>1078</v>
      </c>
      <c r="L136" s="69" t="s">
        <v>893</v>
      </c>
      <c r="M136" s="71">
        <v>43605</v>
      </c>
      <c r="N136" s="69" t="s">
        <v>70</v>
      </c>
      <c r="O136" s="71">
        <v>43607</v>
      </c>
      <c r="P136" s="69" t="s">
        <v>1079</v>
      </c>
      <c r="Q136" s="69" t="s">
        <v>77</v>
      </c>
      <c r="R136" s="73" t="s">
        <v>1077</v>
      </c>
      <c r="S136" s="69">
        <v>943770</v>
      </c>
      <c r="T136" s="69"/>
      <c r="U136" s="69" t="s">
        <v>1092</v>
      </c>
      <c r="V136" s="69" t="s">
        <v>53</v>
      </c>
      <c r="W136" s="70">
        <f>IFERROR(VLOOKUP(factures[[#This Row],[DT Prestation Amiante 1]],presta_amiante1[#Data],2,0),0)</f>
        <v>60.11</v>
      </c>
      <c r="X136" s="69"/>
      <c r="Y136" s="70">
        <f>IFERROR(VLOOKUP(factures[[#This Row],[DT Prestation Amiante 2]],presta_amiante2[#Data],2,0),0)</f>
        <v>0</v>
      </c>
      <c r="Z136" s="69"/>
      <c r="AA136" s="70">
        <f>IFERROR(VLOOKUP(factures[[#This Row],[DT Prestation Gaz]],presta_gaz[#Data],2,0),0)</f>
        <v>0</v>
      </c>
      <c r="AB136" s="69">
        <v>3</v>
      </c>
      <c r="AC136" s="69" t="s">
        <v>73</v>
      </c>
      <c r="AD136" s="70">
        <f>IFERROR(VLOOKUP(factures[[#This Row],[DT Analyses]],DT_analyses[#Data],2,0),0)</f>
        <v>36.99</v>
      </c>
      <c r="AE136" s="70">
        <f>IFERROR(factures[[#This Row],[Plvts ]]*factures[[#This Row],[Prix Analyses]],0)</f>
        <v>110.97</v>
      </c>
      <c r="AF136" s="70">
        <f>factures[[#This Row],[Prix Prestation Amiante 1]]+factures[[#This Row],[Prix Prestation Amiante 2]]+factures[[#This Row],[Prix Prestation Gaz]]+factures[[#This Row],[Prix analyses HT]]</f>
        <v>171.07999999999998</v>
      </c>
      <c r="AG136" s="69" t="s">
        <v>1158</v>
      </c>
      <c r="AH136" s="86" t="s">
        <v>1148</v>
      </c>
      <c r="AI136" s="69"/>
    </row>
    <row r="137" spans="1:35" ht="60" x14ac:dyDescent="0.3">
      <c r="A137" s="92" t="s">
        <v>1030</v>
      </c>
      <c r="B137" s="72">
        <v>92170</v>
      </c>
      <c r="C137" s="69" t="s">
        <v>1031</v>
      </c>
      <c r="D137" s="69" t="s">
        <v>436</v>
      </c>
      <c r="E137" s="69">
        <v>502</v>
      </c>
      <c r="F137" s="69">
        <v>5</v>
      </c>
      <c r="G137" s="69">
        <v>1</v>
      </c>
      <c r="H137" s="69">
        <v>22447</v>
      </c>
      <c r="I137" s="69">
        <v>315</v>
      </c>
      <c r="J137" s="69" t="s">
        <v>1070</v>
      </c>
      <c r="K137" s="69"/>
      <c r="L137" s="69" t="s">
        <v>1032</v>
      </c>
      <c r="M137" s="71">
        <v>43601</v>
      </c>
      <c r="N137" s="69" t="s">
        <v>70</v>
      </c>
      <c r="O137" s="71">
        <v>43613</v>
      </c>
      <c r="P137" s="69" t="s">
        <v>1097</v>
      </c>
      <c r="Q137" s="69" t="s">
        <v>77</v>
      </c>
      <c r="R137" s="73" t="s">
        <v>1033</v>
      </c>
      <c r="S137" s="69">
        <v>942959</v>
      </c>
      <c r="T137" s="97" t="s">
        <v>1072</v>
      </c>
      <c r="U137" s="69" t="s">
        <v>1134</v>
      </c>
      <c r="V137" s="69" t="s">
        <v>53</v>
      </c>
      <c r="W137" s="70">
        <v>58.5</v>
      </c>
      <c r="X137" s="69"/>
      <c r="Y137" s="70">
        <f>IFERROR(VLOOKUP(factures[[#This Row],[DT Prestation Amiante 2]],presta_amiante2[#Data],2,0),0)</f>
        <v>0</v>
      </c>
      <c r="Z137" s="69"/>
      <c r="AA137" s="70">
        <f>IFERROR(VLOOKUP(factures[[#This Row],[DT Prestation Gaz]],presta_gaz[#Data],2,0),0)</f>
        <v>0</v>
      </c>
      <c r="AB137" s="69">
        <v>1</v>
      </c>
      <c r="AC137" s="69" t="s">
        <v>73</v>
      </c>
      <c r="AD137" s="70">
        <v>36</v>
      </c>
      <c r="AE137" s="70">
        <f>IFERROR(factures[[#This Row],[Plvts ]]*factures[[#This Row],[Prix Analyses]],0)</f>
        <v>36</v>
      </c>
      <c r="AF137" s="70">
        <f>factures[[#This Row],[Prix Prestation Amiante 1]]+factures[[#This Row],[Prix Prestation Amiante 2]]+factures[[#This Row],[Prix Prestation Gaz]]+factures[[#This Row],[Prix analyses HT]]</f>
        <v>94.5</v>
      </c>
      <c r="AG137" s="69" t="s">
        <v>1274</v>
      </c>
      <c r="AH137" s="86" t="s">
        <v>1293</v>
      </c>
      <c r="AI137" s="69"/>
    </row>
    <row r="138" spans="1:35" ht="48" x14ac:dyDescent="0.3">
      <c r="A138" s="92" t="s">
        <v>884</v>
      </c>
      <c r="B138" s="72">
        <v>92260</v>
      </c>
      <c r="C138" s="69" t="s">
        <v>500</v>
      </c>
      <c r="D138" s="69" t="s">
        <v>885</v>
      </c>
      <c r="E138" s="69">
        <v>302</v>
      </c>
      <c r="F138" s="69">
        <v>3</v>
      </c>
      <c r="G138" s="69">
        <v>4</v>
      </c>
      <c r="H138" s="69">
        <v>57585</v>
      </c>
      <c r="I138" s="69">
        <v>9168</v>
      </c>
      <c r="J138" s="69" t="s">
        <v>906</v>
      </c>
      <c r="K138" s="69"/>
      <c r="L138" s="69" t="s">
        <v>886</v>
      </c>
      <c r="M138" s="71">
        <v>43580</v>
      </c>
      <c r="N138" s="69" t="s">
        <v>70</v>
      </c>
      <c r="O138" s="71">
        <v>43588</v>
      </c>
      <c r="P138" s="69" t="s">
        <v>233</v>
      </c>
      <c r="Q138" s="69" t="s">
        <v>77</v>
      </c>
      <c r="R138" s="73" t="s">
        <v>887</v>
      </c>
      <c r="S138" s="69">
        <v>939783</v>
      </c>
      <c r="T138" s="69" t="s">
        <v>936</v>
      </c>
      <c r="U138" s="69" t="s">
        <v>948</v>
      </c>
      <c r="V138" s="69" t="s">
        <v>54</v>
      </c>
      <c r="W138" s="70">
        <f>IFERROR(VLOOKUP(factures[[#This Row],[DT Prestation Amiante 1]],presta_amiante1[#Data],2,0),0)</f>
        <v>69.36</v>
      </c>
      <c r="X138" s="69"/>
      <c r="Y138" s="70">
        <f>IFERROR(VLOOKUP(factures[[#This Row],[DT Prestation Amiante 2]],presta_amiante2[#Data],2,0),0)</f>
        <v>0</v>
      </c>
      <c r="Z138" s="69"/>
      <c r="AA138" s="70">
        <f>IFERROR(VLOOKUP(factures[[#This Row],[DT Prestation Gaz]],presta_gaz[#Data],2,0),0)</f>
        <v>0</v>
      </c>
      <c r="AB138" s="69">
        <v>2</v>
      </c>
      <c r="AC138" s="69" t="s">
        <v>73</v>
      </c>
      <c r="AD138" s="70">
        <f>IFERROR(VLOOKUP(factures[[#This Row],[DT Analyses]],DT_analyses[#Data],2,0),0)</f>
        <v>36.99</v>
      </c>
      <c r="AE138" s="70">
        <f>IFERROR(factures[[#This Row],[Plvts ]]*factures[[#This Row],[Prix Analyses]],0)</f>
        <v>73.98</v>
      </c>
      <c r="AF138" s="70">
        <f>factures[[#This Row],[Prix Prestation Amiante 1]]+factures[[#This Row],[Prix Prestation Amiante 2]]+factures[[#This Row],[Prix Prestation Gaz]]+factures[[#This Row],[Prix analyses HT]]</f>
        <v>143.34</v>
      </c>
      <c r="AG138" s="69" t="s">
        <v>1181</v>
      </c>
      <c r="AH138" s="86" t="s">
        <v>1180</v>
      </c>
      <c r="AI138" s="69"/>
    </row>
    <row r="139" spans="1:35" ht="36" x14ac:dyDescent="0.3">
      <c r="A139" s="92" t="s">
        <v>937</v>
      </c>
      <c r="B139" s="72">
        <v>78220</v>
      </c>
      <c r="C139" s="69" t="s">
        <v>938</v>
      </c>
      <c r="D139" s="69" t="s">
        <v>939</v>
      </c>
      <c r="E139" s="69">
        <v>403</v>
      </c>
      <c r="F139" s="69">
        <v>4</v>
      </c>
      <c r="G139" s="69">
        <v>4</v>
      </c>
      <c r="H139" s="69">
        <v>30557</v>
      </c>
      <c r="I139" s="69">
        <v>432</v>
      </c>
      <c r="J139" s="69" t="s">
        <v>940</v>
      </c>
      <c r="K139" s="69"/>
      <c r="L139" s="69" t="s">
        <v>941</v>
      </c>
      <c r="M139" s="71">
        <v>43587</v>
      </c>
      <c r="N139" s="69" t="s">
        <v>84</v>
      </c>
      <c r="O139" s="71">
        <v>43600</v>
      </c>
      <c r="P139" s="69" t="s">
        <v>130</v>
      </c>
      <c r="Q139" s="69" t="s">
        <v>77</v>
      </c>
      <c r="R139" s="73" t="s">
        <v>1261</v>
      </c>
      <c r="S139" s="69">
        <v>940029</v>
      </c>
      <c r="T139" s="69" t="s">
        <v>959</v>
      </c>
      <c r="U139" s="69" t="s">
        <v>1022</v>
      </c>
      <c r="V139" s="69" t="s">
        <v>55</v>
      </c>
      <c r="W139" s="70">
        <f>IFERROR(VLOOKUP(factures[[#This Row],[DT Prestation Amiante 1]],presta_amiante1[#Data],2,0),0)</f>
        <v>55.49</v>
      </c>
      <c r="X139" s="69" t="s">
        <v>54</v>
      </c>
      <c r="Y139" s="70">
        <f>IFERROR(VLOOKUP(factures[[#This Row],[DT Prestation Amiante 2]],presta_amiante2[#Data],2,0),0)</f>
        <v>69.36</v>
      </c>
      <c r="Z139" s="69" t="s">
        <v>62</v>
      </c>
      <c r="AA139" s="70">
        <f>IFERROR(VLOOKUP(factures[[#This Row],[DT Prestation Gaz]],presta_gaz[#Data],2,0),0)</f>
        <v>49.01</v>
      </c>
      <c r="AB139" s="69">
        <v>19</v>
      </c>
      <c r="AC139" s="69" t="s">
        <v>73</v>
      </c>
      <c r="AD139" s="70">
        <f>IFERROR(VLOOKUP(factures[[#This Row],[DT Analyses]],DT_analyses[#Data],2,0),0)</f>
        <v>36.99</v>
      </c>
      <c r="AE139" s="70">
        <f>IFERROR(factures[[#This Row],[Plvts ]]*factures[[#This Row],[Prix Analyses]],0)</f>
        <v>702.81000000000006</v>
      </c>
      <c r="AF139" s="70">
        <f>factures[[#This Row],[Prix Prestation Amiante 1]]+factures[[#This Row],[Prix Prestation Amiante 2]]+factures[[#This Row],[Prix Prestation Gaz]]+factures[[#This Row],[Prix analyses HT]]</f>
        <v>876.67000000000007</v>
      </c>
      <c r="AG139" s="69" t="s">
        <v>1150</v>
      </c>
      <c r="AH139" s="86" t="s">
        <v>1148</v>
      </c>
      <c r="AI139" s="69"/>
    </row>
    <row r="140" spans="1:35" ht="36" x14ac:dyDescent="0.3">
      <c r="A140" s="92" t="s">
        <v>956</v>
      </c>
      <c r="B140" s="72">
        <v>92800</v>
      </c>
      <c r="C140" s="69" t="s">
        <v>202</v>
      </c>
      <c r="D140" s="69" t="s">
        <v>440</v>
      </c>
      <c r="E140" s="69">
        <v>4</v>
      </c>
      <c r="F140" s="69" t="s">
        <v>102</v>
      </c>
      <c r="G140" s="69">
        <v>3</v>
      </c>
      <c r="H140" s="69">
        <v>13352</v>
      </c>
      <c r="I140" s="69">
        <v>195</v>
      </c>
      <c r="J140" s="69" t="s">
        <v>2263</v>
      </c>
      <c r="K140" s="69"/>
      <c r="L140" s="69" t="s">
        <v>957</v>
      </c>
      <c r="M140" s="71">
        <v>43591</v>
      </c>
      <c r="N140" s="69" t="s">
        <v>70</v>
      </c>
      <c r="O140" s="71">
        <v>43600</v>
      </c>
      <c r="P140" s="69" t="s">
        <v>1014</v>
      </c>
      <c r="Q140" s="69" t="s">
        <v>77</v>
      </c>
      <c r="R140" s="73" t="s">
        <v>1122</v>
      </c>
      <c r="S140" s="69">
        <v>948428</v>
      </c>
      <c r="T140" s="97" t="s">
        <v>1133</v>
      </c>
      <c r="U140" s="69" t="s">
        <v>1172</v>
      </c>
      <c r="V140" s="69" t="s">
        <v>53</v>
      </c>
      <c r="W140" s="70">
        <f>IFERROR(VLOOKUP(factures[[#This Row],[DT Prestation Amiante 1]],presta_amiante1[#Data],2,0),0)</f>
        <v>60.11</v>
      </c>
      <c r="X140" s="69"/>
      <c r="Y140" s="70">
        <f>IFERROR(VLOOKUP(factures[[#This Row],[DT Prestation Amiante 2]],presta_amiante2[#Data],2,0),0)</f>
        <v>0</v>
      </c>
      <c r="Z140" s="69"/>
      <c r="AA140" s="70">
        <f>IFERROR(VLOOKUP(factures[[#This Row],[DT Prestation Gaz]],presta_gaz[#Data],2,0),0)</f>
        <v>0</v>
      </c>
      <c r="AB140" s="69">
        <v>5</v>
      </c>
      <c r="AC140" s="69" t="s">
        <v>73</v>
      </c>
      <c r="AD140" s="70">
        <f>IFERROR(VLOOKUP(factures[[#This Row],[DT Analyses]],DT_analyses[#Data],2,0),0)</f>
        <v>36.99</v>
      </c>
      <c r="AE140" s="70">
        <f>IFERROR(factures[[#This Row],[Plvts ]]*factures[[#This Row],[Prix Analyses]],0)</f>
        <v>184.95000000000002</v>
      </c>
      <c r="AF140" s="70">
        <f>factures[[#This Row],[Prix Prestation Amiante 1]]+factures[[#This Row],[Prix Prestation Amiante 2]]+factures[[#This Row],[Prix Prestation Gaz]]+factures[[#This Row],[Prix analyses HT]]</f>
        <v>245.06</v>
      </c>
      <c r="AG140" s="69" t="s">
        <v>1237</v>
      </c>
      <c r="AH140" s="86" t="s">
        <v>1238</v>
      </c>
      <c r="AI140" s="69"/>
    </row>
    <row r="141" spans="1:35" ht="51" x14ac:dyDescent="0.3">
      <c r="A141" s="92" t="s">
        <v>999</v>
      </c>
      <c r="B141" s="72">
        <v>78960</v>
      </c>
      <c r="C141" s="69" t="s">
        <v>196</v>
      </c>
      <c r="D141" s="69" t="s">
        <v>832</v>
      </c>
      <c r="E141" s="69">
        <v>302</v>
      </c>
      <c r="F141" s="69">
        <v>3</v>
      </c>
      <c r="G141" s="69">
        <v>3</v>
      </c>
      <c r="H141" s="69">
        <v>38241</v>
      </c>
      <c r="I141" s="69">
        <v>761</v>
      </c>
      <c r="J141" s="69" t="s">
        <v>198</v>
      </c>
      <c r="K141" s="69"/>
      <c r="L141" s="69" t="s">
        <v>1000</v>
      </c>
      <c r="M141" s="71">
        <v>43598</v>
      </c>
      <c r="N141" s="69" t="s">
        <v>83</v>
      </c>
      <c r="O141" s="71">
        <v>43600</v>
      </c>
      <c r="P141" s="69" t="s">
        <v>129</v>
      </c>
      <c r="Q141" s="69" t="s">
        <v>77</v>
      </c>
      <c r="R141" s="73" t="s">
        <v>1001</v>
      </c>
      <c r="S141" s="69">
        <v>942109</v>
      </c>
      <c r="T141" s="69"/>
      <c r="U141" s="69" t="s">
        <v>1023</v>
      </c>
      <c r="V141" s="69" t="s">
        <v>55</v>
      </c>
      <c r="W141" s="70">
        <f>IFERROR(VLOOKUP(factures[[#This Row],[DT Prestation Amiante 1]],presta_amiante1[#Data],2,0),0)</f>
        <v>55.49</v>
      </c>
      <c r="X141" s="69" t="s">
        <v>53</v>
      </c>
      <c r="Y141" s="70">
        <f>IFERROR(VLOOKUP(factures[[#This Row],[DT Prestation Amiante 2]],presta_amiante2[#Data],2,0),0)</f>
        <v>60.11</v>
      </c>
      <c r="Z141" s="69"/>
      <c r="AA141" s="70">
        <f>IFERROR(VLOOKUP(factures[[#This Row],[DT Prestation Gaz]],presta_gaz[#Data],2,0),0)</f>
        <v>0</v>
      </c>
      <c r="AB141" s="69">
        <v>7</v>
      </c>
      <c r="AC141" s="69" t="s">
        <v>73</v>
      </c>
      <c r="AD141" s="70">
        <f>IFERROR(VLOOKUP(factures[[#This Row],[DT Analyses]],DT_analyses[#Data],2,0),0)</f>
        <v>36.99</v>
      </c>
      <c r="AE141" s="70">
        <f>IFERROR(factures[[#This Row],[Plvts ]]*factures[[#This Row],[Prix Analyses]],0)</f>
        <v>258.93</v>
      </c>
      <c r="AF141" s="70">
        <f>factures[[#This Row],[Prix Prestation Amiante 1]]+factures[[#This Row],[Prix Prestation Amiante 2]]+factures[[#This Row],[Prix Prestation Gaz]]+factures[[#This Row],[Prix analyses HT]]</f>
        <v>374.53</v>
      </c>
      <c r="AG141" s="69" t="s">
        <v>1153</v>
      </c>
      <c r="AH141" s="86" t="s">
        <v>1148</v>
      </c>
      <c r="AI141" s="69"/>
    </row>
    <row r="142" spans="1:35" ht="40.799999999999997" x14ac:dyDescent="0.3">
      <c r="A142" s="92" t="s">
        <v>132</v>
      </c>
      <c r="B142" s="72">
        <v>92100</v>
      </c>
      <c r="C142" s="69" t="s">
        <v>133</v>
      </c>
      <c r="D142" s="69" t="s">
        <v>849</v>
      </c>
      <c r="E142" s="69">
        <v>15</v>
      </c>
      <c r="F142" s="69">
        <v>1</v>
      </c>
      <c r="G142" s="69">
        <v>3</v>
      </c>
      <c r="H142" s="69">
        <v>60807</v>
      </c>
      <c r="I142" s="69">
        <v>753</v>
      </c>
      <c r="J142" s="69" t="s">
        <v>1009</v>
      </c>
      <c r="K142" s="69"/>
      <c r="L142" s="69" t="s">
        <v>1008</v>
      </c>
      <c r="M142" s="71">
        <v>43598</v>
      </c>
      <c r="N142" s="69" t="s">
        <v>227</v>
      </c>
      <c r="O142" s="71">
        <v>43600</v>
      </c>
      <c r="P142" s="69" t="s">
        <v>171</v>
      </c>
      <c r="Q142" s="69" t="s">
        <v>77</v>
      </c>
      <c r="R142" s="73" t="s">
        <v>1121</v>
      </c>
      <c r="S142" s="69">
        <v>948034</v>
      </c>
      <c r="T142" s="69"/>
      <c r="U142" s="69" t="s">
        <v>1137</v>
      </c>
      <c r="V142" s="69" t="s">
        <v>53</v>
      </c>
      <c r="W142" s="70">
        <f>IFERROR(VLOOKUP(factures[[#This Row],[DT Prestation Amiante 1]],presta_amiante1[#Data],2,0),0)</f>
        <v>60.11</v>
      </c>
      <c r="X142" s="69" t="s">
        <v>93</v>
      </c>
      <c r="Y142" s="70">
        <f>IFERROR(VLOOKUP(factures[[#This Row],[DT Prestation Amiante 2]],presta_amiante2[#Data],2,0),0)</f>
        <v>80.459999999999994</v>
      </c>
      <c r="Z142" s="69"/>
      <c r="AA142" s="70">
        <f>IFERROR(VLOOKUP(factures[[#This Row],[DT Prestation Gaz]],presta_gaz[#Data],2,0),0)</f>
        <v>0</v>
      </c>
      <c r="AB142" s="69">
        <v>5</v>
      </c>
      <c r="AC142" s="69" t="s">
        <v>73</v>
      </c>
      <c r="AD142" s="70">
        <f>IFERROR(VLOOKUP(factures[[#This Row],[DT Analyses]],DT_analyses[#Data],2,0),0)</f>
        <v>36.99</v>
      </c>
      <c r="AE142" s="70">
        <f>IFERROR(factures[[#This Row],[Plvts ]]*factures[[#This Row],[Prix Analyses]],0)</f>
        <v>184.95000000000002</v>
      </c>
      <c r="AF142" s="70">
        <f>factures[[#This Row],[Prix Prestation Amiante 1]]+factures[[#This Row],[Prix Prestation Amiante 2]]+factures[[#This Row],[Prix Prestation Gaz]]+factures[[#This Row],[Prix analyses HT]]</f>
        <v>325.52</v>
      </c>
      <c r="AG142" s="69" t="s">
        <v>1239</v>
      </c>
      <c r="AH142" s="86" t="s">
        <v>1238</v>
      </c>
      <c r="AI142" s="69"/>
    </row>
    <row r="143" spans="1:35" ht="40.799999999999997" x14ac:dyDescent="0.3">
      <c r="A143" s="92" t="s">
        <v>1010</v>
      </c>
      <c r="B143" s="72">
        <v>78190</v>
      </c>
      <c r="C143" s="69" t="s">
        <v>754</v>
      </c>
      <c r="D143" s="69" t="s">
        <v>533</v>
      </c>
      <c r="E143" s="69">
        <v>202</v>
      </c>
      <c r="F143" s="69">
        <v>2</v>
      </c>
      <c r="G143" s="69">
        <v>4</v>
      </c>
      <c r="H143" s="69">
        <v>22211</v>
      </c>
      <c r="I143" s="69">
        <v>314</v>
      </c>
      <c r="J143" s="79" t="s">
        <v>755</v>
      </c>
      <c r="K143" s="69"/>
      <c r="L143" s="69" t="s">
        <v>1011</v>
      </c>
      <c r="M143" s="71">
        <v>43598</v>
      </c>
      <c r="N143" s="69" t="s">
        <v>83</v>
      </c>
      <c r="O143" s="71">
        <v>43600</v>
      </c>
      <c r="P143" s="69" t="s">
        <v>131</v>
      </c>
      <c r="Q143" s="69" t="s">
        <v>77</v>
      </c>
      <c r="R143" s="73" t="s">
        <v>1012</v>
      </c>
      <c r="S143" s="69">
        <v>942525</v>
      </c>
      <c r="T143" s="69"/>
      <c r="U143" s="69" t="s">
        <v>1086</v>
      </c>
      <c r="V143" s="69" t="s">
        <v>55</v>
      </c>
      <c r="W143" s="70">
        <f>IFERROR(VLOOKUP(factures[[#This Row],[DT Prestation Amiante 1]],presta_amiante1[#Data],2,0),0)</f>
        <v>55.49</v>
      </c>
      <c r="X143" s="69" t="s">
        <v>54</v>
      </c>
      <c r="Y143" s="70">
        <f>IFERROR(VLOOKUP(factures[[#This Row],[DT Prestation Amiante 2]],presta_amiante2[#Data],2,0),0)</f>
        <v>69.36</v>
      </c>
      <c r="Z143" s="69"/>
      <c r="AA143" s="70">
        <f>IFERROR(VLOOKUP(factures[[#This Row],[DT Prestation Gaz]],presta_gaz[#Data],2,0),0)</f>
        <v>0</v>
      </c>
      <c r="AB143" s="69">
        <v>6</v>
      </c>
      <c r="AC143" s="69" t="s">
        <v>73</v>
      </c>
      <c r="AD143" s="70">
        <f>IFERROR(VLOOKUP(factures[[#This Row],[DT Analyses]],DT_analyses[#Data],2,0),0)</f>
        <v>36.99</v>
      </c>
      <c r="AE143" s="70">
        <f>IFERROR(factures[[#This Row],[Plvts ]]*factures[[#This Row],[Prix Analyses]],0)</f>
        <v>221.94</v>
      </c>
      <c r="AF143" s="70">
        <f>factures[[#This Row],[Prix Prestation Amiante 1]]+factures[[#This Row],[Prix Prestation Amiante 2]]+factures[[#This Row],[Prix Prestation Gaz]]+factures[[#This Row],[Prix analyses HT]]</f>
        <v>346.78999999999996</v>
      </c>
      <c r="AG143" s="69" t="s">
        <v>1154</v>
      </c>
      <c r="AH143" s="86" t="s">
        <v>1148</v>
      </c>
      <c r="AI143" s="69"/>
    </row>
    <row r="144" spans="1:35" ht="36" x14ac:dyDescent="0.3">
      <c r="A144" s="92" t="s">
        <v>1034</v>
      </c>
      <c r="B144" s="72">
        <v>78190</v>
      </c>
      <c r="C144" s="69" t="s">
        <v>387</v>
      </c>
      <c r="D144" s="69" t="s">
        <v>533</v>
      </c>
      <c r="E144" s="69">
        <v>302</v>
      </c>
      <c r="F144" s="69">
        <v>3</v>
      </c>
      <c r="G144" s="69">
        <v>5</v>
      </c>
      <c r="H144" s="69">
        <v>22256</v>
      </c>
      <c r="I144" s="69">
        <v>314</v>
      </c>
      <c r="J144" s="79" t="s">
        <v>1046</v>
      </c>
      <c r="K144" s="69"/>
      <c r="L144" s="96" t="s">
        <v>1049</v>
      </c>
      <c r="M144" s="71">
        <v>43601</v>
      </c>
      <c r="N144" s="69" t="s">
        <v>83</v>
      </c>
      <c r="O144" s="71">
        <v>43608</v>
      </c>
      <c r="P144" s="69" t="s">
        <v>1087</v>
      </c>
      <c r="Q144" s="69" t="s">
        <v>77</v>
      </c>
      <c r="R144" s="73" t="s">
        <v>1035</v>
      </c>
      <c r="S144" s="69">
        <v>943157</v>
      </c>
      <c r="T144" s="69"/>
      <c r="U144" s="69" t="s">
        <v>1107</v>
      </c>
      <c r="V144" s="69" t="s">
        <v>55</v>
      </c>
      <c r="W144" s="70">
        <f>IFERROR(VLOOKUP(factures[[#This Row],[DT Prestation Amiante 1]],presta_amiante1[#Data],2,0),0)</f>
        <v>55.49</v>
      </c>
      <c r="X144" s="69" t="s">
        <v>54</v>
      </c>
      <c r="Y144" s="70">
        <f>IFERROR(VLOOKUP(factures[[#This Row],[DT Prestation Amiante 2]],presta_amiante2[#Data],2,0),0)</f>
        <v>69.36</v>
      </c>
      <c r="Z144" s="69"/>
      <c r="AA144" s="70">
        <f>IFERROR(VLOOKUP(factures[[#This Row],[DT Prestation Gaz]],presta_gaz[#Data],2,0),0)</f>
        <v>0</v>
      </c>
      <c r="AB144" s="69">
        <v>11</v>
      </c>
      <c r="AC144" s="69" t="s">
        <v>73</v>
      </c>
      <c r="AD144" s="70">
        <f>IFERROR(VLOOKUP(factures[[#This Row],[DT Analyses]],DT_analyses[#Data],2,0),0)</f>
        <v>36.99</v>
      </c>
      <c r="AE144" s="70">
        <f>IFERROR(factures[[#This Row],[Plvts ]]*factures[[#This Row],[Prix Analyses]],0)</f>
        <v>406.89000000000004</v>
      </c>
      <c r="AF144" s="70">
        <f>factures[[#This Row],[Prix Prestation Amiante 1]]+factures[[#This Row],[Prix Prestation Amiante 2]]+factures[[#This Row],[Prix Prestation Gaz]]+factures[[#This Row],[Prix analyses HT]]</f>
        <v>531.74</v>
      </c>
      <c r="AG144" s="69" t="s">
        <v>1155</v>
      </c>
      <c r="AH144" s="86" t="s">
        <v>1148</v>
      </c>
      <c r="AI144" s="69"/>
    </row>
    <row r="145" spans="1:35" ht="36" x14ac:dyDescent="0.3">
      <c r="A145" s="92" t="s">
        <v>1061</v>
      </c>
      <c r="B145" s="72">
        <v>78180</v>
      </c>
      <c r="C145" s="69" t="s">
        <v>115</v>
      </c>
      <c r="D145" s="69" t="s">
        <v>507</v>
      </c>
      <c r="E145" s="69">
        <v>302</v>
      </c>
      <c r="F145" s="69">
        <v>3</v>
      </c>
      <c r="G145" s="69">
        <v>4</v>
      </c>
      <c r="H145" s="69">
        <v>31603</v>
      </c>
      <c r="I145" s="69">
        <v>451</v>
      </c>
      <c r="J145" s="69" t="s">
        <v>2160</v>
      </c>
      <c r="K145" s="69"/>
      <c r="L145" s="96" t="s">
        <v>1062</v>
      </c>
      <c r="M145" s="71">
        <v>43602</v>
      </c>
      <c r="N145" s="69" t="s">
        <v>83</v>
      </c>
      <c r="O145" s="71">
        <v>43608</v>
      </c>
      <c r="P145" s="69" t="s">
        <v>170</v>
      </c>
      <c r="Q145" s="69" t="s">
        <v>77</v>
      </c>
      <c r="R145" s="73" t="s">
        <v>1063</v>
      </c>
      <c r="S145" s="69">
        <v>943429</v>
      </c>
      <c r="T145" s="69"/>
      <c r="U145" s="69" t="s">
        <v>1108</v>
      </c>
      <c r="V145" s="69" t="s">
        <v>55</v>
      </c>
      <c r="W145" s="70">
        <f>IFERROR(VLOOKUP(factures[[#This Row],[DT Prestation Amiante 1]],presta_amiante1[#Data],2,0),0)</f>
        <v>55.49</v>
      </c>
      <c r="X145" s="69" t="s">
        <v>53</v>
      </c>
      <c r="Y145" s="70">
        <f>IFERROR(VLOOKUP(factures[[#This Row],[DT Prestation Amiante 2]],presta_amiante2[#Data],2,0),0)</f>
        <v>60.11</v>
      </c>
      <c r="Z145" s="69"/>
      <c r="AA145" s="70">
        <f>IFERROR(VLOOKUP(factures[[#This Row],[DT Prestation Gaz]],presta_gaz[#Data],2,0),0)</f>
        <v>0</v>
      </c>
      <c r="AB145" s="69">
        <v>1</v>
      </c>
      <c r="AC145" s="69" t="s">
        <v>73</v>
      </c>
      <c r="AD145" s="70">
        <f>IFERROR(VLOOKUP(factures[[#This Row],[DT Analyses]],DT_analyses[#Data],2,0),0)</f>
        <v>36.99</v>
      </c>
      <c r="AE145" s="70">
        <f>IFERROR(factures[[#This Row],[Plvts ]]*factures[[#This Row],[Prix Analyses]],0)</f>
        <v>36.99</v>
      </c>
      <c r="AF145" s="70">
        <f>factures[[#This Row],[Prix Prestation Amiante 1]]+factures[[#This Row],[Prix Prestation Amiante 2]]+factures[[#This Row],[Prix Prestation Gaz]]+factures[[#This Row],[Prix analyses HT]]</f>
        <v>152.59</v>
      </c>
      <c r="AG145" s="69" t="s">
        <v>1156</v>
      </c>
      <c r="AH145" s="86" t="s">
        <v>1148</v>
      </c>
      <c r="AI145" s="69"/>
    </row>
    <row r="146" spans="1:35" ht="36" x14ac:dyDescent="0.3">
      <c r="A146" s="92" t="s">
        <v>1064</v>
      </c>
      <c r="B146" s="72">
        <v>78280</v>
      </c>
      <c r="C146" s="69" t="s">
        <v>1066</v>
      </c>
      <c r="D146" s="69" t="s">
        <v>1067</v>
      </c>
      <c r="E146" s="69">
        <v>401</v>
      </c>
      <c r="F146" s="69">
        <v>4</v>
      </c>
      <c r="G146" s="69">
        <v>2</v>
      </c>
      <c r="H146" s="69">
        <v>41179</v>
      </c>
      <c r="I146" s="69">
        <v>833</v>
      </c>
      <c r="J146" s="69" t="s">
        <v>1065</v>
      </c>
      <c r="K146" s="69" t="s">
        <v>1088</v>
      </c>
      <c r="L146" s="96" t="s">
        <v>1068</v>
      </c>
      <c r="M146" s="71">
        <v>43602</v>
      </c>
      <c r="N146" s="69" t="s">
        <v>83</v>
      </c>
      <c r="O146" s="71">
        <v>43608</v>
      </c>
      <c r="P146" s="69" t="s">
        <v>656</v>
      </c>
      <c r="Q146" s="69" t="s">
        <v>77</v>
      </c>
      <c r="R146" s="73" t="s">
        <v>1069</v>
      </c>
      <c r="S146" s="69">
        <v>943418</v>
      </c>
      <c r="T146" s="69"/>
      <c r="U146" s="69" t="s">
        <v>1109</v>
      </c>
      <c r="V146" s="69" t="s">
        <v>55</v>
      </c>
      <c r="W146" s="70">
        <f>IFERROR(VLOOKUP(factures[[#This Row],[DT Prestation Amiante 1]],presta_amiante1[#Data],2,0),0)</f>
        <v>55.49</v>
      </c>
      <c r="X146" s="69" t="s">
        <v>53</v>
      </c>
      <c r="Y146" s="70">
        <f>IFERROR(VLOOKUP(factures[[#This Row],[DT Prestation Amiante 2]],presta_amiante2[#Data],2,0),0)</f>
        <v>60.11</v>
      </c>
      <c r="Z146" s="69"/>
      <c r="AA146" s="70">
        <f>IFERROR(VLOOKUP(factures[[#This Row],[DT Prestation Gaz]],presta_gaz[#Data],2,0),0)</f>
        <v>0</v>
      </c>
      <c r="AB146" s="69">
        <v>6</v>
      </c>
      <c r="AC146" s="69" t="s">
        <v>73</v>
      </c>
      <c r="AD146" s="70">
        <f>IFERROR(VLOOKUP(factures[[#This Row],[DT Analyses]],DT_analyses[#Data],2,0),0)</f>
        <v>36.99</v>
      </c>
      <c r="AE146" s="70">
        <f>IFERROR(factures[[#This Row],[Plvts ]]*factures[[#This Row],[Prix Analyses]],0)</f>
        <v>221.94</v>
      </c>
      <c r="AF146" s="70">
        <f>factures[[#This Row],[Prix Prestation Amiante 1]]+factures[[#This Row],[Prix Prestation Amiante 2]]+factures[[#This Row],[Prix Prestation Gaz]]+factures[[#This Row],[Prix analyses HT]]</f>
        <v>337.53999999999996</v>
      </c>
      <c r="AG146" s="69" t="s">
        <v>1157</v>
      </c>
      <c r="AH146" s="86" t="s">
        <v>1148</v>
      </c>
      <c r="AI146" s="69"/>
    </row>
    <row r="147" spans="1:35" ht="51" x14ac:dyDescent="0.3">
      <c r="A147" s="92" t="s">
        <v>1019</v>
      </c>
      <c r="B147" s="72">
        <v>94120</v>
      </c>
      <c r="C147" s="69" t="s">
        <v>896</v>
      </c>
      <c r="D147" s="69" t="s">
        <v>1020</v>
      </c>
      <c r="E147" s="69">
        <v>2</v>
      </c>
      <c r="F147" s="69" t="s">
        <v>102</v>
      </c>
      <c r="G147" s="69">
        <v>2</v>
      </c>
      <c r="H147" s="69">
        <v>33658</v>
      </c>
      <c r="I147" s="69">
        <v>520</v>
      </c>
      <c r="J147" s="69" t="s">
        <v>1076</v>
      </c>
      <c r="K147" s="69"/>
      <c r="L147" s="96" t="s">
        <v>1021</v>
      </c>
      <c r="M147" s="71">
        <v>43600</v>
      </c>
      <c r="N147" s="69" t="s">
        <v>71</v>
      </c>
      <c r="O147" s="71">
        <v>43630</v>
      </c>
      <c r="P147" s="69" t="s">
        <v>338</v>
      </c>
      <c r="Q147" s="69" t="s">
        <v>77</v>
      </c>
      <c r="R147" s="73" t="s">
        <v>1364</v>
      </c>
      <c r="S147" s="69">
        <v>942828</v>
      </c>
      <c r="T147" s="69" t="s">
        <v>658</v>
      </c>
      <c r="U147" s="69" t="s">
        <v>1327</v>
      </c>
      <c r="V147" s="69" t="s">
        <v>53</v>
      </c>
      <c r="W147" s="70">
        <v>58.5</v>
      </c>
      <c r="X147" s="69"/>
      <c r="Y147" s="70">
        <f>IFERROR(VLOOKUP(factures[[#This Row],[DT Prestation Amiante 2]],presta_amiante2[#Data],2,0),0)</f>
        <v>0</v>
      </c>
      <c r="Z147" s="69" t="s">
        <v>61</v>
      </c>
      <c r="AA147" s="70">
        <v>40.5</v>
      </c>
      <c r="AB147" s="69">
        <v>5</v>
      </c>
      <c r="AC147" s="69" t="s">
        <v>73</v>
      </c>
      <c r="AD147" s="70">
        <v>36</v>
      </c>
      <c r="AE147" s="70">
        <f>IFERROR(factures[[#This Row],[Plvts ]]*factures[[#This Row],[Prix Analyses]],0)</f>
        <v>180</v>
      </c>
      <c r="AF147" s="70">
        <f>factures[[#This Row],[Prix Prestation Amiante 1]]+factures[[#This Row],[Prix Prestation Amiante 2]]+factures[[#This Row],[Prix Prestation Gaz]]+factures[[#This Row],[Prix analyses HT]]</f>
        <v>279</v>
      </c>
      <c r="AG147" s="69" t="s">
        <v>1403</v>
      </c>
      <c r="AH147" s="86" t="s">
        <v>1404</v>
      </c>
      <c r="AI147" s="69"/>
    </row>
    <row r="148" spans="1:35" ht="36" x14ac:dyDescent="0.3">
      <c r="A148" s="92" t="s">
        <v>157</v>
      </c>
      <c r="B148" s="72">
        <v>92260</v>
      </c>
      <c r="C148" s="69" t="s">
        <v>500</v>
      </c>
      <c r="D148" s="69" t="s">
        <v>159</v>
      </c>
      <c r="E148" s="69">
        <v>404</v>
      </c>
      <c r="F148" s="69">
        <v>4</v>
      </c>
      <c r="G148" s="69">
        <v>4</v>
      </c>
      <c r="H148" s="69">
        <v>63382</v>
      </c>
      <c r="I148" s="69">
        <v>9216</v>
      </c>
      <c r="J148" s="69" t="s">
        <v>1203</v>
      </c>
      <c r="K148" s="69" t="s">
        <v>1139</v>
      </c>
      <c r="L148" s="69" t="s">
        <v>1138</v>
      </c>
      <c r="M148" s="71">
        <v>43614</v>
      </c>
      <c r="N148" s="69" t="s">
        <v>70</v>
      </c>
      <c r="O148" s="71">
        <v>43614</v>
      </c>
      <c r="P148" s="69" t="s">
        <v>294</v>
      </c>
      <c r="Q148" s="69" t="s">
        <v>77</v>
      </c>
      <c r="R148" s="73" t="s">
        <v>1202</v>
      </c>
      <c r="S148" s="69">
        <v>948923</v>
      </c>
      <c r="T148" s="69"/>
      <c r="U148" s="69" t="s">
        <v>1206</v>
      </c>
      <c r="V148" s="69" t="s">
        <v>54</v>
      </c>
      <c r="W148" s="70">
        <v>67.5</v>
      </c>
      <c r="X148" s="69"/>
      <c r="Y148" s="70">
        <f>IFERROR(VLOOKUP(factures[[#This Row],[DT Prestation Amiante 2]],presta_amiante2[#Data],2,0),0)</f>
        <v>0</v>
      </c>
      <c r="Z148" s="69"/>
      <c r="AA148" s="70">
        <f>IFERROR(VLOOKUP(factures[[#This Row],[DT Prestation Gaz]],presta_gaz[#Data],2,0),0)</f>
        <v>0</v>
      </c>
      <c r="AB148" s="69">
        <v>9</v>
      </c>
      <c r="AC148" s="69" t="s">
        <v>73</v>
      </c>
      <c r="AD148" s="70">
        <v>36</v>
      </c>
      <c r="AE148" s="70">
        <f>IFERROR(factures[[#This Row],[Plvts ]]*factures[[#This Row],[Prix Analyses]],0)</f>
        <v>324</v>
      </c>
      <c r="AF148" s="70">
        <f>factures[[#This Row],[Prix Prestation Amiante 1]]+factures[[#This Row],[Prix Prestation Amiante 2]]+factures[[#This Row],[Prix Prestation Gaz]]+factures[[#This Row],[Prix analyses HT]]</f>
        <v>391.5</v>
      </c>
      <c r="AG148" s="69" t="s">
        <v>1275</v>
      </c>
      <c r="AH148" s="86" t="s">
        <v>1293</v>
      </c>
      <c r="AI148" s="69"/>
    </row>
    <row r="149" spans="1:35" ht="36" x14ac:dyDescent="0.3">
      <c r="A149" s="92" t="s">
        <v>1098</v>
      </c>
      <c r="B149" s="72">
        <v>92100</v>
      </c>
      <c r="C149" s="69" t="s">
        <v>133</v>
      </c>
      <c r="D149" s="69" t="s">
        <v>849</v>
      </c>
      <c r="E149" s="69">
        <v>34</v>
      </c>
      <c r="F149" s="69">
        <v>3</v>
      </c>
      <c r="G149" s="69">
        <v>1</v>
      </c>
      <c r="H149" s="69">
        <v>60813</v>
      </c>
      <c r="I149" s="69">
        <v>753</v>
      </c>
      <c r="J149" s="69" t="s">
        <v>1101</v>
      </c>
      <c r="K149" s="69"/>
      <c r="L149" s="69" t="s">
        <v>1099</v>
      </c>
      <c r="M149" s="71">
        <v>43608</v>
      </c>
      <c r="N149" s="69" t="s">
        <v>227</v>
      </c>
      <c r="O149" s="71">
        <v>43616</v>
      </c>
      <c r="P149" s="69"/>
      <c r="Q149" s="69" t="s">
        <v>77</v>
      </c>
      <c r="R149" s="73" t="s">
        <v>1100</v>
      </c>
      <c r="S149" s="69">
        <v>948097</v>
      </c>
      <c r="T149" s="69"/>
      <c r="U149" s="69" t="s">
        <v>1140</v>
      </c>
      <c r="V149" s="69" t="s">
        <v>53</v>
      </c>
      <c r="W149" s="70">
        <f>IFERROR(VLOOKUP(factures[[#This Row],[DT Prestation Amiante 1]],presta_amiante1[#Data],2,0),0)</f>
        <v>60.11</v>
      </c>
      <c r="X149" s="69" t="s">
        <v>93</v>
      </c>
      <c r="Y149" s="70">
        <f>IFERROR(VLOOKUP(factures[[#This Row],[DT Prestation Amiante 2]],presta_amiante2[#Data],2,0),0)</f>
        <v>80.459999999999994</v>
      </c>
      <c r="Z149" s="69"/>
      <c r="AA149" s="70">
        <f>IFERROR(VLOOKUP(factures[[#This Row],[DT Prestation Gaz]],presta_gaz[#Data],2,0),0)</f>
        <v>0</v>
      </c>
      <c r="AB149" s="69">
        <v>2</v>
      </c>
      <c r="AC149" s="69" t="s">
        <v>73</v>
      </c>
      <c r="AD149" s="70">
        <f>IFERROR(VLOOKUP(factures[[#This Row],[DT Analyses]],DT_analyses[#Data],2,0),0)</f>
        <v>36.99</v>
      </c>
      <c r="AE149" s="70">
        <f>IFERROR(factures[[#This Row],[Plvts ]]*factures[[#This Row],[Prix Analyses]],0)</f>
        <v>73.98</v>
      </c>
      <c r="AF149" s="70">
        <f>factures[[#This Row],[Prix Prestation Amiante 1]]+factures[[#This Row],[Prix Prestation Amiante 2]]+factures[[#This Row],[Prix Prestation Gaz]]+factures[[#This Row],[Prix analyses HT]]</f>
        <v>214.55</v>
      </c>
      <c r="AG149" s="69" t="s">
        <v>1240</v>
      </c>
      <c r="AH149" s="86" t="s">
        <v>1238</v>
      </c>
      <c r="AI149" s="69"/>
    </row>
    <row r="150" spans="1:35" ht="40.799999999999997" x14ac:dyDescent="0.3">
      <c r="A150" s="92" t="s">
        <v>1102</v>
      </c>
      <c r="B150" s="72">
        <v>94450</v>
      </c>
      <c r="C150" s="69" t="s">
        <v>1103</v>
      </c>
      <c r="D150" s="69" t="s">
        <v>1104</v>
      </c>
      <c r="E150" s="69">
        <v>103</v>
      </c>
      <c r="F150" s="69">
        <v>1</v>
      </c>
      <c r="G150" s="69">
        <v>3</v>
      </c>
      <c r="H150" s="69">
        <v>38886</v>
      </c>
      <c r="I150" s="69">
        <v>769</v>
      </c>
      <c r="J150" s="69" t="s">
        <v>300</v>
      </c>
      <c r="K150" s="69"/>
      <c r="L150" s="69" t="s">
        <v>1105</v>
      </c>
      <c r="M150" s="71">
        <v>43608</v>
      </c>
      <c r="N150" s="69" t="s">
        <v>71</v>
      </c>
      <c r="O150" s="71">
        <v>43619</v>
      </c>
      <c r="P150" s="69"/>
      <c r="Q150" s="69" t="s">
        <v>77</v>
      </c>
      <c r="R150" s="73" t="s">
        <v>1106</v>
      </c>
      <c r="S150" s="69">
        <v>948057</v>
      </c>
      <c r="T150" s="69"/>
      <c r="U150" s="69" t="s">
        <v>1141</v>
      </c>
      <c r="V150" s="69" t="s">
        <v>53</v>
      </c>
      <c r="W150" s="70">
        <f>IFERROR(VLOOKUP(factures[[#This Row],[DT Prestation Amiante 1]],presta_amiante1[#Data],2,0),0)</f>
        <v>60.11</v>
      </c>
      <c r="X150" s="69"/>
      <c r="Y150" s="70">
        <f>IFERROR(VLOOKUP(factures[[#This Row],[DT Prestation Amiante 2]],presta_amiante2[#Data],2,0),0)</f>
        <v>0</v>
      </c>
      <c r="Z150" s="69" t="s">
        <v>61</v>
      </c>
      <c r="AA150" s="70">
        <f>IFERROR(VLOOKUP(factures[[#This Row],[DT Prestation Gaz]],presta_gaz[#Data],2,0),0)</f>
        <v>41.62</v>
      </c>
      <c r="AB150" s="69">
        <v>7</v>
      </c>
      <c r="AC150" s="69" t="s">
        <v>73</v>
      </c>
      <c r="AD150" s="70">
        <f>IFERROR(VLOOKUP(factures[[#This Row],[DT Analyses]],DT_analyses[#Data],2,0),0)</f>
        <v>36.99</v>
      </c>
      <c r="AE150" s="70">
        <f>IFERROR(factures[[#This Row],[Plvts ]]*factures[[#This Row],[Prix Analyses]],0)</f>
        <v>258.93</v>
      </c>
      <c r="AF150" s="70">
        <f>factures[[#This Row],[Prix Prestation Amiante 1]]+factures[[#This Row],[Prix Prestation Amiante 2]]+factures[[#This Row],[Prix Prestation Gaz]]+factures[[#This Row],[Prix analyses HT]]</f>
        <v>360.65999999999997</v>
      </c>
      <c r="AG150" s="69" t="s">
        <v>1241</v>
      </c>
      <c r="AH150" s="86" t="s">
        <v>1238</v>
      </c>
      <c r="AI150" s="69"/>
    </row>
    <row r="151" spans="1:35" ht="36" x14ac:dyDescent="0.3">
      <c r="A151" s="92" t="s">
        <v>1110</v>
      </c>
      <c r="B151" s="72">
        <v>78150</v>
      </c>
      <c r="C151" s="69" t="s">
        <v>1111</v>
      </c>
      <c r="D151" s="69" t="s">
        <v>396</v>
      </c>
      <c r="E151" s="69">
        <v>202</v>
      </c>
      <c r="F151" s="69">
        <v>2</v>
      </c>
      <c r="G151" s="69">
        <v>3</v>
      </c>
      <c r="H151" s="69">
        <v>9604</v>
      </c>
      <c r="I151" s="69">
        <v>146</v>
      </c>
      <c r="J151" s="69" t="s">
        <v>392</v>
      </c>
      <c r="K151" s="69"/>
      <c r="L151" s="69" t="s">
        <v>1112</v>
      </c>
      <c r="M151" s="71">
        <v>43612</v>
      </c>
      <c r="N151" s="69" t="s">
        <v>83</v>
      </c>
      <c r="O151" s="71">
        <v>43619</v>
      </c>
      <c r="P151" s="69"/>
      <c r="Q151" s="69" t="s">
        <v>77</v>
      </c>
      <c r="R151" s="73" t="s">
        <v>1113</v>
      </c>
      <c r="S151" s="69">
        <v>944727</v>
      </c>
      <c r="T151" s="99" t="s">
        <v>1136</v>
      </c>
      <c r="U151" s="69" t="s">
        <v>1142</v>
      </c>
      <c r="V151" s="69" t="s">
        <v>55</v>
      </c>
      <c r="W151" s="70">
        <f>IFERROR(VLOOKUP(factures[[#This Row],[DT Prestation Amiante 1]],presta_amiante1[#Data],2,0),0)</f>
        <v>55.49</v>
      </c>
      <c r="X151" s="69" t="s">
        <v>53</v>
      </c>
      <c r="Y151" s="70">
        <f>IFERROR(VLOOKUP(factures[[#This Row],[DT Prestation Amiante 2]],presta_amiante2[#Data],2,0),0)</f>
        <v>60.11</v>
      </c>
      <c r="Z151" s="69"/>
      <c r="AA151" s="70">
        <f>IFERROR(VLOOKUP(factures[[#This Row],[DT Prestation Gaz]],presta_gaz[#Data],2,0),0)</f>
        <v>0</v>
      </c>
      <c r="AB151" s="69">
        <v>5</v>
      </c>
      <c r="AC151" s="69" t="s">
        <v>73</v>
      </c>
      <c r="AD151" s="70">
        <f>IFERROR(VLOOKUP(factures[[#This Row],[DT Analyses]],DT_analyses[#Data],2,0),0)</f>
        <v>36.99</v>
      </c>
      <c r="AE151" s="70">
        <f>IFERROR(factures[[#This Row],[Plvts ]]*factures[[#This Row],[Prix Analyses]],0)</f>
        <v>184.95000000000002</v>
      </c>
      <c r="AF151" s="70">
        <f>factures[[#This Row],[Prix Prestation Amiante 1]]+factures[[#This Row],[Prix Prestation Amiante 2]]+factures[[#This Row],[Prix Prestation Gaz]]+factures[[#This Row],[Prix analyses HT]]</f>
        <v>300.55</v>
      </c>
      <c r="AG151" s="69" t="s">
        <v>1303</v>
      </c>
      <c r="AH151" s="86" t="s">
        <v>1302</v>
      </c>
      <c r="AI151" s="69"/>
    </row>
    <row r="152" spans="1:35" ht="36" x14ac:dyDescent="0.3">
      <c r="A152" s="92" t="s">
        <v>394</v>
      </c>
      <c r="B152" s="72">
        <v>78150</v>
      </c>
      <c r="C152" s="69" t="s">
        <v>1111</v>
      </c>
      <c r="D152" s="69" t="s">
        <v>396</v>
      </c>
      <c r="E152" s="69">
        <v>1</v>
      </c>
      <c r="F152" s="69" t="s">
        <v>102</v>
      </c>
      <c r="G152" s="69">
        <v>1</v>
      </c>
      <c r="H152" s="69">
        <v>9619</v>
      </c>
      <c r="I152" s="69">
        <v>146</v>
      </c>
      <c r="J152" s="69" t="s">
        <v>392</v>
      </c>
      <c r="K152" s="69"/>
      <c r="L152" s="69" t="s">
        <v>1114</v>
      </c>
      <c r="M152" s="71">
        <v>43612</v>
      </c>
      <c r="N152" s="69" t="s">
        <v>83</v>
      </c>
      <c r="O152" s="71">
        <v>43619</v>
      </c>
      <c r="P152" s="69"/>
      <c r="Q152" s="69" t="s">
        <v>77</v>
      </c>
      <c r="R152" s="73" t="s">
        <v>1115</v>
      </c>
      <c r="S152" s="69">
        <v>944725</v>
      </c>
      <c r="T152" s="99" t="s">
        <v>1136</v>
      </c>
      <c r="U152" s="69" t="s">
        <v>1143</v>
      </c>
      <c r="V152" s="69" t="s">
        <v>55</v>
      </c>
      <c r="W152" s="70">
        <f>IFERROR(VLOOKUP(factures[[#This Row],[DT Prestation Amiante 1]],presta_amiante1[#Data],2,0),0)</f>
        <v>55.49</v>
      </c>
      <c r="X152" s="69" t="s">
        <v>53</v>
      </c>
      <c r="Y152" s="70">
        <f>IFERROR(VLOOKUP(factures[[#This Row],[DT Prestation Amiante 2]],presta_amiante2[#Data],2,0),0)</f>
        <v>60.11</v>
      </c>
      <c r="Z152" s="69"/>
      <c r="AA152" s="70">
        <f>IFERROR(VLOOKUP(factures[[#This Row],[DT Prestation Gaz]],presta_gaz[#Data],2,0),0)</f>
        <v>0</v>
      </c>
      <c r="AB152" s="69">
        <v>3</v>
      </c>
      <c r="AC152" s="69" t="s">
        <v>73</v>
      </c>
      <c r="AD152" s="70">
        <f>IFERROR(VLOOKUP(factures[[#This Row],[DT Analyses]],DT_analyses[#Data],2,0),0)</f>
        <v>36.99</v>
      </c>
      <c r="AE152" s="70">
        <f>IFERROR(factures[[#This Row],[Plvts ]]*factures[[#This Row],[Prix Analyses]],0)</f>
        <v>110.97</v>
      </c>
      <c r="AF152" s="70">
        <f>factures[[#This Row],[Prix Prestation Amiante 1]]+factures[[#This Row],[Prix Prestation Amiante 2]]+factures[[#This Row],[Prix Prestation Gaz]]+factures[[#This Row],[Prix analyses HT]]</f>
        <v>226.57</v>
      </c>
      <c r="AG152" s="69" t="s">
        <v>1304</v>
      </c>
      <c r="AH152" s="86" t="s">
        <v>1302</v>
      </c>
      <c r="AI152" s="69"/>
    </row>
    <row r="153" spans="1:35" ht="60" x14ac:dyDescent="0.3">
      <c r="A153" s="92" t="s">
        <v>1050</v>
      </c>
      <c r="B153" s="72">
        <v>78800</v>
      </c>
      <c r="C153" s="69" t="s">
        <v>123</v>
      </c>
      <c r="D153" s="69" t="s">
        <v>1051</v>
      </c>
      <c r="E153" s="69">
        <v>201</v>
      </c>
      <c r="F153" s="69">
        <v>2</v>
      </c>
      <c r="G153" s="69">
        <v>3</v>
      </c>
      <c r="H153" s="69">
        <v>4667</v>
      </c>
      <c r="I153" s="69">
        <v>77</v>
      </c>
      <c r="J153" s="69" t="s">
        <v>1052</v>
      </c>
      <c r="K153" s="69"/>
      <c r="L153" s="69" t="s">
        <v>1053</v>
      </c>
      <c r="M153" s="71">
        <v>43601</v>
      </c>
      <c r="N153" s="69" t="s">
        <v>1300</v>
      </c>
      <c r="O153" s="71"/>
      <c r="P153" s="69"/>
      <c r="Q153" s="69" t="s">
        <v>77</v>
      </c>
      <c r="R153" s="73" t="s">
        <v>1054</v>
      </c>
      <c r="S153" s="69">
        <v>943209</v>
      </c>
      <c r="T153" s="97" t="s">
        <v>1131</v>
      </c>
      <c r="U153" s="69" t="s">
        <v>1145</v>
      </c>
      <c r="V153" s="69" t="s">
        <v>55</v>
      </c>
      <c r="W153" s="70">
        <v>54</v>
      </c>
      <c r="X153" s="69" t="s">
        <v>53</v>
      </c>
      <c r="Y153" s="70">
        <v>58.5</v>
      </c>
      <c r="Z153" s="69" t="s">
        <v>61</v>
      </c>
      <c r="AA153" s="70"/>
      <c r="AB153" s="69">
        <v>7</v>
      </c>
      <c r="AC153" s="69" t="s">
        <v>73</v>
      </c>
      <c r="AD153" s="70">
        <v>36</v>
      </c>
      <c r="AE153" s="70">
        <f>IFERROR(factures[[#This Row],[Plvts ]]*factures[[#This Row],[Prix Analyses]],0)</f>
        <v>252</v>
      </c>
      <c r="AF153" s="70">
        <f>factures[[#This Row],[Prix Prestation Amiante 1]]+factures[[#This Row],[Prix Prestation Amiante 2]]+factures[[#This Row],[Prix Prestation Gaz]]+factures[[#This Row],[Prix analyses HT]]</f>
        <v>364.5</v>
      </c>
      <c r="AG153" s="69" t="s">
        <v>1305</v>
      </c>
      <c r="AH153" s="86" t="s">
        <v>1302</v>
      </c>
      <c r="AI153" s="69"/>
    </row>
    <row r="154" spans="1:35" ht="48" customHeight="1" x14ac:dyDescent="0.3">
      <c r="A154" s="92" t="s">
        <v>1127</v>
      </c>
      <c r="B154" s="72">
        <v>78800</v>
      </c>
      <c r="C154" s="69" t="s">
        <v>123</v>
      </c>
      <c r="D154" s="69" t="s">
        <v>1051</v>
      </c>
      <c r="E154" s="69">
        <v>501</v>
      </c>
      <c r="F154" s="69">
        <v>5</v>
      </c>
      <c r="G154" s="69">
        <v>2</v>
      </c>
      <c r="H154" s="69">
        <v>4822</v>
      </c>
      <c r="I154" s="69">
        <v>77</v>
      </c>
      <c r="J154" s="98" t="s">
        <v>125</v>
      </c>
      <c r="K154" s="69"/>
      <c r="L154" s="69" t="s">
        <v>1128</v>
      </c>
      <c r="M154" s="71">
        <v>43613</v>
      </c>
      <c r="N154" s="69" t="s">
        <v>83</v>
      </c>
      <c r="O154" s="71"/>
      <c r="P154" s="69"/>
      <c r="Q154" s="69" t="s">
        <v>77</v>
      </c>
      <c r="R154" s="73" t="s">
        <v>1129</v>
      </c>
      <c r="S154" s="69">
        <v>945475</v>
      </c>
      <c r="T154" s="69"/>
      <c r="U154" s="69" t="s">
        <v>1146</v>
      </c>
      <c r="V154" s="69" t="s">
        <v>55</v>
      </c>
      <c r="W154" s="70">
        <f>IFERROR(VLOOKUP(factures[[#This Row],[DT Prestation Amiante 1]],presta_amiante1[#Data],2,0),0)</f>
        <v>55.49</v>
      </c>
      <c r="X154" s="69" t="s">
        <v>53</v>
      </c>
      <c r="Y154" s="70">
        <f>IFERROR(VLOOKUP(factures[[#This Row],[DT Prestation Amiante 2]],presta_amiante2[#Data],2,0),0)</f>
        <v>60.11</v>
      </c>
      <c r="Z154" s="69"/>
      <c r="AA154" s="70">
        <f>IFERROR(VLOOKUP(factures[[#This Row],[DT Prestation Gaz]],presta_gaz[#Data],2,0),0)</f>
        <v>0</v>
      </c>
      <c r="AB154" s="69">
        <v>6</v>
      </c>
      <c r="AC154" s="69" t="s">
        <v>73</v>
      </c>
      <c r="AD154" s="70">
        <f>IFERROR(VLOOKUP(factures[[#This Row],[DT Analyses]],DT_analyses[#Data],2,0),0)</f>
        <v>36.99</v>
      </c>
      <c r="AE154" s="70">
        <f>IFERROR(factures[[#This Row],[Plvts ]]*factures[[#This Row],[Prix Analyses]],0)</f>
        <v>221.94</v>
      </c>
      <c r="AF154" s="70">
        <f>factures[[#This Row],[Prix Prestation Amiante 1]]+factures[[#This Row],[Prix Prestation Amiante 2]]+factures[[#This Row],[Prix Prestation Gaz]]+factures[[#This Row],[Prix analyses HT]]</f>
        <v>337.53999999999996</v>
      </c>
      <c r="AG154" s="69" t="s">
        <v>1306</v>
      </c>
      <c r="AH154" s="86" t="s">
        <v>1302</v>
      </c>
      <c r="AI154" s="69"/>
    </row>
    <row r="155" spans="1:35" ht="46.5" customHeight="1" x14ac:dyDescent="0.3">
      <c r="A155" s="92" t="s">
        <v>1036</v>
      </c>
      <c r="B155" s="72">
        <v>78117</v>
      </c>
      <c r="C155" s="69" t="s">
        <v>1037</v>
      </c>
      <c r="D155" s="69" t="s">
        <v>1038</v>
      </c>
      <c r="E155" s="69">
        <v>1</v>
      </c>
      <c r="F155" s="69" t="s">
        <v>816</v>
      </c>
      <c r="G155" s="69">
        <v>5</v>
      </c>
      <c r="H155" s="69">
        <v>38467</v>
      </c>
      <c r="I155" s="69">
        <v>762</v>
      </c>
      <c r="J155" s="69" t="s">
        <v>1045</v>
      </c>
      <c r="K155" s="69"/>
      <c r="L155" s="69" t="s">
        <v>1039</v>
      </c>
      <c r="M155" s="71">
        <v>43601</v>
      </c>
      <c r="N155" s="69" t="s">
        <v>84</v>
      </c>
      <c r="O155" s="71">
        <v>43621</v>
      </c>
      <c r="P155" s="69"/>
      <c r="Q155" s="69" t="s">
        <v>77</v>
      </c>
      <c r="R155" s="73" t="s">
        <v>1040</v>
      </c>
      <c r="S155" s="69">
        <v>943167</v>
      </c>
      <c r="T155" s="99" t="s">
        <v>1136</v>
      </c>
      <c r="U155" s="69" t="s">
        <v>1167</v>
      </c>
      <c r="V155" s="69" t="s">
        <v>55</v>
      </c>
      <c r="W155" s="70">
        <v>54</v>
      </c>
      <c r="X155" s="69" t="s">
        <v>54</v>
      </c>
      <c r="Y155" s="70">
        <v>67.5</v>
      </c>
      <c r="Z155" s="69" t="s">
        <v>62</v>
      </c>
      <c r="AA155" s="70">
        <v>47.7</v>
      </c>
      <c r="AB155" s="69">
        <v>7</v>
      </c>
      <c r="AC155" s="69" t="s">
        <v>73</v>
      </c>
      <c r="AD155" s="70">
        <v>36</v>
      </c>
      <c r="AE155" s="70">
        <f>IFERROR(factures[[#This Row],[Plvts ]]*factures[[#This Row],[Prix Analyses]],0)</f>
        <v>252</v>
      </c>
      <c r="AF155" s="70">
        <f>factures[[#This Row],[Prix Prestation Amiante 1]]+factures[[#This Row],[Prix Prestation Amiante 2]]+factures[[#This Row],[Prix Prestation Gaz]]+factures[[#This Row],[Prix analyses HT]]</f>
        <v>421.2</v>
      </c>
      <c r="AG155" s="69" t="s">
        <v>1307</v>
      </c>
      <c r="AH155" s="86" t="s">
        <v>1302</v>
      </c>
      <c r="AI155" s="69"/>
    </row>
    <row r="156" spans="1:35" ht="62.25" customHeight="1" x14ac:dyDescent="0.3">
      <c r="A156" s="92" t="s">
        <v>1041</v>
      </c>
      <c r="B156" s="72">
        <v>78990</v>
      </c>
      <c r="C156" s="69" t="s">
        <v>1042</v>
      </c>
      <c r="D156" s="69" t="s">
        <v>1043</v>
      </c>
      <c r="E156" s="69">
        <v>203</v>
      </c>
      <c r="F156" s="69">
        <v>2</v>
      </c>
      <c r="G156" s="69">
        <v>2</v>
      </c>
      <c r="H156" s="69">
        <v>40046</v>
      </c>
      <c r="I156" s="69">
        <v>816</v>
      </c>
      <c r="J156" s="69" t="s">
        <v>1044</v>
      </c>
      <c r="K156" s="69"/>
      <c r="L156" s="96" t="s">
        <v>1047</v>
      </c>
      <c r="M156" s="71">
        <v>43601</v>
      </c>
      <c r="N156" s="69" t="s">
        <v>84</v>
      </c>
      <c r="O156" s="71">
        <v>43621</v>
      </c>
      <c r="P156" s="69"/>
      <c r="Q156" s="69" t="s">
        <v>77</v>
      </c>
      <c r="R156" s="73" t="s">
        <v>1048</v>
      </c>
      <c r="S156" s="69">
        <v>943162</v>
      </c>
      <c r="T156" s="99" t="s">
        <v>1136</v>
      </c>
      <c r="U156" s="69" t="s">
        <v>1168</v>
      </c>
      <c r="V156" s="69" t="s">
        <v>55</v>
      </c>
      <c r="W156" s="70">
        <v>54</v>
      </c>
      <c r="X156" s="69" t="s">
        <v>53</v>
      </c>
      <c r="Y156" s="70">
        <v>58.5</v>
      </c>
      <c r="Z156" s="69" t="s">
        <v>61</v>
      </c>
      <c r="AA156" s="70">
        <v>40.5</v>
      </c>
      <c r="AB156" s="69">
        <v>7</v>
      </c>
      <c r="AC156" s="69" t="s">
        <v>73</v>
      </c>
      <c r="AD156" s="70">
        <v>36</v>
      </c>
      <c r="AE156" s="70">
        <f>IFERROR(factures[[#This Row],[Plvts ]]*factures[[#This Row],[Prix Analyses]],0)</f>
        <v>252</v>
      </c>
      <c r="AF156" s="70">
        <f>factures[[#This Row],[Prix Prestation Amiante 1]]+factures[[#This Row],[Prix Prestation Amiante 2]]+factures[[#This Row],[Prix Prestation Gaz]]+factures[[#This Row],[Prix analyses HT]]</f>
        <v>405</v>
      </c>
      <c r="AG156" s="69" t="s">
        <v>1308</v>
      </c>
      <c r="AH156" s="86" t="s">
        <v>1302</v>
      </c>
      <c r="AI156" s="69"/>
    </row>
    <row r="157" spans="1:35" ht="51.75" customHeight="1" x14ac:dyDescent="0.3">
      <c r="A157" s="92" t="s">
        <v>960</v>
      </c>
      <c r="B157" s="72">
        <v>94460</v>
      </c>
      <c r="C157" s="69" t="s">
        <v>100</v>
      </c>
      <c r="D157" s="69" t="s">
        <v>230</v>
      </c>
      <c r="E157" s="69">
        <v>102</v>
      </c>
      <c r="F157" s="69">
        <v>1</v>
      </c>
      <c r="G157" s="69">
        <v>3</v>
      </c>
      <c r="H157" s="69">
        <v>49152</v>
      </c>
      <c r="I157" s="69">
        <v>9124</v>
      </c>
      <c r="J157" s="98" t="s">
        <v>1130</v>
      </c>
      <c r="K157" s="69"/>
      <c r="L157" s="69" t="s">
        <v>961</v>
      </c>
      <c r="M157" s="71">
        <v>43592</v>
      </c>
      <c r="N157" s="69" t="s">
        <v>70</v>
      </c>
      <c r="O157" s="71">
        <v>43622</v>
      </c>
      <c r="P157" s="69" t="s">
        <v>131</v>
      </c>
      <c r="Q157" s="69" t="s">
        <v>69</v>
      </c>
      <c r="R157" s="73" t="s">
        <v>962</v>
      </c>
      <c r="S157" s="69">
        <v>948515</v>
      </c>
      <c r="T157" s="97" t="s">
        <v>1132</v>
      </c>
      <c r="U157" s="69" t="s">
        <v>1169</v>
      </c>
      <c r="V157" s="69" t="s">
        <v>53</v>
      </c>
      <c r="W157" s="70">
        <f>IFERROR(VLOOKUP(factures[[#This Row],[DT Prestation Amiante 1]],presta_amiante1[#Data],2,0),0)</f>
        <v>60.11</v>
      </c>
      <c r="X157" s="69"/>
      <c r="Y157" s="70">
        <f>IFERROR(VLOOKUP(factures[[#This Row],[DT Prestation Amiante 2]],presta_amiante2[#Data],2,0),0)</f>
        <v>0</v>
      </c>
      <c r="Z157" s="69"/>
      <c r="AA157" s="70">
        <f>IFERROR(VLOOKUP(factures[[#This Row],[DT Prestation Gaz]],presta_gaz[#Data],2,0),0)</f>
        <v>0</v>
      </c>
      <c r="AB157" s="69">
        <v>5</v>
      </c>
      <c r="AC157" s="69" t="s">
        <v>73</v>
      </c>
      <c r="AD157" s="70">
        <f>IFERROR(VLOOKUP(factures[[#This Row],[DT Analyses]],DT_analyses[#Data],2,0),0)</f>
        <v>36.99</v>
      </c>
      <c r="AE157" s="70">
        <f>IFERROR(factures[[#This Row],[Plvts ]]*factures[[#This Row],[Prix Analyses]],0)</f>
        <v>184.95000000000002</v>
      </c>
      <c r="AF157" s="70">
        <f>factures[[#This Row],[Prix Prestation Amiante 1]]+factures[[#This Row],[Prix Prestation Amiante 2]]+factures[[#This Row],[Prix Prestation Gaz]]+factures[[#This Row],[Prix analyses HT]]</f>
        <v>245.06</v>
      </c>
      <c r="AG157" s="69" t="s">
        <v>1242</v>
      </c>
      <c r="AH157" s="86" t="s">
        <v>1238</v>
      </c>
      <c r="AI157" s="69"/>
    </row>
    <row r="158" spans="1:35" ht="44.25" customHeight="1" x14ac:dyDescent="0.3">
      <c r="A158" s="92" t="s">
        <v>1123</v>
      </c>
      <c r="B158" s="72">
        <v>94000</v>
      </c>
      <c r="C158" s="69" t="s">
        <v>298</v>
      </c>
      <c r="D158" s="69" t="s">
        <v>1124</v>
      </c>
      <c r="E158" s="69">
        <v>201</v>
      </c>
      <c r="F158" s="69">
        <v>2</v>
      </c>
      <c r="G158" s="69">
        <v>3</v>
      </c>
      <c r="H158" s="69">
        <v>40301</v>
      </c>
      <c r="I158" s="69">
        <v>823</v>
      </c>
      <c r="J158" s="88" t="s">
        <v>592</v>
      </c>
      <c r="K158" s="69"/>
      <c r="L158" s="69" t="s">
        <v>1125</v>
      </c>
      <c r="M158" s="71">
        <v>43613</v>
      </c>
      <c r="N158" s="69" t="s">
        <v>70</v>
      </c>
      <c r="O158" s="71">
        <v>43622</v>
      </c>
      <c r="P158" s="69"/>
      <c r="Q158" s="69" t="s">
        <v>77</v>
      </c>
      <c r="R158" s="73" t="s">
        <v>1126</v>
      </c>
      <c r="S158" s="69">
        <v>945285</v>
      </c>
      <c r="T158" s="69"/>
      <c r="U158" s="69" t="s">
        <v>1170</v>
      </c>
      <c r="V158" s="69" t="s">
        <v>53</v>
      </c>
      <c r="W158" s="70">
        <v>50</v>
      </c>
      <c r="X158" s="69"/>
      <c r="Y158" s="70">
        <f>IFERROR(VLOOKUP(factures[[#This Row],[DT Prestation Amiante 2]],presta_amiante2[#Data],2,0),0)</f>
        <v>0</v>
      </c>
      <c r="Z158" s="69"/>
      <c r="AA158" s="70">
        <f>IFERROR(VLOOKUP(factures[[#This Row],[DT Prestation Gaz]],presta_gaz[#Data],2,0),0)</f>
        <v>0</v>
      </c>
      <c r="AB158" s="69">
        <v>1</v>
      </c>
      <c r="AC158" s="69" t="s">
        <v>73</v>
      </c>
      <c r="AD158" s="70">
        <v>40</v>
      </c>
      <c r="AE158" s="70">
        <f>IFERROR(factures[[#This Row],[Plvts ]]*factures[[#This Row],[Prix Analyses]],0)</f>
        <v>40</v>
      </c>
      <c r="AF158" s="70">
        <f>factures[[#This Row],[Prix Prestation Amiante 1]]+factures[[#This Row],[Prix Prestation Amiante 2]]+factures[[#This Row],[Prix Prestation Gaz]]+factures[[#This Row],[Prix analyses HT]]</f>
        <v>90</v>
      </c>
      <c r="AG158" s="69" t="s">
        <v>1321</v>
      </c>
      <c r="AH158" s="86" t="s">
        <v>1322</v>
      </c>
      <c r="AI158" s="69"/>
    </row>
    <row r="159" spans="1:35" ht="88.5" customHeight="1" x14ac:dyDescent="0.3">
      <c r="A159" s="69" t="s">
        <v>99</v>
      </c>
      <c r="B159" s="69">
        <v>94460</v>
      </c>
      <c r="C159" s="69" t="s">
        <v>100</v>
      </c>
      <c r="D159" s="69" t="s">
        <v>101</v>
      </c>
      <c r="E159" s="69">
        <v>1</v>
      </c>
      <c r="F159" s="69" t="s">
        <v>102</v>
      </c>
      <c r="G159" s="69">
        <v>4</v>
      </c>
      <c r="H159" s="69">
        <v>49029</v>
      </c>
      <c r="I159" s="69">
        <v>9124</v>
      </c>
      <c r="J159" s="69" t="s">
        <v>113</v>
      </c>
      <c r="K159" s="69"/>
      <c r="L159" s="69" t="s">
        <v>107</v>
      </c>
      <c r="M159" s="71">
        <v>43467</v>
      </c>
      <c r="N159" s="69" t="s">
        <v>72</v>
      </c>
      <c r="O159" s="71">
        <v>43468</v>
      </c>
      <c r="P159" s="69">
        <v>11</v>
      </c>
      <c r="Q159" s="69" t="s">
        <v>77</v>
      </c>
      <c r="R159" s="73"/>
      <c r="S159" s="69">
        <v>918674</v>
      </c>
      <c r="T159" s="69"/>
      <c r="U159" s="69"/>
      <c r="V159" s="69"/>
      <c r="W159" s="70">
        <f>IFERROR(VLOOKUP(factures[[#This Row],[DT Prestation Amiante 1]],presta_amiante1[#Data],2,0),0)</f>
        <v>0</v>
      </c>
      <c r="X159" s="69"/>
      <c r="Y159" s="70">
        <f>IFERROR(VLOOKUP(factures[[#This Row],[DT Prestation Amiante 2]],presta_amiante2[#Data],2,0),0)</f>
        <v>0</v>
      </c>
      <c r="Z159" s="69" t="s">
        <v>62</v>
      </c>
      <c r="AA159" s="70">
        <f>IFERROR(VLOOKUP(factures[[#This Row],[DT Prestation Gaz]],presta_gaz[#Data],2,0),0)</f>
        <v>49.01</v>
      </c>
      <c r="AB159" s="69"/>
      <c r="AC159" s="69"/>
      <c r="AD159" s="70">
        <f>IFERROR(VLOOKUP(factures[[#This Row],[DT Analyses]],DT_analyses[#Data],2,0),0)</f>
        <v>0</v>
      </c>
      <c r="AE159" s="70">
        <f>IFERROR(factures[[#This Row],[Plvts ]]*factures[[#This Row],[Prix Analyses]],0)</f>
        <v>0</v>
      </c>
      <c r="AF159" s="70">
        <f>factures[[#This Row],[Prix Prestation Amiante 1]]+factures[[#This Row],[Prix Prestation Amiante 2]]+factures[[#This Row],[Prix Prestation Gaz]]+factures[[#This Row],[Prix analyses HT]]</f>
        <v>49.01</v>
      </c>
      <c r="AG159" s="69" t="s">
        <v>138</v>
      </c>
      <c r="AH159" s="86" t="s">
        <v>139</v>
      </c>
      <c r="AI159" s="69"/>
    </row>
    <row r="160" spans="1:35" ht="46.5" customHeight="1" x14ac:dyDescent="0.3">
      <c r="A160" s="69" t="s">
        <v>218</v>
      </c>
      <c r="B160" s="69">
        <v>78500</v>
      </c>
      <c r="C160" s="69" t="s">
        <v>214</v>
      </c>
      <c r="D160" s="69" t="s">
        <v>219</v>
      </c>
      <c r="E160" s="69">
        <v>505</v>
      </c>
      <c r="F160" s="69">
        <v>5</v>
      </c>
      <c r="G160" s="69">
        <v>2</v>
      </c>
      <c r="H160" s="69">
        <v>36185</v>
      </c>
      <c r="I160" s="69">
        <v>588</v>
      </c>
      <c r="J160" s="69" t="s">
        <v>216</v>
      </c>
      <c r="K160" s="69"/>
      <c r="L160" s="69" t="s">
        <v>220</v>
      </c>
      <c r="M160" s="71">
        <v>43479</v>
      </c>
      <c r="N160" s="69" t="s">
        <v>72</v>
      </c>
      <c r="O160" s="71">
        <v>43482</v>
      </c>
      <c r="P160" s="69" t="s">
        <v>233</v>
      </c>
      <c r="Q160" s="69" t="s">
        <v>77</v>
      </c>
      <c r="R160" s="73"/>
      <c r="S160" s="69">
        <v>914638</v>
      </c>
      <c r="T160" s="69"/>
      <c r="U160" s="69"/>
      <c r="V160" s="69"/>
      <c r="W160" s="70">
        <f>IFERROR(VLOOKUP(factures[[#This Row],[DT Prestation Amiante 1]],presta_amiante1[#Data],2,0),0)</f>
        <v>0</v>
      </c>
      <c r="X160" s="69"/>
      <c r="Y160" s="70">
        <f>IFERROR(VLOOKUP(factures[[#This Row],[DT Prestation Amiante 2]],presta_amiante2[#Data],2,0),0)</f>
        <v>0</v>
      </c>
      <c r="Z160" s="69" t="s">
        <v>61</v>
      </c>
      <c r="AA160" s="70">
        <f>IFERROR(VLOOKUP(factures[[#This Row],[DT Prestation Gaz]],presta_gaz[#Data],2,0),0)</f>
        <v>41.62</v>
      </c>
      <c r="AB160" s="69"/>
      <c r="AC160" s="69"/>
      <c r="AD160" s="70">
        <f>IFERROR(VLOOKUP(factures[[#This Row],[DT Analyses]],DT_analyses[#Data],2,0),0)</f>
        <v>0</v>
      </c>
      <c r="AE160" s="70">
        <f>IFERROR(factures[[#This Row],[Plvts ]]*factures[[#This Row],[Prix Analyses]],0)</f>
        <v>0</v>
      </c>
      <c r="AF160" s="70">
        <f>factures[[#This Row],[Prix Prestation Amiante 1]]+factures[[#This Row],[Prix Prestation Amiante 2]]+factures[[#This Row],[Prix Prestation Gaz]]+factures[[#This Row],[Prix analyses HT]]</f>
        <v>41.62</v>
      </c>
      <c r="AG160" s="69" t="s">
        <v>280</v>
      </c>
      <c r="AH160" s="86" t="s">
        <v>272</v>
      </c>
      <c r="AI160" s="69"/>
    </row>
    <row r="161" spans="1:35" ht="42" customHeight="1" x14ac:dyDescent="0.3">
      <c r="A161" s="69" t="s">
        <v>229</v>
      </c>
      <c r="B161" s="69">
        <v>94460</v>
      </c>
      <c r="C161" s="69" t="s">
        <v>100</v>
      </c>
      <c r="D161" s="69" t="s">
        <v>230</v>
      </c>
      <c r="E161" s="69">
        <v>2</v>
      </c>
      <c r="F161" s="69" t="s">
        <v>102</v>
      </c>
      <c r="G161" s="69">
        <v>2</v>
      </c>
      <c r="H161" s="69">
        <v>49110</v>
      </c>
      <c r="I161" s="69">
        <v>9124</v>
      </c>
      <c r="J161" s="69" t="s">
        <v>231</v>
      </c>
      <c r="K161" s="69"/>
      <c r="L161" s="69" t="s">
        <v>232</v>
      </c>
      <c r="M161" s="71">
        <v>43480</v>
      </c>
      <c r="N161" s="69" t="s">
        <v>72</v>
      </c>
      <c r="O161" s="71">
        <v>43486</v>
      </c>
      <c r="P161" s="69" t="s">
        <v>131</v>
      </c>
      <c r="Q161" s="69" t="s">
        <v>77</v>
      </c>
      <c r="R161" s="73"/>
      <c r="S161" s="69">
        <v>920813</v>
      </c>
      <c r="T161" s="69"/>
      <c r="U161" s="69"/>
      <c r="V161" s="69"/>
      <c r="W161" s="70">
        <f>IFERROR(VLOOKUP(factures[[#This Row],[DT Prestation Amiante 1]],presta_amiante1[#Data],2,0),0)</f>
        <v>0</v>
      </c>
      <c r="X161" s="69"/>
      <c r="Y161" s="70">
        <f>IFERROR(VLOOKUP(factures[[#This Row],[DT Prestation Amiante 2]],presta_amiante2[#Data],2,0),0)</f>
        <v>0</v>
      </c>
      <c r="Z161" s="69" t="s">
        <v>61</v>
      </c>
      <c r="AA161" s="70">
        <f>IFERROR(VLOOKUP(factures[[#This Row],[DT Prestation Gaz]],presta_gaz[#Data],2,0),0)</f>
        <v>41.62</v>
      </c>
      <c r="AB161" s="69"/>
      <c r="AC161" s="69"/>
      <c r="AD161" s="70">
        <f>IFERROR(VLOOKUP(factures[[#This Row],[DT Analyses]],DT_analyses[#Data],2,0),0)</f>
        <v>0</v>
      </c>
      <c r="AE161" s="70">
        <f>IFERROR(factures[[#This Row],[Plvts ]]*factures[[#This Row],[Prix Analyses]],0)</f>
        <v>0</v>
      </c>
      <c r="AF161" s="70">
        <f>factures[[#This Row],[Prix Prestation Amiante 1]]+factures[[#This Row],[Prix Prestation Amiante 2]]+factures[[#This Row],[Prix Prestation Gaz]]+factures[[#This Row],[Prix analyses HT]]</f>
        <v>41.62</v>
      </c>
      <c r="AG161" s="69" t="s">
        <v>281</v>
      </c>
      <c r="AH161" s="86" t="s">
        <v>272</v>
      </c>
      <c r="AI161" s="69"/>
    </row>
    <row r="162" spans="1:35" ht="84" x14ac:dyDescent="0.3">
      <c r="A162" s="69" t="s">
        <v>264</v>
      </c>
      <c r="B162" s="69">
        <v>92500</v>
      </c>
      <c r="C162" s="69" t="s">
        <v>265</v>
      </c>
      <c r="D162" s="69" t="s">
        <v>266</v>
      </c>
      <c r="E162" s="69">
        <v>102</v>
      </c>
      <c r="F162" s="69">
        <v>1</v>
      </c>
      <c r="G162" s="69">
        <v>4</v>
      </c>
      <c r="H162" s="69">
        <v>62923</v>
      </c>
      <c r="I162" s="69">
        <v>9210</v>
      </c>
      <c r="J162" s="69" t="s">
        <v>282</v>
      </c>
      <c r="K162" s="69"/>
      <c r="L162" s="69" t="s">
        <v>267</v>
      </c>
      <c r="M162" s="71">
        <v>43493</v>
      </c>
      <c r="N162" s="69" t="s">
        <v>72</v>
      </c>
      <c r="O162" s="71">
        <v>43497</v>
      </c>
      <c r="P162" s="69" t="s">
        <v>131</v>
      </c>
      <c r="Q162" s="69" t="s">
        <v>77</v>
      </c>
      <c r="R162" s="73"/>
      <c r="S162" s="69">
        <v>923036</v>
      </c>
      <c r="T162" s="69"/>
      <c r="U162" s="69"/>
      <c r="V162" s="69"/>
      <c r="W162" s="70">
        <f>IFERROR(VLOOKUP(factures[[#This Row],[DT Prestation Amiante 1]],presta_amiante1[#Data],2,0),0)</f>
        <v>0</v>
      </c>
      <c r="X162" s="69"/>
      <c r="Y162" s="70">
        <f>IFERROR(VLOOKUP(factures[[#This Row],[DT Prestation Amiante 2]],presta_amiante2[#Data],2,0),0)</f>
        <v>0</v>
      </c>
      <c r="Z162" s="69" t="s">
        <v>62</v>
      </c>
      <c r="AA162" s="70">
        <f>IFERROR(VLOOKUP(factures[[#This Row],[DT Prestation Gaz]],presta_gaz[#Data],2,0),0)</f>
        <v>49.01</v>
      </c>
      <c r="AB162" s="69"/>
      <c r="AC162" s="69"/>
      <c r="AD162" s="70">
        <f>IFERROR(VLOOKUP(factures[[#This Row],[DT Analyses]],DT_analyses[#Data],2,0),0)</f>
        <v>0</v>
      </c>
      <c r="AE162" s="70">
        <f>IFERROR(factures[[#This Row],[Plvts ]]*factures[[#This Row],[Prix Analyses]],0)</f>
        <v>0</v>
      </c>
      <c r="AF162" s="70">
        <f>factures[[#This Row],[Prix Prestation Amiante 1]]+factures[[#This Row],[Prix Prestation Amiante 2]]+factures[[#This Row],[Prix Prestation Gaz]]+factures[[#This Row],[Prix analyses HT]]</f>
        <v>49.01</v>
      </c>
      <c r="AG162" s="69" t="s">
        <v>398</v>
      </c>
      <c r="AH162" s="86" t="s">
        <v>399</v>
      </c>
      <c r="AI162" s="69"/>
    </row>
    <row r="163" spans="1:35" ht="36" x14ac:dyDescent="0.3">
      <c r="A163" s="92" t="s">
        <v>309</v>
      </c>
      <c r="B163" s="69">
        <v>78440</v>
      </c>
      <c r="C163" s="69" t="s">
        <v>310</v>
      </c>
      <c r="D163" s="69" t="s">
        <v>311</v>
      </c>
      <c r="E163" s="69">
        <v>28</v>
      </c>
      <c r="F163" s="69"/>
      <c r="G163" s="69">
        <v>4</v>
      </c>
      <c r="H163" s="69">
        <v>64901</v>
      </c>
      <c r="I163" s="69">
        <v>5012</v>
      </c>
      <c r="J163" s="69" t="s">
        <v>312</v>
      </c>
      <c r="K163" s="69"/>
      <c r="L163" s="69" t="s">
        <v>313</v>
      </c>
      <c r="M163" s="71">
        <v>43501</v>
      </c>
      <c r="N163" s="69" t="s">
        <v>83</v>
      </c>
      <c r="O163" s="71"/>
      <c r="P163" s="69"/>
      <c r="Q163" s="69" t="s">
        <v>67</v>
      </c>
      <c r="R163" s="73" t="s">
        <v>314</v>
      </c>
      <c r="S163" s="69">
        <v>908112</v>
      </c>
      <c r="T163" s="69" t="s">
        <v>336</v>
      </c>
      <c r="U163" s="69"/>
      <c r="V163" s="69" t="s">
        <v>55</v>
      </c>
      <c r="W163" s="70">
        <f>IFERROR(VLOOKUP(factures[[#This Row],[DT Prestation Amiante 1]],presta_amiante1[#Data],2,0),0)</f>
        <v>55.49</v>
      </c>
      <c r="X163" s="69" t="s">
        <v>54</v>
      </c>
      <c r="Y163" s="70">
        <f>IFERROR(VLOOKUP(factures[[#This Row],[DT Prestation Amiante 2]],presta_amiante2[#Data],2,0),0)</f>
        <v>69.36</v>
      </c>
      <c r="Z163" s="69"/>
      <c r="AA163" s="70">
        <f>IFERROR(VLOOKUP(factures[[#This Row],[DT Prestation Gaz]],presta_gaz[#Data],2,0),0)</f>
        <v>0</v>
      </c>
      <c r="AB163" s="69"/>
      <c r="AC163" s="69" t="s">
        <v>73</v>
      </c>
      <c r="AD163" s="70">
        <f>IFERROR(VLOOKUP(factures[[#This Row],[DT Analyses]],DT_analyses[#Data],2,0),0)</f>
        <v>36.99</v>
      </c>
      <c r="AE163" s="70">
        <f>IFERROR(factures[[#This Row],[Plvts ]]*factures[[#This Row],[Prix Analyses]],0)</f>
        <v>0</v>
      </c>
      <c r="AF163" s="70">
        <f>factures[[#This Row],[Prix Prestation Amiante 1]]+factures[[#This Row],[Prix Prestation Amiante 2]]+factures[[#This Row],[Prix Prestation Gaz]]+factures[[#This Row],[Prix analyses HT]]</f>
        <v>124.85</v>
      </c>
      <c r="AG163" s="69"/>
      <c r="AH163" s="86"/>
      <c r="AI163" s="69"/>
    </row>
    <row r="164" spans="1:35" ht="36" x14ac:dyDescent="0.3">
      <c r="A164" s="92" t="s">
        <v>439</v>
      </c>
      <c r="B164" s="72">
        <v>92</v>
      </c>
      <c r="C164" s="69" t="s">
        <v>202</v>
      </c>
      <c r="D164" s="69" t="s">
        <v>440</v>
      </c>
      <c r="E164" s="69"/>
      <c r="F164" s="69"/>
      <c r="G164" s="69">
        <v>4</v>
      </c>
      <c r="H164" s="69"/>
      <c r="I164" s="69">
        <v>195</v>
      </c>
      <c r="J164" s="69" t="s">
        <v>2262</v>
      </c>
      <c r="K164" s="69"/>
      <c r="L164" s="69"/>
      <c r="M164" s="71"/>
      <c r="N164" s="69" t="s">
        <v>70</v>
      </c>
      <c r="O164" s="71"/>
      <c r="P164" s="69"/>
      <c r="Q164" s="69" t="s">
        <v>77</v>
      </c>
      <c r="R164" s="73" t="s">
        <v>423</v>
      </c>
      <c r="S164" s="69">
        <v>914869</v>
      </c>
      <c r="T164" s="69"/>
      <c r="U164" s="69"/>
      <c r="V164" s="69" t="s">
        <v>53</v>
      </c>
      <c r="W164" s="70">
        <f>IFERROR(VLOOKUP(factures[[#This Row],[DT Prestation Amiante 1]],presta_amiante1[#Data],2,0),0)</f>
        <v>60.11</v>
      </c>
      <c r="X164" s="69"/>
      <c r="Y164" s="70">
        <f>IFERROR(VLOOKUP(factures[[#This Row],[DT Prestation Amiante 2]],presta_amiante2[#Data],2,0),0)</f>
        <v>0</v>
      </c>
      <c r="Z164" s="69"/>
      <c r="AA164" s="70">
        <f>IFERROR(VLOOKUP(factures[[#This Row],[DT Prestation Gaz]],presta_gaz[#Data],2,0),0)</f>
        <v>0</v>
      </c>
      <c r="AB164" s="69"/>
      <c r="AC164" s="69" t="s">
        <v>73</v>
      </c>
      <c r="AD164" s="70">
        <f>IFERROR(VLOOKUP(factures[[#This Row],[DT Analyses]],DT_analyses[#Data],2,0),0)</f>
        <v>36.99</v>
      </c>
      <c r="AE164" s="70">
        <f>IFERROR(factures[[#This Row],[Plvts ]]*factures[[#This Row],[Prix Analyses]],0)</f>
        <v>0</v>
      </c>
      <c r="AF164" s="70">
        <f>factures[[#This Row],[Prix Prestation Amiante 1]]+factures[[#This Row],[Prix Prestation Amiante 2]]+factures[[#This Row],[Prix Prestation Gaz]]+factures[[#This Row],[Prix analyses HT]]</f>
        <v>60.11</v>
      </c>
      <c r="AG164" s="69" t="s">
        <v>709</v>
      </c>
      <c r="AH164" s="86" t="s">
        <v>704</v>
      </c>
      <c r="AI164" s="69"/>
    </row>
    <row r="165" spans="1:35" ht="36" x14ac:dyDescent="0.3">
      <c r="A165" s="92" t="s">
        <v>499</v>
      </c>
      <c r="B165" s="72">
        <v>92260</v>
      </c>
      <c r="C165" s="69" t="s">
        <v>500</v>
      </c>
      <c r="D165" s="69" t="s">
        <v>159</v>
      </c>
      <c r="E165" s="69">
        <v>2</v>
      </c>
      <c r="F165" s="69" t="s">
        <v>102</v>
      </c>
      <c r="G165" s="69">
        <v>5</v>
      </c>
      <c r="H165" s="69">
        <v>63261</v>
      </c>
      <c r="I165" s="69">
        <v>9216</v>
      </c>
      <c r="J165" s="83" t="s">
        <v>512</v>
      </c>
      <c r="K165" s="69"/>
      <c r="L165" s="69"/>
      <c r="M165" s="71">
        <v>43516</v>
      </c>
      <c r="N165" s="69" t="s">
        <v>71</v>
      </c>
      <c r="O165" s="71"/>
      <c r="P165" s="69"/>
      <c r="Q165" s="69" t="s">
        <v>67</v>
      </c>
      <c r="R165" s="73" t="s">
        <v>501</v>
      </c>
      <c r="S165" s="69">
        <v>928317</v>
      </c>
      <c r="T165" s="69"/>
      <c r="U165" s="69"/>
      <c r="V165" s="69" t="s">
        <v>54</v>
      </c>
      <c r="W165" s="70">
        <f>IFERROR(VLOOKUP(factures[[#This Row],[DT Prestation Amiante 1]],presta_amiante1[#Data],2,0),0)</f>
        <v>69.36</v>
      </c>
      <c r="X165" s="69"/>
      <c r="Y165" s="70">
        <f>IFERROR(VLOOKUP(factures[[#This Row],[DT Prestation Amiante 2]],presta_amiante2[#Data],2,0),0)</f>
        <v>0</v>
      </c>
      <c r="Z165" s="69" t="s">
        <v>62</v>
      </c>
      <c r="AA165" s="70">
        <f>IFERROR(VLOOKUP(factures[[#This Row],[DT Prestation Gaz]],presta_gaz[#Data],2,0),0)</f>
        <v>49.01</v>
      </c>
      <c r="AB165" s="69"/>
      <c r="AC165" s="69" t="s">
        <v>73</v>
      </c>
      <c r="AD165" s="70">
        <f>IFERROR(VLOOKUP(factures[[#This Row],[DT Analyses]],DT_analyses[#Data],2,0),0)</f>
        <v>36.99</v>
      </c>
      <c r="AE165" s="70">
        <f>IFERROR(factures[[#This Row],[Plvts ]]*factures[[#This Row],[Prix Analyses]],0)</f>
        <v>0</v>
      </c>
      <c r="AF165" s="70">
        <f>factures[[#This Row],[Prix Prestation Amiante 1]]+factures[[#This Row],[Prix Prestation Amiante 2]]+factures[[#This Row],[Prix Prestation Gaz]]+factures[[#This Row],[Prix analyses HT]]</f>
        <v>118.37</v>
      </c>
      <c r="AG165" s="69"/>
      <c r="AH165" s="86"/>
      <c r="AI165" s="69"/>
    </row>
    <row r="166" spans="1:35" ht="24" x14ac:dyDescent="0.3">
      <c r="A166" s="69" t="s">
        <v>510</v>
      </c>
      <c r="B166" s="72">
        <v>92500</v>
      </c>
      <c r="C166" s="69" t="s">
        <v>265</v>
      </c>
      <c r="D166" s="69" t="s">
        <v>266</v>
      </c>
      <c r="E166" s="69">
        <v>301</v>
      </c>
      <c r="F166" s="69">
        <v>3</v>
      </c>
      <c r="G166" s="69">
        <v>4</v>
      </c>
      <c r="H166" s="69">
        <v>62969</v>
      </c>
      <c r="I166" s="69">
        <v>9210</v>
      </c>
      <c r="J166" s="69" t="s">
        <v>547</v>
      </c>
      <c r="K166" s="69"/>
      <c r="L166" s="69" t="s">
        <v>511</v>
      </c>
      <c r="M166" s="71">
        <v>43516</v>
      </c>
      <c r="N166" s="69" t="s">
        <v>72</v>
      </c>
      <c r="O166" s="71">
        <v>43525</v>
      </c>
      <c r="P166" s="69"/>
      <c r="Q166" s="69" t="s">
        <v>77</v>
      </c>
      <c r="R166" s="73"/>
      <c r="S166" s="69">
        <v>928137</v>
      </c>
      <c r="T166" s="69"/>
      <c r="U166" s="69"/>
      <c r="V166" s="69"/>
      <c r="W166" s="70">
        <f>IFERROR(VLOOKUP(factures[[#This Row],[DT Prestation Amiante 1]],presta_amiante1[#Data],2,0),0)</f>
        <v>0</v>
      </c>
      <c r="X166" s="69"/>
      <c r="Y166" s="70">
        <f>IFERROR(VLOOKUP(factures[[#This Row],[DT Prestation Amiante 2]],presta_amiante2[#Data],2,0),0)</f>
        <v>0</v>
      </c>
      <c r="Z166" s="69" t="s">
        <v>62</v>
      </c>
      <c r="AA166" s="70">
        <f>IFERROR(VLOOKUP(factures[[#This Row],[DT Prestation Gaz]],presta_gaz[#Data],2,0),0)</f>
        <v>49.01</v>
      </c>
      <c r="AB166" s="69"/>
      <c r="AC166" s="69"/>
      <c r="AD166" s="70">
        <f>IFERROR(VLOOKUP(factures[[#This Row],[DT Analyses]],DT_analyses[#Data],2,0),0)</f>
        <v>0</v>
      </c>
      <c r="AE166" s="70">
        <f>IFERROR(factures[[#This Row],[Plvts ]]*factures[[#This Row],[Prix Analyses]],0)</f>
        <v>0</v>
      </c>
      <c r="AF166" s="70">
        <f>factures[[#This Row],[Prix Prestation Amiante 1]]+factures[[#This Row],[Prix Prestation Amiante 2]]+factures[[#This Row],[Prix Prestation Gaz]]+factures[[#This Row],[Prix analyses HT]]</f>
        <v>49.01</v>
      </c>
      <c r="AG166" s="69" t="s">
        <v>637</v>
      </c>
      <c r="AH166" s="86" t="s">
        <v>635</v>
      </c>
      <c r="AI166" s="69"/>
    </row>
    <row r="167" spans="1:35" ht="48" x14ac:dyDescent="0.3">
      <c r="A167" s="69" t="s">
        <v>548</v>
      </c>
      <c r="B167" s="72">
        <v>92600</v>
      </c>
      <c r="C167" s="69" t="s">
        <v>609</v>
      </c>
      <c r="D167" s="69" t="s">
        <v>549</v>
      </c>
      <c r="E167" s="69">
        <v>103</v>
      </c>
      <c r="F167" s="69">
        <v>1</v>
      </c>
      <c r="G167" s="69">
        <v>3</v>
      </c>
      <c r="H167" s="69">
        <v>31349</v>
      </c>
      <c r="I167" s="69">
        <v>440</v>
      </c>
      <c r="J167" s="69" t="s">
        <v>621</v>
      </c>
      <c r="K167" s="69" t="s">
        <v>109</v>
      </c>
      <c r="L167" s="69" t="s">
        <v>550</v>
      </c>
      <c r="M167" s="71">
        <v>43524</v>
      </c>
      <c r="N167" s="69"/>
      <c r="O167" s="71">
        <v>43544</v>
      </c>
      <c r="P167" s="69" t="s">
        <v>171</v>
      </c>
      <c r="Q167" s="69" t="s">
        <v>77</v>
      </c>
      <c r="R167" s="73" t="s">
        <v>551</v>
      </c>
      <c r="S167" s="69">
        <v>929728</v>
      </c>
      <c r="T167" s="69" t="s">
        <v>659</v>
      </c>
      <c r="U167" s="69"/>
      <c r="V167" s="69" t="s">
        <v>93</v>
      </c>
      <c r="W167" s="70">
        <f>IFERROR(VLOOKUP(factures[[#This Row],[DT Prestation Amiante 1]],presta_amiante1[#Data],2,0),0)</f>
        <v>80.459999999999994</v>
      </c>
      <c r="X167" s="69"/>
      <c r="Y167" s="70">
        <f>IFERROR(VLOOKUP(factures[[#This Row],[DT Prestation Amiante 2]],presta_amiante2[#Data],2,0),0)</f>
        <v>0</v>
      </c>
      <c r="Z167" s="69"/>
      <c r="AA167" s="70">
        <f>IFERROR(VLOOKUP(factures[[#This Row],[DT Prestation Gaz]],presta_gaz[#Data],2,0),0)</f>
        <v>0</v>
      </c>
      <c r="AB167" s="69"/>
      <c r="AC167" s="69"/>
      <c r="AD167" s="70">
        <f>IFERROR(VLOOKUP(factures[[#This Row],[DT Analyses]],DT_analyses[#Data],2,0),0)</f>
        <v>0</v>
      </c>
      <c r="AE167" s="70">
        <f>IFERROR(factures[[#This Row],[Plvts ]]*factures[[#This Row],[Prix Analyses]],0)</f>
        <v>0</v>
      </c>
      <c r="AF167" s="70">
        <f>factures[[#This Row],[Prix Prestation Amiante 1]]+factures[[#This Row],[Prix Prestation Amiante 2]]+factures[[#This Row],[Prix Prestation Gaz]]+factures[[#This Row],[Prix analyses HT]]</f>
        <v>80.459999999999994</v>
      </c>
      <c r="AG167" s="69" t="s">
        <v>720</v>
      </c>
      <c r="AH167" s="86" t="s">
        <v>721</v>
      </c>
      <c r="AI167" s="69"/>
    </row>
    <row r="168" spans="1:35" ht="48" x14ac:dyDescent="0.3">
      <c r="A168" s="69" t="s">
        <v>315</v>
      </c>
      <c r="B168" s="72">
        <v>78200</v>
      </c>
      <c r="C168" s="69" t="s">
        <v>189</v>
      </c>
      <c r="D168" s="69" t="s">
        <v>316</v>
      </c>
      <c r="E168" s="69">
        <v>1602</v>
      </c>
      <c r="F168" s="69">
        <v>16</v>
      </c>
      <c r="G168" s="69">
        <v>2</v>
      </c>
      <c r="H168" s="69">
        <v>43553</v>
      </c>
      <c r="I168" s="69">
        <v>862</v>
      </c>
      <c r="J168" s="90" t="s">
        <v>317</v>
      </c>
      <c r="K168" s="69"/>
      <c r="L168" s="69" t="s">
        <v>750</v>
      </c>
      <c r="M168" s="71">
        <v>43560</v>
      </c>
      <c r="N168" s="69" t="s">
        <v>72</v>
      </c>
      <c r="O168" s="71">
        <v>43565</v>
      </c>
      <c r="P168" s="69" t="s">
        <v>131</v>
      </c>
      <c r="Q168" s="69" t="s">
        <v>67</v>
      </c>
      <c r="R168" s="73"/>
      <c r="S168" s="69">
        <v>936616</v>
      </c>
      <c r="T168" s="69"/>
      <c r="U168" s="69"/>
      <c r="V168" s="69"/>
      <c r="W168" s="70">
        <f>IFERROR(VLOOKUP(factures[[#This Row],[DT Prestation Amiante 1]],presta_amiante1[#Data],2,0),0)</f>
        <v>0</v>
      </c>
      <c r="X168" s="69"/>
      <c r="Y168" s="70">
        <f>IFERROR(VLOOKUP(factures[[#This Row],[DT Prestation Amiante 2]],presta_amiante2[#Data],2,0),0)</f>
        <v>0</v>
      </c>
      <c r="Z168" s="69" t="s">
        <v>61</v>
      </c>
      <c r="AA168" s="70">
        <f>IFERROR(VLOOKUP(factures[[#This Row],[DT Prestation Gaz]],presta_gaz[#Data],2,0),0)</f>
        <v>41.62</v>
      </c>
      <c r="AB168" s="69"/>
      <c r="AC168" s="69"/>
      <c r="AD168" s="70">
        <f>IFERROR(VLOOKUP(factures[[#This Row],[DT Analyses]],DT_analyses[#Data],2,0),0)</f>
        <v>0</v>
      </c>
      <c r="AE168" s="70">
        <f>IFERROR(factures[[#This Row],[Plvts ]]*factures[[#This Row],[Prix Analyses]],0)</f>
        <v>0</v>
      </c>
      <c r="AF168" s="70">
        <f>factures[[#This Row],[Prix Prestation Amiante 1]]+factures[[#This Row],[Prix Prestation Amiante 2]]+factures[[#This Row],[Prix Prestation Gaz]]+factures[[#This Row],[Prix analyses HT]]</f>
        <v>41.62</v>
      </c>
      <c r="AG168" s="69"/>
      <c r="AH168" s="86"/>
      <c r="AI168" s="69"/>
    </row>
    <row r="169" spans="1:35" ht="48" x14ac:dyDescent="0.3">
      <c r="A169" s="69" t="s">
        <v>666</v>
      </c>
      <c r="B169" s="72">
        <v>78200</v>
      </c>
      <c r="C169" s="69" t="s">
        <v>189</v>
      </c>
      <c r="D169" s="69" t="s">
        <v>190</v>
      </c>
      <c r="E169" s="69">
        <v>2</v>
      </c>
      <c r="F169" s="69" t="s">
        <v>102</v>
      </c>
      <c r="G169" s="69">
        <v>4</v>
      </c>
      <c r="H169" s="69">
        <v>10945</v>
      </c>
      <c r="I169" s="69">
        <v>161</v>
      </c>
      <c r="J169" s="90" t="s">
        <v>191</v>
      </c>
      <c r="K169" s="69"/>
      <c r="L169" s="69" t="s">
        <v>667</v>
      </c>
      <c r="M169" s="71">
        <v>43538</v>
      </c>
      <c r="N169" s="69" t="s">
        <v>72</v>
      </c>
      <c r="O169" s="71">
        <v>43543</v>
      </c>
      <c r="P169" s="69"/>
      <c r="Q169" s="69" t="s">
        <v>67</v>
      </c>
      <c r="R169" s="95" t="s">
        <v>1024</v>
      </c>
      <c r="S169" s="69">
        <v>936798</v>
      </c>
      <c r="T169" s="69"/>
      <c r="U169" s="69"/>
      <c r="V169" s="69"/>
      <c r="W169" s="70">
        <f>IFERROR(VLOOKUP(factures[[#This Row],[DT Prestation Amiante 1]],presta_amiante1[#Data],2,0),0)</f>
        <v>0</v>
      </c>
      <c r="X169" s="69"/>
      <c r="Y169" s="70">
        <f>IFERROR(VLOOKUP(factures[[#This Row],[DT Prestation Amiante 2]],presta_amiante2[#Data],2,0),0)</f>
        <v>0</v>
      </c>
      <c r="Z169" s="69" t="s">
        <v>62</v>
      </c>
      <c r="AA169" s="70">
        <f>IFERROR(VLOOKUP(factures[[#This Row],[DT Prestation Gaz]],presta_gaz[#Data],2,0),0)</f>
        <v>49.01</v>
      </c>
      <c r="AB169" s="69"/>
      <c r="AC169" s="69"/>
      <c r="AD169" s="70">
        <f>IFERROR(VLOOKUP(factures[[#This Row],[DT Analyses]],DT_analyses[#Data],2,0),0)</f>
        <v>0</v>
      </c>
      <c r="AE169" s="70">
        <f>IFERROR(factures[[#This Row],[Plvts ]]*factures[[#This Row],[Prix Analyses]],0)</f>
        <v>0</v>
      </c>
      <c r="AF169" s="70">
        <f>factures[[#This Row],[Prix Prestation Amiante 1]]+factures[[#This Row],[Prix Prestation Amiante 2]]+factures[[#This Row],[Prix Prestation Gaz]]+factures[[#This Row],[Prix analyses HT]]</f>
        <v>49.01</v>
      </c>
      <c r="AG169" s="69" t="s">
        <v>776</v>
      </c>
      <c r="AH169" s="86" t="s">
        <v>773</v>
      </c>
      <c r="AI169" s="69"/>
    </row>
    <row r="170" spans="1:35" ht="48" x14ac:dyDescent="0.3">
      <c r="A170" s="69" t="s">
        <v>666</v>
      </c>
      <c r="B170" s="72">
        <v>78200</v>
      </c>
      <c r="C170" s="69" t="s">
        <v>812</v>
      </c>
      <c r="D170" s="69" t="s">
        <v>190</v>
      </c>
      <c r="E170" s="69">
        <v>2</v>
      </c>
      <c r="F170" s="69" t="s">
        <v>816</v>
      </c>
      <c r="G170" s="69">
        <v>4</v>
      </c>
      <c r="H170" s="69">
        <v>10945</v>
      </c>
      <c r="I170" s="69"/>
      <c r="J170" s="90" t="s">
        <v>191</v>
      </c>
      <c r="K170" s="69"/>
      <c r="L170" s="69" t="s">
        <v>667</v>
      </c>
      <c r="M170" s="71">
        <v>43565</v>
      </c>
      <c r="N170" s="69" t="s">
        <v>72</v>
      </c>
      <c r="O170" s="71"/>
      <c r="P170" s="69"/>
      <c r="Q170" s="92" t="s">
        <v>77</v>
      </c>
      <c r="R170" s="73"/>
      <c r="S170" s="69">
        <v>937334</v>
      </c>
      <c r="T170" s="69"/>
      <c r="U170" s="69"/>
      <c r="V170" s="69"/>
      <c r="W170" s="70">
        <f>IFERROR(VLOOKUP(factures[[#This Row],[DT Prestation Amiante 1]],presta_amiante1[#Data],2,0),0)</f>
        <v>0</v>
      </c>
      <c r="X170" s="69"/>
      <c r="Y170" s="70">
        <f>IFERROR(VLOOKUP(factures[[#This Row],[DT Prestation Amiante 2]],presta_amiante2[#Data],2,0),0)</f>
        <v>0</v>
      </c>
      <c r="Z170" s="69" t="s">
        <v>62</v>
      </c>
      <c r="AA170" s="70">
        <f>IFERROR(VLOOKUP(factures[[#This Row],[DT Prestation Gaz]],presta_gaz[#Data],2,0),0)</f>
        <v>49.01</v>
      </c>
      <c r="AB170" s="69"/>
      <c r="AC170" s="69"/>
      <c r="AD170" s="70">
        <f>IFERROR(VLOOKUP(factures[[#This Row],[DT Analyses]],DT_analyses[#Data],2,0),0)</f>
        <v>0</v>
      </c>
      <c r="AE170" s="70">
        <f>IFERROR(factures[[#This Row],[Plvts ]]*factures[[#This Row],[Prix Analyses]],0)</f>
        <v>0</v>
      </c>
      <c r="AF170" s="70">
        <f>factures[[#This Row],[Prix Prestation Amiante 1]]+factures[[#This Row],[Prix Prestation Amiante 2]]+factures[[#This Row],[Prix Prestation Gaz]]+factures[[#This Row],[Prix analyses HT]]</f>
        <v>49.01</v>
      </c>
      <c r="AG170" s="69" t="s">
        <v>820</v>
      </c>
      <c r="AH170" s="86" t="s">
        <v>818</v>
      </c>
      <c r="AI170" s="69"/>
    </row>
    <row r="171" spans="1:35" ht="48" x14ac:dyDescent="0.3">
      <c r="A171" s="92" t="s">
        <v>891</v>
      </c>
      <c r="B171" s="72">
        <v>94120</v>
      </c>
      <c r="C171" s="69" t="s">
        <v>896</v>
      </c>
      <c r="D171" s="69" t="s">
        <v>892</v>
      </c>
      <c r="E171" s="69">
        <v>503</v>
      </c>
      <c r="F171" s="69">
        <v>5</v>
      </c>
      <c r="G171" s="69">
        <v>3</v>
      </c>
      <c r="H171" s="69">
        <v>33681</v>
      </c>
      <c r="I171" s="69">
        <v>520</v>
      </c>
      <c r="J171" s="69" t="s">
        <v>253</v>
      </c>
      <c r="K171" s="69"/>
      <c r="L171" s="69" t="s">
        <v>893</v>
      </c>
      <c r="M171" s="71">
        <v>43584</v>
      </c>
      <c r="N171" s="69" t="s">
        <v>71</v>
      </c>
      <c r="O171" s="71"/>
      <c r="P171" s="69"/>
      <c r="Q171" s="69" t="s">
        <v>67</v>
      </c>
      <c r="R171" s="73" t="s">
        <v>894</v>
      </c>
      <c r="S171" s="69">
        <v>940298</v>
      </c>
      <c r="T171" s="69"/>
      <c r="U171" s="69"/>
      <c r="V171" s="69" t="s">
        <v>53</v>
      </c>
      <c r="W171" s="70">
        <f>IFERROR(VLOOKUP(factures[[#This Row],[DT Prestation Amiante 1]],presta_amiante1[#Data],2,0),0)</f>
        <v>60.11</v>
      </c>
      <c r="X171" s="69"/>
      <c r="Y171" s="70">
        <f>IFERROR(VLOOKUP(factures[[#This Row],[DT Prestation Amiante 2]],presta_amiante2[#Data],2,0),0)</f>
        <v>0</v>
      </c>
      <c r="Z171" s="69" t="s">
        <v>61</v>
      </c>
      <c r="AA171" s="70">
        <f>IFERROR(VLOOKUP(factures[[#This Row],[DT Prestation Gaz]],presta_gaz[#Data],2,0),0)</f>
        <v>41.62</v>
      </c>
      <c r="AB171" s="69"/>
      <c r="AC171" s="69" t="s">
        <v>73</v>
      </c>
      <c r="AD171" s="70">
        <f>IFERROR(VLOOKUP(factures[[#This Row],[DT Analyses]],DT_analyses[#Data],2,0),0)</f>
        <v>36.99</v>
      </c>
      <c r="AE171" s="70">
        <f>IFERROR(factures[[#This Row],[Plvts ]]*factures[[#This Row],[Prix Analyses]],0)</f>
        <v>0</v>
      </c>
      <c r="AF171" s="70">
        <f>factures[[#This Row],[Prix Prestation Amiante 1]]+factures[[#This Row],[Prix Prestation Amiante 2]]+factures[[#This Row],[Prix Prestation Gaz]]+factures[[#This Row],[Prix analyses HT]]</f>
        <v>101.72999999999999</v>
      </c>
      <c r="AG171" s="69"/>
      <c r="AH171" s="86"/>
      <c r="AI171" s="69"/>
    </row>
    <row r="172" spans="1:35" ht="48" x14ac:dyDescent="0.3">
      <c r="A172" s="92" t="s">
        <v>218</v>
      </c>
      <c r="B172" s="72">
        <v>78500</v>
      </c>
      <c r="C172" s="69" t="s">
        <v>214</v>
      </c>
      <c r="D172" s="69" t="s">
        <v>215</v>
      </c>
      <c r="E172" s="69">
        <v>605</v>
      </c>
      <c r="F172" s="69">
        <v>6</v>
      </c>
      <c r="G172" s="69">
        <v>2</v>
      </c>
      <c r="H172" s="69">
        <v>36192</v>
      </c>
      <c r="I172" s="69">
        <v>588</v>
      </c>
      <c r="J172" s="69" t="s">
        <v>216</v>
      </c>
      <c r="K172" s="69"/>
      <c r="L172" s="69" t="s">
        <v>985</v>
      </c>
      <c r="M172" s="71">
        <v>43594</v>
      </c>
      <c r="N172" s="69" t="s">
        <v>84</v>
      </c>
      <c r="O172" s="71"/>
      <c r="P172" s="69"/>
      <c r="Q172" s="69" t="s">
        <v>67</v>
      </c>
      <c r="R172" s="73" t="s">
        <v>986</v>
      </c>
      <c r="S172" s="69">
        <v>941882</v>
      </c>
      <c r="T172" s="91" t="s">
        <v>67</v>
      </c>
      <c r="U172" s="69"/>
      <c r="V172" s="69" t="s">
        <v>55</v>
      </c>
      <c r="W172" s="70">
        <f>IFERROR(VLOOKUP(factures[[#This Row],[DT Prestation Amiante 1]],presta_amiante1[#Data],2,0),0)</f>
        <v>55.49</v>
      </c>
      <c r="X172" s="69" t="s">
        <v>53</v>
      </c>
      <c r="Y172" s="70">
        <f>IFERROR(VLOOKUP(factures[[#This Row],[DT Prestation Amiante 2]],presta_amiante2[#Data],2,0),0)</f>
        <v>60.11</v>
      </c>
      <c r="Z172" s="69" t="s">
        <v>61</v>
      </c>
      <c r="AA172" s="70">
        <f>IFERROR(VLOOKUP(factures[[#This Row],[DT Prestation Gaz]],presta_gaz[#Data],2,0),0)</f>
        <v>41.62</v>
      </c>
      <c r="AB172" s="69"/>
      <c r="AC172" s="69" t="s">
        <v>73</v>
      </c>
      <c r="AD172" s="70">
        <f>IFERROR(VLOOKUP(factures[[#This Row],[DT Analyses]],DT_analyses[#Data],2,0),0)</f>
        <v>36.99</v>
      </c>
      <c r="AE172" s="70">
        <f>IFERROR(factures[[#This Row],[Plvts ]]*factures[[#This Row],[Prix Analyses]],0)</f>
        <v>0</v>
      </c>
      <c r="AF172" s="70">
        <f>factures[[#This Row],[Prix Prestation Amiante 1]]+factures[[#This Row],[Prix Prestation Amiante 2]]+factures[[#This Row],[Prix Prestation Gaz]]+factures[[#This Row],[Prix analyses HT]]</f>
        <v>157.22</v>
      </c>
      <c r="AG172" s="69"/>
      <c r="AH172" s="86"/>
      <c r="AI172" s="69"/>
    </row>
    <row r="173" spans="1:35" ht="36" x14ac:dyDescent="0.3">
      <c r="A173" s="92" t="s">
        <v>1073</v>
      </c>
      <c r="B173" s="72">
        <v>78117</v>
      </c>
      <c r="C173" s="69" t="s">
        <v>1037</v>
      </c>
      <c r="D173" s="69" t="s">
        <v>1038</v>
      </c>
      <c r="E173" s="69">
        <v>1</v>
      </c>
      <c r="F173" s="69" t="s">
        <v>524</v>
      </c>
      <c r="G173" s="69">
        <v>4</v>
      </c>
      <c r="H173" s="69">
        <v>38477</v>
      </c>
      <c r="I173" s="69">
        <v>762</v>
      </c>
      <c r="J173" s="69" t="s">
        <v>1045</v>
      </c>
      <c r="K173" s="69"/>
      <c r="L173" s="69" t="s">
        <v>1074</v>
      </c>
      <c r="M173" s="71">
        <v>43606</v>
      </c>
      <c r="N173" s="69" t="s">
        <v>83</v>
      </c>
      <c r="O173" s="71">
        <v>43650</v>
      </c>
      <c r="P173" s="69" t="s">
        <v>131</v>
      </c>
      <c r="Q173" s="69" t="s">
        <v>77</v>
      </c>
      <c r="R173" s="73" t="s">
        <v>1075</v>
      </c>
      <c r="S173" s="69">
        <v>943685</v>
      </c>
      <c r="T173" s="97" t="s">
        <v>1272</v>
      </c>
      <c r="U173" s="69" t="s">
        <v>1379</v>
      </c>
      <c r="V173" s="69" t="s">
        <v>55</v>
      </c>
      <c r="W173" s="70">
        <f>IFERROR(VLOOKUP(factures[[#This Row],[DT Prestation Amiante 1]],presta_amiante1[#Data],2,0),0)</f>
        <v>55.49</v>
      </c>
      <c r="X173" s="69" t="s">
        <v>54</v>
      </c>
      <c r="Y173" s="70">
        <f>IFERROR(VLOOKUP(factures[[#This Row],[DT Prestation Amiante 2]],presta_amiante2[#Data],2,0),0)</f>
        <v>69.36</v>
      </c>
      <c r="Z173" s="69" t="s">
        <v>62</v>
      </c>
      <c r="AA173" s="70">
        <f>IFERROR(VLOOKUP(factures[[#This Row],[DT Prestation Gaz]],presta_gaz[#Data],2,0),0)</f>
        <v>49.01</v>
      </c>
      <c r="AB173" s="69">
        <v>5</v>
      </c>
      <c r="AC173" s="69" t="s">
        <v>73</v>
      </c>
      <c r="AD173" s="70">
        <f>IFERROR(VLOOKUP(factures[[#This Row],[DT Analyses]],DT_analyses[#Data],2,0),0)</f>
        <v>36.99</v>
      </c>
      <c r="AE173" s="70">
        <f>IFERROR(factures[[#This Row],[Plvts ]]*factures[[#This Row],[Prix Analyses]],0)</f>
        <v>184.95000000000002</v>
      </c>
      <c r="AF173" s="70">
        <f>factures[[#This Row],[Prix Prestation Amiante 1]]+factures[[#This Row],[Prix Prestation Amiante 2]]+factures[[#This Row],[Prix Prestation Gaz]]+factures[[#This Row],[Prix analyses HT]]</f>
        <v>358.81</v>
      </c>
      <c r="AG173" s="69" t="s">
        <v>1975</v>
      </c>
      <c r="AH173" s="86" t="s">
        <v>1959</v>
      </c>
      <c r="AI173" s="69"/>
    </row>
    <row r="174" spans="1:35" ht="40.799999999999997" x14ac:dyDescent="0.3">
      <c r="A174" s="92" t="s">
        <v>1081</v>
      </c>
      <c r="B174" s="72">
        <v>78260</v>
      </c>
      <c r="C174" s="69" t="s">
        <v>1082</v>
      </c>
      <c r="D174" s="69" t="s">
        <v>1083</v>
      </c>
      <c r="E174" s="69" t="s">
        <v>1084</v>
      </c>
      <c r="F174" s="69">
        <v>2</v>
      </c>
      <c r="G174" s="69">
        <v>3</v>
      </c>
      <c r="H174" s="69">
        <v>62246</v>
      </c>
      <c r="I174" s="69">
        <v>108</v>
      </c>
      <c r="J174" s="69" t="s">
        <v>470</v>
      </c>
      <c r="K174" s="69"/>
      <c r="L174" s="69" t="s">
        <v>1085</v>
      </c>
      <c r="M174" s="71">
        <v>43606</v>
      </c>
      <c r="N174" s="69" t="s">
        <v>84</v>
      </c>
      <c r="O174" s="71">
        <v>43630</v>
      </c>
      <c r="P174" s="69" t="s">
        <v>337</v>
      </c>
      <c r="Q174" s="69" t="s">
        <v>77</v>
      </c>
      <c r="R174" s="73" t="s">
        <v>1205</v>
      </c>
      <c r="S174" s="69">
        <v>943889</v>
      </c>
      <c r="T174" s="69" t="s">
        <v>1135</v>
      </c>
      <c r="U174" s="69" t="s">
        <v>1207</v>
      </c>
      <c r="V174" s="69" t="s">
        <v>55</v>
      </c>
      <c r="W174" s="70">
        <f>IFERROR(VLOOKUP(factures[[#This Row],[DT Prestation Amiante 1]],presta_amiante1[#Data],2,0),0)</f>
        <v>55.49</v>
      </c>
      <c r="X174" s="69" t="s">
        <v>53</v>
      </c>
      <c r="Y174" s="70">
        <f>IFERROR(VLOOKUP(factures[[#This Row],[DT Prestation Amiante 2]],presta_amiante2[#Data],2,0),0)</f>
        <v>60.11</v>
      </c>
      <c r="Z174" s="69" t="s">
        <v>61</v>
      </c>
      <c r="AA174" s="70">
        <v>41.46</v>
      </c>
      <c r="AB174" s="69">
        <v>13</v>
      </c>
      <c r="AC174" s="69" t="s">
        <v>73</v>
      </c>
      <c r="AD174" s="70">
        <v>36.85</v>
      </c>
      <c r="AE174" s="70">
        <f>IFERROR(factures[[#This Row],[Plvts ]]*factures[[#This Row],[Prix Analyses]],0)</f>
        <v>479.05</v>
      </c>
      <c r="AF174" s="70">
        <f>factures[[#This Row],[Prix Prestation Amiante 1]]+factures[[#This Row],[Prix Prestation Amiante 2]]+factures[[#This Row],[Prix Prestation Gaz]]+factures[[#This Row],[Prix analyses HT]]</f>
        <v>636.11</v>
      </c>
      <c r="AG174" s="69" t="s">
        <v>1309</v>
      </c>
      <c r="AH174" s="86" t="s">
        <v>1302</v>
      </c>
      <c r="AI174" s="69"/>
    </row>
    <row r="175" spans="1:35" ht="36" x14ac:dyDescent="0.3">
      <c r="A175" s="92" t="s">
        <v>1159</v>
      </c>
      <c r="B175" s="72">
        <v>78190</v>
      </c>
      <c r="C175" s="69" t="s">
        <v>754</v>
      </c>
      <c r="D175" s="69" t="s">
        <v>1160</v>
      </c>
      <c r="E175" s="69">
        <v>1</v>
      </c>
      <c r="F175" s="69" t="s">
        <v>816</v>
      </c>
      <c r="G175" s="69">
        <v>3</v>
      </c>
      <c r="H175" s="69">
        <v>22216</v>
      </c>
      <c r="I175" s="69">
        <v>314</v>
      </c>
      <c r="J175" s="79" t="s">
        <v>1046</v>
      </c>
      <c r="K175" s="69"/>
      <c r="L175" s="69" t="s">
        <v>1162</v>
      </c>
      <c r="M175" s="71">
        <v>43620</v>
      </c>
      <c r="N175" s="69" t="s">
        <v>70</v>
      </c>
      <c r="O175" s="71">
        <v>43629</v>
      </c>
      <c r="P175" s="69" t="s">
        <v>1194</v>
      </c>
      <c r="Q175" s="69" t="s">
        <v>77</v>
      </c>
      <c r="R175" s="73" t="s">
        <v>1191</v>
      </c>
      <c r="S175" s="69">
        <v>946382</v>
      </c>
      <c r="T175" s="69"/>
      <c r="U175" s="69" t="s">
        <v>1199</v>
      </c>
      <c r="V175" s="69" t="s">
        <v>53</v>
      </c>
      <c r="W175" s="70">
        <f>IFERROR(VLOOKUP(factures[[#This Row],[DT Prestation Amiante 1]],presta_amiante1[#Data],2,0),0)</f>
        <v>60.11</v>
      </c>
      <c r="X175" s="69" t="s">
        <v>55</v>
      </c>
      <c r="Y175" s="70">
        <f>IFERROR(VLOOKUP(factures[[#This Row],[DT Prestation Amiante 2]],presta_amiante2[#Data],2,0),0)</f>
        <v>55.49</v>
      </c>
      <c r="Z175" s="69"/>
      <c r="AA175" s="70">
        <f>IFERROR(VLOOKUP(factures[[#This Row],[DT Prestation Gaz]],presta_gaz[#Data],2,0),0)</f>
        <v>0</v>
      </c>
      <c r="AB175" s="69">
        <v>7</v>
      </c>
      <c r="AC175" s="69" t="s">
        <v>73</v>
      </c>
      <c r="AD175" s="70">
        <f>IFERROR(VLOOKUP(factures[[#This Row],[DT Analyses]],DT_analyses[#Data],2,0),0)</f>
        <v>36.99</v>
      </c>
      <c r="AE175" s="70">
        <f>IFERROR(factures[[#This Row],[Plvts ]]*factures[[#This Row],[Prix Analyses]],0)</f>
        <v>258.93</v>
      </c>
      <c r="AF175" s="70">
        <f>factures[[#This Row],[Prix Prestation Amiante 1]]+factures[[#This Row],[Prix Prestation Amiante 2]]+factures[[#This Row],[Prix Prestation Gaz]]+factures[[#This Row],[Prix analyses HT]]</f>
        <v>374.53</v>
      </c>
      <c r="AG175" s="69" t="s">
        <v>1310</v>
      </c>
      <c r="AH175" s="86" t="s">
        <v>1302</v>
      </c>
      <c r="AI175" s="69"/>
    </row>
    <row r="176" spans="1:35" ht="36" x14ac:dyDescent="0.3">
      <c r="A176" s="92" t="s">
        <v>1161</v>
      </c>
      <c r="B176" s="72">
        <v>78190</v>
      </c>
      <c r="C176" s="69" t="s">
        <v>754</v>
      </c>
      <c r="D176" s="69" t="s">
        <v>1160</v>
      </c>
      <c r="E176" s="69">
        <v>302</v>
      </c>
      <c r="F176" s="69">
        <v>3</v>
      </c>
      <c r="G176" s="69">
        <v>3</v>
      </c>
      <c r="H176" s="69">
        <v>22243</v>
      </c>
      <c r="I176" s="69">
        <v>314</v>
      </c>
      <c r="J176" s="79" t="s">
        <v>1046</v>
      </c>
      <c r="K176" s="69"/>
      <c r="L176" s="69" t="s">
        <v>1163</v>
      </c>
      <c r="M176" s="71">
        <v>43620</v>
      </c>
      <c r="N176" s="69" t="s">
        <v>83</v>
      </c>
      <c r="O176" s="71">
        <v>43629</v>
      </c>
      <c r="P176" s="69" t="s">
        <v>1194</v>
      </c>
      <c r="Q176" s="69" t="s">
        <v>77</v>
      </c>
      <c r="R176" s="73" t="s">
        <v>1164</v>
      </c>
      <c r="S176" s="69">
        <v>946380</v>
      </c>
      <c r="T176" s="69"/>
      <c r="U176" s="69" t="s">
        <v>1200</v>
      </c>
      <c r="V176" s="69" t="s">
        <v>55</v>
      </c>
      <c r="W176" s="70">
        <f>IFERROR(VLOOKUP(factures[[#This Row],[DT Prestation Amiante 1]],presta_amiante1[#Data],2,0),0)</f>
        <v>55.49</v>
      </c>
      <c r="X176" s="69" t="s">
        <v>53</v>
      </c>
      <c r="Y176" s="70">
        <f>IFERROR(VLOOKUP(factures[[#This Row],[DT Prestation Amiante 2]],presta_amiante2[#Data],2,0),0)</f>
        <v>60.11</v>
      </c>
      <c r="Z176" s="69"/>
      <c r="AA176" s="70">
        <f>IFERROR(VLOOKUP(factures[[#This Row],[DT Prestation Gaz]],presta_gaz[#Data],2,0),0)</f>
        <v>0</v>
      </c>
      <c r="AB176" s="69">
        <v>15</v>
      </c>
      <c r="AC176" s="69" t="s">
        <v>73</v>
      </c>
      <c r="AD176" s="70">
        <f>IFERROR(VLOOKUP(factures[[#This Row],[DT Analyses]],DT_analyses[#Data],2,0),0)</f>
        <v>36.99</v>
      </c>
      <c r="AE176" s="70">
        <f>IFERROR(factures[[#This Row],[Plvts ]]*factures[[#This Row],[Prix Analyses]],0)</f>
        <v>554.85</v>
      </c>
      <c r="AF176" s="70">
        <f>factures[[#This Row],[Prix Prestation Amiante 1]]+factures[[#This Row],[Prix Prestation Amiante 2]]+factures[[#This Row],[Prix Prestation Gaz]]+factures[[#This Row],[Prix analyses HT]]</f>
        <v>670.45</v>
      </c>
      <c r="AG176" s="69" t="s">
        <v>1311</v>
      </c>
      <c r="AH176" s="86" t="s">
        <v>1302</v>
      </c>
      <c r="AI176" s="69"/>
    </row>
    <row r="177" spans="1:35" ht="60" x14ac:dyDescent="0.3">
      <c r="A177" s="92" t="s">
        <v>434</v>
      </c>
      <c r="B177" s="72">
        <v>92170</v>
      </c>
      <c r="C177" s="69" t="s">
        <v>1031</v>
      </c>
      <c r="D177" s="69" t="s">
        <v>436</v>
      </c>
      <c r="E177" s="69">
        <v>307</v>
      </c>
      <c r="F177" s="69">
        <v>3</v>
      </c>
      <c r="G177" s="69">
        <v>2</v>
      </c>
      <c r="H177" s="69">
        <v>22382</v>
      </c>
      <c r="I177" s="69">
        <v>315</v>
      </c>
      <c r="J177" s="88" t="s">
        <v>1070</v>
      </c>
      <c r="K177" s="69"/>
      <c r="L177" s="69" t="s">
        <v>1165</v>
      </c>
      <c r="M177" s="71">
        <v>43620</v>
      </c>
      <c r="N177" s="69" t="s">
        <v>1267</v>
      </c>
      <c r="O177" s="71">
        <v>43629</v>
      </c>
      <c r="P177" s="69" t="s">
        <v>1097</v>
      </c>
      <c r="Q177" s="69" t="s">
        <v>77</v>
      </c>
      <c r="R177" s="73" t="s">
        <v>1166</v>
      </c>
      <c r="S177" s="69">
        <v>949665</v>
      </c>
      <c r="T177" s="69"/>
      <c r="U177" s="69" t="s">
        <v>1209</v>
      </c>
      <c r="V177" s="69" t="s">
        <v>53</v>
      </c>
      <c r="W177" s="70">
        <v>58.5</v>
      </c>
      <c r="X177" s="69" t="s">
        <v>93</v>
      </c>
      <c r="Y177" s="70">
        <v>78.3</v>
      </c>
      <c r="Z177" s="69" t="s">
        <v>61</v>
      </c>
      <c r="AA177" s="70">
        <v>40.5</v>
      </c>
      <c r="AB177" s="69">
        <v>4</v>
      </c>
      <c r="AC177" s="69" t="s">
        <v>73</v>
      </c>
      <c r="AD177" s="70">
        <v>36</v>
      </c>
      <c r="AE177" s="70">
        <f>IFERROR(factures[[#This Row],[Plvts ]]*factures[[#This Row],[Prix Analyses]],0)</f>
        <v>144</v>
      </c>
      <c r="AF177" s="70">
        <f>factures[[#This Row],[Prix Prestation Amiante 1]]+factures[[#This Row],[Prix Prestation Amiante 2]]+factures[[#This Row],[Prix Prestation Gaz]]+factures[[#This Row],[Prix analyses HT]]</f>
        <v>321.3</v>
      </c>
      <c r="AG177" s="69" t="s">
        <v>1276</v>
      </c>
      <c r="AH177" s="86" t="s">
        <v>1293</v>
      </c>
      <c r="AI177" s="69"/>
    </row>
    <row r="178" spans="1:35" ht="36" x14ac:dyDescent="0.3">
      <c r="A178" s="92" t="s">
        <v>1173</v>
      </c>
      <c r="B178" s="72">
        <v>78280</v>
      </c>
      <c r="C178" s="69" t="s">
        <v>1066</v>
      </c>
      <c r="D178" s="69" t="s">
        <v>1174</v>
      </c>
      <c r="E178" s="69">
        <v>1</v>
      </c>
      <c r="F178" s="69" t="s">
        <v>102</v>
      </c>
      <c r="G178" s="69">
        <v>4</v>
      </c>
      <c r="H178" s="69">
        <v>9325</v>
      </c>
      <c r="I178" s="69">
        <v>136</v>
      </c>
      <c r="J178" s="69" t="s">
        <v>1065</v>
      </c>
      <c r="K178" s="69"/>
      <c r="L178" s="69" t="s">
        <v>1175</v>
      </c>
      <c r="M178" s="71">
        <v>43627</v>
      </c>
      <c r="N178" s="69" t="s">
        <v>83</v>
      </c>
      <c r="O178" s="71">
        <v>43634</v>
      </c>
      <c r="P178" s="69" t="s">
        <v>337</v>
      </c>
      <c r="Q178" s="69" t="s">
        <v>77</v>
      </c>
      <c r="R178" s="73" t="s">
        <v>1176</v>
      </c>
      <c r="S178" s="69">
        <v>947355</v>
      </c>
      <c r="T178" s="69" t="s">
        <v>658</v>
      </c>
      <c r="U178" s="69" t="s">
        <v>1210</v>
      </c>
      <c r="V178" s="69" t="s">
        <v>55</v>
      </c>
      <c r="W178" s="70">
        <v>55.28</v>
      </c>
      <c r="X178" s="69" t="s">
        <v>54</v>
      </c>
      <c r="Y178" s="70">
        <v>69.099999999999994</v>
      </c>
      <c r="Z178" s="69"/>
      <c r="AA178" s="70">
        <f>IFERROR(VLOOKUP(factures[[#This Row],[DT Prestation Gaz]],presta_gaz[#Data],2,0),0)</f>
        <v>0</v>
      </c>
      <c r="AB178" s="69">
        <v>4</v>
      </c>
      <c r="AC178" s="69" t="s">
        <v>73</v>
      </c>
      <c r="AD178" s="70">
        <v>36.85</v>
      </c>
      <c r="AE178" s="70">
        <f>IFERROR(factures[[#This Row],[Plvts ]]*factures[[#This Row],[Prix Analyses]],0)</f>
        <v>147.4</v>
      </c>
      <c r="AF178" s="70">
        <f>factures[[#This Row],[Prix Prestation Amiante 1]]+factures[[#This Row],[Prix Prestation Amiante 2]]+factures[[#This Row],[Prix Prestation Gaz]]+factures[[#This Row],[Prix analyses HT]]</f>
        <v>271.77999999999997</v>
      </c>
      <c r="AG178" s="69" t="s">
        <v>1976</v>
      </c>
      <c r="AH178" s="86" t="s">
        <v>1959</v>
      </c>
      <c r="AI178" s="69"/>
    </row>
    <row r="179" spans="1:35" ht="36" x14ac:dyDescent="0.3">
      <c r="A179" s="92" t="s">
        <v>506</v>
      </c>
      <c r="B179" s="72">
        <v>78180</v>
      </c>
      <c r="C179" s="69" t="s">
        <v>115</v>
      </c>
      <c r="D179" s="69" t="s">
        <v>507</v>
      </c>
      <c r="E179" s="69">
        <v>501</v>
      </c>
      <c r="F179" s="69">
        <v>5</v>
      </c>
      <c r="G179" s="69">
        <v>3</v>
      </c>
      <c r="H179" s="69">
        <v>31490</v>
      </c>
      <c r="I179" s="69">
        <v>451</v>
      </c>
      <c r="J179" s="69" t="s">
        <v>2160</v>
      </c>
      <c r="K179" s="69"/>
      <c r="L179" s="69" t="s">
        <v>1177</v>
      </c>
      <c r="M179" s="71">
        <v>43627</v>
      </c>
      <c r="N179" s="69" t="s">
        <v>83</v>
      </c>
      <c r="O179" s="71">
        <v>43629</v>
      </c>
      <c r="P179" s="69" t="s">
        <v>334</v>
      </c>
      <c r="Q179" s="69" t="s">
        <v>77</v>
      </c>
      <c r="R179" s="73" t="s">
        <v>1178</v>
      </c>
      <c r="S179" s="69">
        <v>947517</v>
      </c>
      <c r="T179" s="69"/>
      <c r="U179" s="69" t="s">
        <v>1201</v>
      </c>
      <c r="V179" s="69" t="s">
        <v>55</v>
      </c>
      <c r="W179" s="70">
        <f>IFERROR(VLOOKUP(factures[[#This Row],[DT Prestation Amiante 1]],presta_amiante1[#Data],2,0),0)</f>
        <v>55.49</v>
      </c>
      <c r="X179" s="69" t="s">
        <v>53</v>
      </c>
      <c r="Y179" s="70">
        <f>IFERROR(VLOOKUP(factures[[#This Row],[DT Prestation Amiante 2]],presta_amiante2[#Data],2,0),0)</f>
        <v>60.11</v>
      </c>
      <c r="Z179" s="69"/>
      <c r="AA179" s="70">
        <f>IFERROR(VLOOKUP(factures[[#This Row],[DT Prestation Gaz]],presta_gaz[#Data],2,0),0)</f>
        <v>0</v>
      </c>
      <c r="AB179" s="69">
        <v>5</v>
      </c>
      <c r="AC179" s="69" t="s">
        <v>73</v>
      </c>
      <c r="AD179" s="70">
        <f>IFERROR(VLOOKUP(factures[[#This Row],[DT Analyses]],DT_analyses[#Data],2,0),0)</f>
        <v>36.99</v>
      </c>
      <c r="AE179" s="70">
        <f>IFERROR(factures[[#This Row],[Plvts ]]*factures[[#This Row],[Prix Analyses]],0)</f>
        <v>184.95000000000002</v>
      </c>
      <c r="AF179" s="70">
        <f>factures[[#This Row],[Prix Prestation Amiante 1]]+factures[[#This Row],[Prix Prestation Amiante 2]]+factures[[#This Row],[Prix Prestation Gaz]]+factures[[#This Row],[Prix analyses HT]]</f>
        <v>300.55</v>
      </c>
      <c r="AG179" s="69" t="s">
        <v>1312</v>
      </c>
      <c r="AH179" s="86" t="s">
        <v>1302</v>
      </c>
      <c r="AI179" s="69"/>
    </row>
    <row r="180" spans="1:35" ht="36" x14ac:dyDescent="0.3">
      <c r="A180" s="92" t="s">
        <v>1182</v>
      </c>
      <c r="B180" s="72">
        <v>94000</v>
      </c>
      <c r="C180" s="69" t="s">
        <v>298</v>
      </c>
      <c r="D180" s="69" t="s">
        <v>591</v>
      </c>
      <c r="E180" s="69">
        <v>302</v>
      </c>
      <c r="F180" s="69">
        <v>3</v>
      </c>
      <c r="G180" s="69">
        <v>4</v>
      </c>
      <c r="H180" s="69">
        <v>45452</v>
      </c>
      <c r="I180" s="69">
        <v>895</v>
      </c>
      <c r="J180" s="69" t="s">
        <v>592</v>
      </c>
      <c r="K180" s="69"/>
      <c r="L180" s="69" t="s">
        <v>1183</v>
      </c>
      <c r="M180" s="71">
        <v>43628</v>
      </c>
      <c r="N180" s="69" t="s">
        <v>70</v>
      </c>
      <c r="O180" s="71">
        <v>43630</v>
      </c>
      <c r="P180" s="69" t="s">
        <v>1097</v>
      </c>
      <c r="Q180" s="69" t="s">
        <v>77</v>
      </c>
      <c r="R180" s="73" t="s">
        <v>1184</v>
      </c>
      <c r="S180" s="69">
        <v>947634</v>
      </c>
      <c r="T180" s="69"/>
      <c r="U180" s="69" t="s">
        <v>1208</v>
      </c>
      <c r="V180" s="69" t="s">
        <v>54</v>
      </c>
      <c r="W180" s="70">
        <f>IFERROR(VLOOKUP(factures[[#This Row],[DT Prestation Amiante 1]],presta_amiante1[#Data],2,0),0)</f>
        <v>69.36</v>
      </c>
      <c r="X180" s="69"/>
      <c r="Y180" s="70">
        <f>IFERROR(VLOOKUP(factures[[#This Row],[DT Prestation Amiante 2]],presta_amiante2[#Data],2,0),0)</f>
        <v>0</v>
      </c>
      <c r="Z180" s="69"/>
      <c r="AA180" s="70">
        <f>IFERROR(VLOOKUP(factures[[#This Row],[DT Prestation Gaz]],presta_gaz[#Data],2,0),0)</f>
        <v>0</v>
      </c>
      <c r="AB180" s="69">
        <v>2</v>
      </c>
      <c r="AC180" s="69" t="s">
        <v>73</v>
      </c>
      <c r="AD180" s="70">
        <f>IFERROR(VLOOKUP(factures[[#This Row],[DT Analyses]],DT_analyses[#Data],2,0),0)</f>
        <v>36.99</v>
      </c>
      <c r="AE180" s="70">
        <f>IFERROR(factures[[#This Row],[Plvts ]]*factures[[#This Row],[Prix Analyses]],0)</f>
        <v>73.98</v>
      </c>
      <c r="AF180" s="70" t="s">
        <v>1513</v>
      </c>
      <c r="AG180" s="69" t="s">
        <v>1506</v>
      </c>
      <c r="AH180" s="86" t="s">
        <v>1507</v>
      </c>
      <c r="AI180" s="69"/>
    </row>
    <row r="181" spans="1:35" ht="36" x14ac:dyDescent="0.3">
      <c r="A181" s="92" t="s">
        <v>1185</v>
      </c>
      <c r="B181" s="72">
        <v>92500</v>
      </c>
      <c r="C181" s="69" t="s">
        <v>265</v>
      </c>
      <c r="D181" s="69" t="s">
        <v>464</v>
      </c>
      <c r="E181" s="69">
        <v>40</v>
      </c>
      <c r="F181" s="69" t="s">
        <v>102</v>
      </c>
      <c r="G181" s="69">
        <v>1</v>
      </c>
      <c r="H181" s="69">
        <v>84516</v>
      </c>
      <c r="I181" s="69">
        <v>9212</v>
      </c>
      <c r="J181" s="69" t="s">
        <v>546</v>
      </c>
      <c r="K181" s="69"/>
      <c r="L181" s="69" t="s">
        <v>1186</v>
      </c>
      <c r="M181" s="71">
        <v>43628</v>
      </c>
      <c r="N181" s="69" t="s">
        <v>71</v>
      </c>
      <c r="O181" s="74">
        <v>43634</v>
      </c>
      <c r="P181" s="69" t="s">
        <v>1204</v>
      </c>
      <c r="Q181" s="69" t="s">
        <v>77</v>
      </c>
      <c r="R181" s="73" t="s">
        <v>1187</v>
      </c>
      <c r="S181" s="69">
        <v>947624</v>
      </c>
      <c r="T181" s="69"/>
      <c r="U181" s="69" t="s">
        <v>1211</v>
      </c>
      <c r="V181" s="69" t="s">
        <v>53</v>
      </c>
      <c r="W181" s="70">
        <f>IFERROR(VLOOKUP(factures[[#This Row],[DT Prestation Amiante 1]],presta_amiante1[#Data],2,0),0)</f>
        <v>60.11</v>
      </c>
      <c r="X181" s="69"/>
      <c r="Y181" s="70">
        <f>IFERROR(VLOOKUP(factures[[#This Row],[DT Prestation Amiante 2]],presta_amiante2[#Data],2,0),0)</f>
        <v>0</v>
      </c>
      <c r="Z181" s="69" t="s">
        <v>61</v>
      </c>
      <c r="AA181" s="70">
        <f>IFERROR(VLOOKUP(factures[[#This Row],[DT Prestation Gaz]],presta_gaz[#Data],2,0),0)</f>
        <v>41.62</v>
      </c>
      <c r="AB181" s="69">
        <v>4</v>
      </c>
      <c r="AC181" s="69" t="s">
        <v>73</v>
      </c>
      <c r="AD181" s="70">
        <f>IFERROR(VLOOKUP(factures[[#This Row],[DT Analyses]],DT_analyses[#Data],2,0),0)</f>
        <v>36.99</v>
      </c>
      <c r="AE181" s="70">
        <f>IFERROR(factures[[#This Row],[Plvts ]]*factures[[#This Row],[Prix Analyses]],0)</f>
        <v>147.96</v>
      </c>
      <c r="AF181" s="70">
        <f>factures[[#This Row],[Prix Prestation Amiante 1]]+factures[[#This Row],[Prix Prestation Amiante 2]]+factures[[#This Row],[Prix Prestation Gaz]]+factures[[#This Row],[Prix analyses HT]]</f>
        <v>249.69</v>
      </c>
      <c r="AG181" s="69" t="s">
        <v>1405</v>
      </c>
      <c r="AH181" s="86" t="s">
        <v>1404</v>
      </c>
      <c r="AI181" s="69"/>
    </row>
    <row r="182" spans="1:35" ht="36" x14ac:dyDescent="0.3">
      <c r="A182" s="92" t="s">
        <v>1188</v>
      </c>
      <c r="B182" s="72">
        <v>94380</v>
      </c>
      <c r="C182" s="69" t="s">
        <v>259</v>
      </c>
      <c r="D182" s="69" t="s">
        <v>260</v>
      </c>
      <c r="E182" s="69">
        <v>6</v>
      </c>
      <c r="F182" s="69" t="s">
        <v>102</v>
      </c>
      <c r="G182" s="69">
        <v>1</v>
      </c>
      <c r="H182" s="69">
        <v>33578</v>
      </c>
      <c r="I182" s="69">
        <v>511</v>
      </c>
      <c r="J182" s="100" t="s">
        <v>1192</v>
      </c>
      <c r="K182" s="69"/>
      <c r="L182" s="69" t="s">
        <v>1189</v>
      </c>
      <c r="M182" s="71">
        <v>43628</v>
      </c>
      <c r="N182" s="69" t="s">
        <v>71</v>
      </c>
      <c r="O182" s="71">
        <v>43630</v>
      </c>
      <c r="P182" s="69" t="s">
        <v>1193</v>
      </c>
      <c r="Q182" s="69" t="s">
        <v>77</v>
      </c>
      <c r="R182" s="73" t="s">
        <v>1190</v>
      </c>
      <c r="S182" s="69">
        <v>947641</v>
      </c>
      <c r="T182" s="69"/>
      <c r="U182" s="69" t="s">
        <v>1326</v>
      </c>
      <c r="V182" s="69" t="s">
        <v>53</v>
      </c>
      <c r="W182" s="70">
        <f>IFERROR(VLOOKUP(factures[[#This Row],[DT Prestation Amiante 1]],presta_amiante1[#Data],2,0),0)</f>
        <v>60.11</v>
      </c>
      <c r="X182" s="69"/>
      <c r="Y182" s="70">
        <f>IFERROR(VLOOKUP(factures[[#This Row],[DT Prestation Amiante 2]],presta_amiante2[#Data],2,0),0)</f>
        <v>0</v>
      </c>
      <c r="Z182" s="69" t="s">
        <v>61</v>
      </c>
      <c r="AA182" s="70">
        <f>IFERROR(VLOOKUP(factures[[#This Row],[DT Prestation Gaz]],presta_gaz[#Data],2,0),0)</f>
        <v>41.62</v>
      </c>
      <c r="AB182" s="69">
        <v>6</v>
      </c>
      <c r="AC182" s="69" t="s">
        <v>73</v>
      </c>
      <c r="AD182" s="70">
        <f>IFERROR(VLOOKUP(factures[[#This Row],[DT Analyses]],DT_analyses[#Data],2,0),0)</f>
        <v>36.99</v>
      </c>
      <c r="AE182" s="70">
        <f>IFERROR(factures[[#This Row],[Plvts ]]*factures[[#This Row],[Prix Analyses]],0)</f>
        <v>221.94</v>
      </c>
      <c r="AF182" s="70">
        <f>factures[[#This Row],[Prix Prestation Amiante 1]]+factures[[#This Row],[Prix Prestation Amiante 2]]+factures[[#This Row],[Prix Prestation Gaz]]+factures[[#This Row],[Prix analyses HT]]</f>
        <v>323.66999999999996</v>
      </c>
      <c r="AG182" s="69" t="s">
        <v>1406</v>
      </c>
      <c r="AH182" s="86" t="s">
        <v>1404</v>
      </c>
      <c r="AI182" s="69"/>
    </row>
    <row r="183" spans="1:35" ht="36" x14ac:dyDescent="0.3">
      <c r="A183" s="92" t="s">
        <v>1195</v>
      </c>
      <c r="B183" s="72">
        <v>78180</v>
      </c>
      <c r="C183" s="69" t="s">
        <v>115</v>
      </c>
      <c r="D183" s="69" t="s">
        <v>1196</v>
      </c>
      <c r="E183" s="69">
        <v>802</v>
      </c>
      <c r="F183" s="69">
        <v>8</v>
      </c>
      <c r="G183" s="69">
        <v>4</v>
      </c>
      <c r="H183" s="69">
        <v>31506</v>
      </c>
      <c r="I183" s="69">
        <v>451</v>
      </c>
      <c r="J183" s="69" t="s">
        <v>2160</v>
      </c>
      <c r="K183" s="69"/>
      <c r="L183" s="69" t="s">
        <v>1197</v>
      </c>
      <c r="M183" s="71">
        <v>43628</v>
      </c>
      <c r="N183" s="69" t="s">
        <v>83</v>
      </c>
      <c r="O183" s="71">
        <v>43641</v>
      </c>
      <c r="P183" s="69"/>
      <c r="Q183" s="69" t="s">
        <v>77</v>
      </c>
      <c r="R183" s="73" t="s">
        <v>1198</v>
      </c>
      <c r="S183" s="69">
        <v>947751</v>
      </c>
      <c r="T183" s="69"/>
      <c r="U183" s="69" t="s">
        <v>1277</v>
      </c>
      <c r="V183" s="69" t="s">
        <v>55</v>
      </c>
      <c r="W183" s="70">
        <v>55.28</v>
      </c>
      <c r="X183" s="69" t="s">
        <v>54</v>
      </c>
      <c r="Y183" s="70">
        <v>69.099999999999994</v>
      </c>
      <c r="Z183" s="69"/>
      <c r="AA183" s="70">
        <f>IFERROR(VLOOKUP(factures[[#This Row],[DT Prestation Gaz]],presta_gaz[#Data],2,0),0)</f>
        <v>0</v>
      </c>
      <c r="AB183" s="69">
        <v>7</v>
      </c>
      <c r="AC183" s="69" t="s">
        <v>73</v>
      </c>
      <c r="AD183" s="70">
        <v>36.85</v>
      </c>
      <c r="AE183" s="70">
        <f>IFERROR(factures[[#This Row],[Plvts ]]*factures[[#This Row],[Prix Analyses]],0)</f>
        <v>257.95</v>
      </c>
      <c r="AF183" s="70">
        <f>factures[[#This Row],[Prix Prestation Amiante 1]]+factures[[#This Row],[Prix Prestation Amiante 2]]+factures[[#This Row],[Prix Prestation Gaz]]+factures[[#This Row],[Prix analyses HT]]</f>
        <v>382.33</v>
      </c>
      <c r="AG183" s="69" t="s">
        <v>1958</v>
      </c>
      <c r="AH183" s="86" t="s">
        <v>1959</v>
      </c>
      <c r="AI183" s="69"/>
    </row>
    <row r="184" spans="1:35" ht="48" x14ac:dyDescent="0.3">
      <c r="A184" s="92" t="s">
        <v>132</v>
      </c>
      <c r="B184" s="72">
        <v>92100</v>
      </c>
      <c r="C184" s="69" t="s">
        <v>133</v>
      </c>
      <c r="D184" s="69" t="s">
        <v>134</v>
      </c>
      <c r="E184" s="69">
        <v>12</v>
      </c>
      <c r="F184" s="69">
        <v>1</v>
      </c>
      <c r="G184" s="69">
        <v>2</v>
      </c>
      <c r="H184" s="69">
        <v>60805</v>
      </c>
      <c r="I184" s="69">
        <v>753</v>
      </c>
      <c r="J184" s="69" t="s">
        <v>135</v>
      </c>
      <c r="K184" s="69"/>
      <c r="L184" s="69" t="s">
        <v>1212</v>
      </c>
      <c r="M184" s="71">
        <v>43634</v>
      </c>
      <c r="N184" s="69" t="s">
        <v>227</v>
      </c>
      <c r="O184" s="74">
        <v>43637</v>
      </c>
      <c r="P184" s="69">
        <v>10</v>
      </c>
      <c r="Q184" s="69" t="s">
        <v>77</v>
      </c>
      <c r="R184" s="73" t="s">
        <v>1371</v>
      </c>
      <c r="S184" s="69">
        <v>948315</v>
      </c>
      <c r="T184" s="69"/>
      <c r="U184" s="69" t="s">
        <v>1268</v>
      </c>
      <c r="V184" s="69" t="s">
        <v>53</v>
      </c>
      <c r="W184" s="70">
        <f>IFERROR(VLOOKUP(factures[[#This Row],[DT Prestation Amiante 1]],presta_amiante1[#Data],2,0),0)</f>
        <v>60.11</v>
      </c>
      <c r="X184" s="69" t="s">
        <v>93</v>
      </c>
      <c r="Y184" s="70">
        <f>IFERROR(VLOOKUP(factures[[#This Row],[DT Prestation Amiante 2]],presta_amiante2[#Data],2,0),0)</f>
        <v>80.459999999999994</v>
      </c>
      <c r="Z184" s="69"/>
      <c r="AA184" s="70">
        <f>IFERROR(VLOOKUP(factures[[#This Row],[DT Prestation Gaz]],presta_gaz[#Data],2,0),0)</f>
        <v>0</v>
      </c>
      <c r="AB184" s="69">
        <v>4</v>
      </c>
      <c r="AC184" s="69" t="s">
        <v>73</v>
      </c>
      <c r="AD184" s="70">
        <f>IFERROR(VLOOKUP(factures[[#This Row],[DT Analyses]],DT_analyses[#Data],2,0),0)</f>
        <v>36.99</v>
      </c>
      <c r="AE184" s="70">
        <f>IFERROR(factures[[#This Row],[Plvts ]]*factures[[#This Row],[Prix Analyses]],0)</f>
        <v>147.96</v>
      </c>
      <c r="AF184" s="70">
        <f>factures[[#This Row],[Prix Prestation Amiante 1]]+factures[[#This Row],[Prix Prestation Amiante 2]]+factures[[#This Row],[Prix Prestation Gaz]]+factures[[#This Row],[Prix analyses HT]]</f>
        <v>288.52999999999997</v>
      </c>
      <c r="AG184" s="69" t="s">
        <v>1400</v>
      </c>
      <c r="AH184" s="86" t="s">
        <v>1401</v>
      </c>
      <c r="AI184" s="69"/>
    </row>
    <row r="185" spans="1:35" ht="36" x14ac:dyDescent="0.3">
      <c r="A185" s="92" t="s">
        <v>182</v>
      </c>
      <c r="B185" s="72">
        <v>94460</v>
      </c>
      <c r="C185" s="69" t="s">
        <v>100</v>
      </c>
      <c r="D185" s="69" t="s">
        <v>101</v>
      </c>
      <c r="E185" s="69">
        <v>401</v>
      </c>
      <c r="F185" s="69">
        <v>4</v>
      </c>
      <c r="G185" s="69">
        <v>5</v>
      </c>
      <c r="H185" s="69">
        <v>49107</v>
      </c>
      <c r="I185" s="69">
        <v>9124</v>
      </c>
      <c r="J185" s="69" t="s">
        <v>231</v>
      </c>
      <c r="K185" s="69"/>
      <c r="L185" s="69" t="s">
        <v>1213</v>
      </c>
      <c r="M185" s="71">
        <v>43634</v>
      </c>
      <c r="N185" s="69" t="s">
        <v>71</v>
      </c>
      <c r="O185" s="74">
        <v>43637</v>
      </c>
      <c r="P185" s="87" t="s">
        <v>129</v>
      </c>
      <c r="Q185" s="69" t="s">
        <v>77</v>
      </c>
      <c r="R185" s="73" t="s">
        <v>1214</v>
      </c>
      <c r="S185" s="69">
        <v>948303</v>
      </c>
      <c r="T185" s="69"/>
      <c r="U185" s="69" t="s">
        <v>1269</v>
      </c>
      <c r="V185" s="69" t="s">
        <v>54</v>
      </c>
      <c r="W185" s="70">
        <f>IFERROR(VLOOKUP(factures[[#This Row],[DT Prestation Amiante 1]],presta_amiante1[#Data],2,0),0)</f>
        <v>69.36</v>
      </c>
      <c r="X185" s="69"/>
      <c r="Y185" s="70">
        <f>IFERROR(VLOOKUP(factures[[#This Row],[DT Prestation Amiante 2]],presta_amiante2[#Data],2,0),0)</f>
        <v>0</v>
      </c>
      <c r="Z185" s="69" t="s">
        <v>62</v>
      </c>
      <c r="AA185" s="70">
        <f>IFERROR(VLOOKUP(factures[[#This Row],[DT Prestation Gaz]],presta_gaz[#Data],2,0),0)</f>
        <v>49.01</v>
      </c>
      <c r="AB185" s="69">
        <v>1</v>
      </c>
      <c r="AC185" s="69" t="s">
        <v>73</v>
      </c>
      <c r="AD185" s="70">
        <f>IFERROR(VLOOKUP(factures[[#This Row],[DT Analyses]],DT_analyses[#Data],2,0),0)</f>
        <v>36.99</v>
      </c>
      <c r="AE185" s="70">
        <f>IFERROR(factures[[#This Row],[Plvts ]]*factures[[#This Row],[Prix Analyses]],0)</f>
        <v>36.99</v>
      </c>
      <c r="AF185" s="70">
        <f>factures[[#This Row],[Prix Prestation Amiante 1]]+factures[[#This Row],[Prix Prestation Amiante 2]]+factures[[#This Row],[Prix Prestation Gaz]]+factures[[#This Row],[Prix analyses HT]]</f>
        <v>155.36000000000001</v>
      </c>
      <c r="AG185" s="69" t="s">
        <v>1407</v>
      </c>
      <c r="AH185" s="86" t="s">
        <v>1404</v>
      </c>
      <c r="AI185" s="69"/>
    </row>
    <row r="186" spans="1:35" ht="36" x14ac:dyDescent="0.3">
      <c r="A186" s="92" t="s">
        <v>1215</v>
      </c>
      <c r="B186" s="72">
        <v>78200</v>
      </c>
      <c r="C186" s="69" t="s">
        <v>189</v>
      </c>
      <c r="D186" s="69" t="s">
        <v>190</v>
      </c>
      <c r="E186" s="69">
        <v>401</v>
      </c>
      <c r="F186" s="69">
        <v>4</v>
      </c>
      <c r="G186" s="69">
        <v>3</v>
      </c>
      <c r="H186" s="69">
        <v>10413</v>
      </c>
      <c r="I186" s="69">
        <v>161</v>
      </c>
      <c r="J186" s="69" t="s">
        <v>1271</v>
      </c>
      <c r="K186" s="69"/>
      <c r="L186" s="69" t="s">
        <v>1216</v>
      </c>
      <c r="M186" s="74">
        <v>43634</v>
      </c>
      <c r="N186" s="69" t="s">
        <v>84</v>
      </c>
      <c r="O186" s="71">
        <v>43641</v>
      </c>
      <c r="P186" s="87"/>
      <c r="Q186" s="69" t="s">
        <v>77</v>
      </c>
      <c r="R186" s="73" t="s">
        <v>1217</v>
      </c>
      <c r="S186" s="69">
        <v>947156</v>
      </c>
      <c r="T186" s="69"/>
      <c r="U186" s="69" t="s">
        <v>1278</v>
      </c>
      <c r="V186" s="69" t="s">
        <v>55</v>
      </c>
      <c r="W186" s="70">
        <v>55.28</v>
      </c>
      <c r="X186" s="69" t="s">
        <v>53</v>
      </c>
      <c r="Y186" s="70">
        <v>59.89</v>
      </c>
      <c r="Z186" s="69" t="s">
        <v>61</v>
      </c>
      <c r="AA186" s="70">
        <v>41.46</v>
      </c>
      <c r="AB186" s="69">
        <v>10</v>
      </c>
      <c r="AC186" s="69" t="s">
        <v>73</v>
      </c>
      <c r="AD186" s="70">
        <f>IFERROR(VLOOKUP(factures[[#This Row],[DT Analyses]],DT_analyses[#Data],2,0),0)</f>
        <v>36.99</v>
      </c>
      <c r="AE186" s="70">
        <f>IFERROR(factures[[#This Row],[Plvts ]]*factures[[#This Row],[Prix Analyses]],0)</f>
        <v>369.90000000000003</v>
      </c>
      <c r="AF186" s="70">
        <f>factures[[#This Row],[Prix Prestation Amiante 1]]+factures[[#This Row],[Prix Prestation Amiante 2]]+factures[[#This Row],[Prix Prestation Gaz]]+factures[[#This Row],[Prix analyses HT]]</f>
        <v>526.53</v>
      </c>
      <c r="AG186" s="69" t="s">
        <v>1662</v>
      </c>
      <c r="AH186" s="86" t="s">
        <v>1663</v>
      </c>
      <c r="AI186" s="69"/>
    </row>
    <row r="187" spans="1:35" ht="108" x14ac:dyDescent="0.3">
      <c r="A187" s="92" t="s">
        <v>987</v>
      </c>
      <c r="B187" s="72">
        <v>78540</v>
      </c>
      <c r="C187" s="69" t="s">
        <v>351</v>
      </c>
      <c r="D187" s="69" t="s">
        <v>639</v>
      </c>
      <c r="E187" s="69">
        <v>1101</v>
      </c>
      <c r="F187" s="69">
        <v>11</v>
      </c>
      <c r="G187" s="69">
        <v>2</v>
      </c>
      <c r="H187" s="69">
        <v>53519</v>
      </c>
      <c r="I187" s="69">
        <v>9700</v>
      </c>
      <c r="J187" s="69" t="s">
        <v>777</v>
      </c>
      <c r="K187" s="69"/>
      <c r="L187" s="69" t="s">
        <v>1218</v>
      </c>
      <c r="M187" s="74">
        <v>43634</v>
      </c>
      <c r="N187" s="69" t="s">
        <v>84</v>
      </c>
      <c r="O187" s="71">
        <v>43656</v>
      </c>
      <c r="P187" s="87" t="s">
        <v>131</v>
      </c>
      <c r="Q187" s="69" t="s">
        <v>77</v>
      </c>
      <c r="R187" s="73" t="s">
        <v>1219</v>
      </c>
      <c r="S187" s="69">
        <v>948037</v>
      </c>
      <c r="T187" s="97" t="s">
        <v>1236</v>
      </c>
      <c r="U187" s="69" t="s">
        <v>1417</v>
      </c>
      <c r="V187" s="69" t="s">
        <v>55</v>
      </c>
      <c r="W187" s="70">
        <v>55.28</v>
      </c>
      <c r="X187" s="69" t="s">
        <v>53</v>
      </c>
      <c r="Y187" s="70">
        <v>59.89</v>
      </c>
      <c r="Z187" s="69" t="s">
        <v>61</v>
      </c>
      <c r="AA187" s="70">
        <v>41.46</v>
      </c>
      <c r="AB187" s="69">
        <v>8</v>
      </c>
      <c r="AC187" s="69" t="s">
        <v>73</v>
      </c>
      <c r="AD187" s="70">
        <v>36.85</v>
      </c>
      <c r="AE187" s="70">
        <f>IFERROR(factures[[#This Row],[Plvts ]]*factures[[#This Row],[Prix Analyses]],0)</f>
        <v>294.8</v>
      </c>
      <c r="AF187" s="70">
        <f>factures[[#This Row],[Prix Prestation Amiante 1]]+factures[[#This Row],[Prix Prestation Amiante 2]]+factures[[#This Row],[Prix Prestation Gaz]]+factures[[#This Row],[Prix analyses HT]]</f>
        <v>451.43</v>
      </c>
      <c r="AG187" s="69" t="s">
        <v>1590</v>
      </c>
      <c r="AH187" s="86" t="s">
        <v>1591</v>
      </c>
      <c r="AI187" s="69"/>
    </row>
    <row r="188" spans="1:35" ht="108" x14ac:dyDescent="0.3">
      <c r="A188" s="92" t="s">
        <v>1220</v>
      </c>
      <c r="B188" s="72">
        <v>78540</v>
      </c>
      <c r="C188" s="69" t="s">
        <v>351</v>
      </c>
      <c r="D188" s="69" t="s">
        <v>639</v>
      </c>
      <c r="E188" s="69">
        <v>202</v>
      </c>
      <c r="F188" s="69">
        <v>2</v>
      </c>
      <c r="G188" s="69">
        <v>3</v>
      </c>
      <c r="H188" s="69">
        <v>53013</v>
      </c>
      <c r="I188" s="69">
        <v>9700</v>
      </c>
      <c r="J188" s="69" t="s">
        <v>777</v>
      </c>
      <c r="K188" s="69"/>
      <c r="L188" s="69" t="s">
        <v>1221</v>
      </c>
      <c r="M188" s="74">
        <v>43634</v>
      </c>
      <c r="N188" s="69" t="s">
        <v>84</v>
      </c>
      <c r="O188" s="74">
        <v>43635</v>
      </c>
      <c r="P188" s="69" t="s">
        <v>131</v>
      </c>
      <c r="Q188" s="69" t="s">
        <v>77</v>
      </c>
      <c r="R188" s="73" t="s">
        <v>1222</v>
      </c>
      <c r="S188" s="69">
        <v>947962</v>
      </c>
      <c r="T188" s="69"/>
      <c r="U188" s="69" t="s">
        <v>1243</v>
      </c>
      <c r="V188" s="69" t="s">
        <v>55</v>
      </c>
      <c r="W188" s="70">
        <f>IFERROR(VLOOKUP(factures[[#This Row],[DT Prestation Amiante 1]],presta_amiante1[#Data],2,0),0)</f>
        <v>55.49</v>
      </c>
      <c r="X188" s="69" t="s">
        <v>53</v>
      </c>
      <c r="Y188" s="70">
        <f>IFERROR(VLOOKUP(factures[[#This Row],[DT Prestation Amiante 2]],presta_amiante2[#Data],2,0),0)</f>
        <v>60.11</v>
      </c>
      <c r="Z188" s="69" t="s">
        <v>61</v>
      </c>
      <c r="AA188" s="70">
        <f>IFERROR(VLOOKUP(factures[[#This Row],[DT Prestation Gaz]],presta_gaz[#Data],2,0),0)</f>
        <v>41.62</v>
      </c>
      <c r="AB188" s="69">
        <v>12</v>
      </c>
      <c r="AC188" s="69" t="s">
        <v>73</v>
      </c>
      <c r="AD188" s="70">
        <f>IFERROR(VLOOKUP(factures[[#This Row],[DT Analyses]],DT_analyses[#Data],2,0),0)</f>
        <v>36.99</v>
      </c>
      <c r="AE188" s="70">
        <f>IFERROR(factures[[#This Row],[Plvts ]]*factures[[#This Row],[Prix Analyses]],0)</f>
        <v>443.88</v>
      </c>
      <c r="AF188" s="70">
        <f>factures[[#This Row],[Prix Prestation Amiante 1]]+factures[[#This Row],[Prix Prestation Amiante 2]]+factures[[#This Row],[Prix Prestation Gaz]]+factures[[#This Row],[Prix analyses HT]]</f>
        <v>601.1</v>
      </c>
      <c r="AG188" s="69" t="s">
        <v>1323</v>
      </c>
      <c r="AH188" s="86" t="s">
        <v>1322</v>
      </c>
      <c r="AI188" s="69"/>
    </row>
    <row r="189" spans="1:35" ht="108" x14ac:dyDescent="0.3">
      <c r="A189" s="92" t="s">
        <v>987</v>
      </c>
      <c r="B189" s="72">
        <v>78540</v>
      </c>
      <c r="C189" s="69" t="s">
        <v>351</v>
      </c>
      <c r="D189" s="69" t="s">
        <v>639</v>
      </c>
      <c r="E189" s="69">
        <v>1002</v>
      </c>
      <c r="F189" s="69">
        <v>10</v>
      </c>
      <c r="G189" s="69">
        <v>3</v>
      </c>
      <c r="H189" s="69">
        <v>53516</v>
      </c>
      <c r="I189" s="69">
        <v>9700</v>
      </c>
      <c r="J189" s="69" t="s">
        <v>777</v>
      </c>
      <c r="K189" s="69"/>
      <c r="L189" s="69" t="s">
        <v>1223</v>
      </c>
      <c r="M189" s="71">
        <v>43634</v>
      </c>
      <c r="N189" s="69" t="s">
        <v>84</v>
      </c>
      <c r="O189" s="74">
        <v>43635</v>
      </c>
      <c r="P189" s="87" t="s">
        <v>131</v>
      </c>
      <c r="Q189" s="69" t="s">
        <v>77</v>
      </c>
      <c r="R189" s="73" t="s">
        <v>1224</v>
      </c>
      <c r="S189" s="69">
        <v>947966</v>
      </c>
      <c r="T189" s="69"/>
      <c r="U189" s="69" t="s">
        <v>1244</v>
      </c>
      <c r="V189" s="69" t="s">
        <v>55</v>
      </c>
      <c r="W189" s="70">
        <f>IFERROR(VLOOKUP(factures[[#This Row],[DT Prestation Amiante 1]],presta_amiante1[#Data],2,0),0)</f>
        <v>55.49</v>
      </c>
      <c r="X189" s="69" t="s">
        <v>53</v>
      </c>
      <c r="Y189" s="70">
        <f>IFERROR(VLOOKUP(factures[[#This Row],[DT Prestation Amiante 2]],presta_amiante2[#Data],2,0),0)</f>
        <v>60.11</v>
      </c>
      <c r="Z189" s="69" t="s">
        <v>61</v>
      </c>
      <c r="AA189" s="70">
        <f>IFERROR(VLOOKUP(factures[[#This Row],[DT Prestation Gaz]],presta_gaz[#Data],2,0),0)</f>
        <v>41.62</v>
      </c>
      <c r="AB189" s="69">
        <v>14</v>
      </c>
      <c r="AC189" s="69" t="s">
        <v>73</v>
      </c>
      <c r="AD189" s="70">
        <f>IFERROR(VLOOKUP(factures[[#This Row],[DT Analyses]],DT_analyses[#Data],2,0),0)</f>
        <v>36.99</v>
      </c>
      <c r="AE189" s="70">
        <f>IFERROR(factures[[#This Row],[Plvts ]]*factures[[#This Row],[Prix Analyses]],0)</f>
        <v>517.86</v>
      </c>
      <c r="AF189" s="70">
        <f>factures[[#This Row],[Prix Prestation Amiante 1]]+factures[[#This Row],[Prix Prestation Amiante 2]]+factures[[#This Row],[Prix Prestation Gaz]]+factures[[#This Row],[Prix analyses HT]]</f>
        <v>675.08</v>
      </c>
      <c r="AG189" s="69" t="s">
        <v>1324</v>
      </c>
      <c r="AH189" s="86" t="s">
        <v>1322</v>
      </c>
      <c r="AI189" s="69"/>
    </row>
    <row r="190" spans="1:35" ht="108" x14ac:dyDescent="0.3">
      <c r="A190" s="92" t="s">
        <v>1225</v>
      </c>
      <c r="B190" s="72">
        <v>78540</v>
      </c>
      <c r="C190" s="69" t="s">
        <v>351</v>
      </c>
      <c r="D190" s="69" t="s">
        <v>639</v>
      </c>
      <c r="E190" s="69">
        <v>301</v>
      </c>
      <c r="F190" s="69">
        <v>3</v>
      </c>
      <c r="G190" s="69">
        <v>4</v>
      </c>
      <c r="H190" s="69">
        <v>52794</v>
      </c>
      <c r="I190" s="69">
        <v>9700</v>
      </c>
      <c r="J190" s="69" t="s">
        <v>1226</v>
      </c>
      <c r="K190" s="69"/>
      <c r="L190" s="69" t="s">
        <v>1227</v>
      </c>
      <c r="M190" s="71">
        <v>43634</v>
      </c>
      <c r="N190" s="69" t="s">
        <v>84</v>
      </c>
      <c r="O190" s="74">
        <v>43635</v>
      </c>
      <c r="P190" s="87" t="s">
        <v>131</v>
      </c>
      <c r="Q190" s="69" t="s">
        <v>77</v>
      </c>
      <c r="R190" s="73" t="s">
        <v>1230</v>
      </c>
      <c r="S190" s="69">
        <v>947955</v>
      </c>
      <c r="T190" s="69"/>
      <c r="U190" s="69" t="s">
        <v>1245</v>
      </c>
      <c r="V190" s="69" t="s">
        <v>55</v>
      </c>
      <c r="W190" s="70">
        <f>IFERROR(VLOOKUP(factures[[#This Row],[DT Prestation Amiante 1]],presta_amiante1[#Data],2,0),0)</f>
        <v>55.49</v>
      </c>
      <c r="X190" s="69" t="s">
        <v>54</v>
      </c>
      <c r="Y190" s="70">
        <f>IFERROR(VLOOKUP(factures[[#This Row],[DT Prestation Amiante 2]],presta_amiante2[#Data],2,0),0)</f>
        <v>69.36</v>
      </c>
      <c r="Z190" s="69" t="s">
        <v>62</v>
      </c>
      <c r="AA190" s="70">
        <f>IFERROR(VLOOKUP(factures[[#This Row],[DT Prestation Gaz]],presta_gaz[#Data],2,0),0)</f>
        <v>49.01</v>
      </c>
      <c r="AB190" s="69">
        <v>4</v>
      </c>
      <c r="AC190" s="69" t="s">
        <v>73</v>
      </c>
      <c r="AD190" s="70">
        <f>IFERROR(VLOOKUP(factures[[#This Row],[DT Analyses]],DT_analyses[#Data],2,0),0)</f>
        <v>36.99</v>
      </c>
      <c r="AE190" s="70">
        <f>IFERROR(factures[[#This Row],[Plvts ]]*factures[[#This Row],[Prix Analyses]],0)</f>
        <v>147.96</v>
      </c>
      <c r="AF190" s="70">
        <f>factures[[#This Row],[Prix Prestation Amiante 1]]+factures[[#This Row],[Prix Prestation Amiante 2]]+factures[[#This Row],[Prix Prestation Gaz]]+factures[[#This Row],[Prix analyses HT]]</f>
        <v>321.82</v>
      </c>
      <c r="AG190" s="69" t="s">
        <v>1325</v>
      </c>
      <c r="AH190" s="86" t="s">
        <v>1322</v>
      </c>
      <c r="AI190" s="69"/>
    </row>
    <row r="191" spans="1:35" ht="108" x14ac:dyDescent="0.3">
      <c r="A191" s="92" t="s">
        <v>1228</v>
      </c>
      <c r="B191" s="72">
        <v>78540</v>
      </c>
      <c r="C191" s="69" t="s">
        <v>351</v>
      </c>
      <c r="D191" s="69" t="s">
        <v>639</v>
      </c>
      <c r="E191" s="69">
        <v>1</v>
      </c>
      <c r="F191" s="69" t="s">
        <v>102</v>
      </c>
      <c r="G191" s="69">
        <v>5</v>
      </c>
      <c r="H191" s="69">
        <v>52798</v>
      </c>
      <c r="I191" s="69">
        <v>9700</v>
      </c>
      <c r="J191" s="69" t="s">
        <v>1226</v>
      </c>
      <c r="K191" s="69"/>
      <c r="L191" s="69" t="s">
        <v>1229</v>
      </c>
      <c r="M191" s="71">
        <v>43634</v>
      </c>
      <c r="N191" s="69" t="s">
        <v>84</v>
      </c>
      <c r="O191" s="74">
        <v>43635</v>
      </c>
      <c r="P191" s="69" t="s">
        <v>131</v>
      </c>
      <c r="Q191" s="69" t="s">
        <v>77</v>
      </c>
      <c r="R191" s="73" t="s">
        <v>1231</v>
      </c>
      <c r="S191" s="69">
        <v>947950</v>
      </c>
      <c r="T191" s="69"/>
      <c r="U191" s="69" t="s">
        <v>1246</v>
      </c>
      <c r="V191" s="69" t="s">
        <v>55</v>
      </c>
      <c r="W191" s="70">
        <f>IFERROR(VLOOKUP(factures[[#This Row],[DT Prestation Amiante 1]],presta_amiante1[#Data],2,0),0)</f>
        <v>55.49</v>
      </c>
      <c r="X191" s="69" t="s">
        <v>54</v>
      </c>
      <c r="Y191" s="70">
        <f>IFERROR(VLOOKUP(factures[[#This Row],[DT Prestation Amiante 2]],presta_amiante2[#Data],2,0),0)</f>
        <v>69.36</v>
      </c>
      <c r="Z191" s="69" t="s">
        <v>62</v>
      </c>
      <c r="AA191" s="70">
        <f>IFERROR(VLOOKUP(factures[[#This Row],[DT Prestation Gaz]],presta_gaz[#Data],2,0),0)</f>
        <v>49.01</v>
      </c>
      <c r="AB191" s="69">
        <v>9</v>
      </c>
      <c r="AC191" s="69" t="s">
        <v>73</v>
      </c>
      <c r="AD191" s="70">
        <f>IFERROR(VLOOKUP(factures[[#This Row],[DT Analyses]],DT_analyses[#Data],2,0),0)</f>
        <v>36.99</v>
      </c>
      <c r="AE191" s="70">
        <f>IFERROR(factures[[#This Row],[Plvts ]]*factures[[#This Row],[Prix Analyses]],0)</f>
        <v>332.91</v>
      </c>
      <c r="AF191" s="70">
        <f>factures[[#This Row],[Prix Prestation Amiante 1]]+factures[[#This Row],[Prix Prestation Amiante 2]]+factures[[#This Row],[Prix Prestation Gaz]]+factures[[#This Row],[Prix analyses HT]]</f>
        <v>506.77</v>
      </c>
      <c r="AG191" s="69" t="s">
        <v>1350</v>
      </c>
      <c r="AH191" s="86" t="s">
        <v>1351</v>
      </c>
      <c r="AI191" s="69"/>
    </row>
    <row r="192" spans="1:35" ht="36" x14ac:dyDescent="0.3">
      <c r="A192" s="92" t="s">
        <v>727</v>
      </c>
      <c r="B192" s="72">
        <v>78260</v>
      </c>
      <c r="C192" s="69" t="s">
        <v>1082</v>
      </c>
      <c r="D192" s="69" t="s">
        <v>438</v>
      </c>
      <c r="E192" s="69">
        <v>403</v>
      </c>
      <c r="F192" s="69">
        <v>4</v>
      </c>
      <c r="G192" s="69">
        <v>3</v>
      </c>
      <c r="H192" s="69">
        <v>39796</v>
      </c>
      <c r="I192" s="69">
        <v>815</v>
      </c>
      <c r="J192" s="69" t="s">
        <v>470</v>
      </c>
      <c r="K192" s="69"/>
      <c r="L192" s="69" t="s">
        <v>1232</v>
      </c>
      <c r="M192" s="71">
        <v>43634</v>
      </c>
      <c r="N192" s="69" t="s">
        <v>84</v>
      </c>
      <c r="O192" s="74">
        <v>43650</v>
      </c>
      <c r="P192" s="69" t="s">
        <v>129</v>
      </c>
      <c r="Q192" s="69" t="s">
        <v>77</v>
      </c>
      <c r="R192" s="73" t="s">
        <v>1233</v>
      </c>
      <c r="S192" s="69">
        <v>948358</v>
      </c>
      <c r="T192" s="97" t="s">
        <v>1273</v>
      </c>
      <c r="U192" s="69" t="s">
        <v>1505</v>
      </c>
      <c r="V192" s="69" t="s">
        <v>55</v>
      </c>
      <c r="W192" s="70">
        <v>55.28</v>
      </c>
      <c r="X192" s="69" t="s">
        <v>53</v>
      </c>
      <c r="Y192" s="70">
        <v>59.89</v>
      </c>
      <c r="Z192" s="69" t="s">
        <v>61</v>
      </c>
      <c r="AA192" s="70">
        <v>41.46</v>
      </c>
      <c r="AB192" s="69">
        <v>9</v>
      </c>
      <c r="AC192" s="69" t="s">
        <v>73</v>
      </c>
      <c r="AD192" s="70">
        <v>36.85</v>
      </c>
      <c r="AE192" s="70">
        <f>IFERROR(factures[[#This Row],[Plvts ]]*factures[[#This Row],[Prix Analyses]],0)</f>
        <v>331.65000000000003</v>
      </c>
      <c r="AF192" s="70">
        <f>factures[[#This Row],[Prix Prestation Amiante 1]]+factures[[#This Row],[Prix Prestation Amiante 2]]+factures[[#This Row],[Prix Prestation Gaz]]+factures[[#This Row],[Prix analyses HT]]</f>
        <v>488.28000000000003</v>
      </c>
      <c r="AG192" s="69" t="s">
        <v>1592</v>
      </c>
      <c r="AH192" s="86" t="s">
        <v>1591</v>
      </c>
      <c r="AI192" s="69"/>
    </row>
    <row r="193" spans="1:35" ht="48" x14ac:dyDescent="0.3">
      <c r="A193" s="92" t="s">
        <v>218</v>
      </c>
      <c r="B193" s="72">
        <v>78500</v>
      </c>
      <c r="C193" s="69" t="s">
        <v>214</v>
      </c>
      <c r="D193" s="69" t="s">
        <v>215</v>
      </c>
      <c r="E193" s="69">
        <v>506</v>
      </c>
      <c r="F193" s="69">
        <v>5</v>
      </c>
      <c r="G193" s="69">
        <v>3</v>
      </c>
      <c r="H193" s="69">
        <v>36186</v>
      </c>
      <c r="I193" s="69">
        <v>588</v>
      </c>
      <c r="J193" s="69" t="s">
        <v>216</v>
      </c>
      <c r="K193" s="69"/>
      <c r="L193" s="69" t="s">
        <v>1234</v>
      </c>
      <c r="M193" s="71">
        <v>43634</v>
      </c>
      <c r="N193" s="69" t="s">
        <v>84</v>
      </c>
      <c r="O193" s="74">
        <v>43635</v>
      </c>
      <c r="P193" s="69" t="s">
        <v>171</v>
      </c>
      <c r="Q193" s="69" t="s">
        <v>77</v>
      </c>
      <c r="R193" s="73" t="s">
        <v>1235</v>
      </c>
      <c r="S193" s="69">
        <v>948352</v>
      </c>
      <c r="T193" s="69"/>
      <c r="U193" s="69" t="s">
        <v>1247</v>
      </c>
      <c r="V193" s="69" t="s">
        <v>55</v>
      </c>
      <c r="W193" s="70">
        <v>55.28</v>
      </c>
      <c r="X193" s="69" t="s">
        <v>53</v>
      </c>
      <c r="Y193" s="70">
        <v>59.89</v>
      </c>
      <c r="Z193" s="69" t="s">
        <v>61</v>
      </c>
      <c r="AA193" s="70">
        <v>41.46</v>
      </c>
      <c r="AB193" s="69">
        <v>4</v>
      </c>
      <c r="AC193" s="69" t="s">
        <v>73</v>
      </c>
      <c r="AD193" s="70">
        <v>36.85</v>
      </c>
      <c r="AE193" s="70">
        <f>IFERROR(factures[[#This Row],[Plvts ]]*factures[[#This Row],[Prix Analyses]],0)</f>
        <v>147.4</v>
      </c>
      <c r="AF193" s="70">
        <f>factures[[#This Row],[Prix Prestation Amiante 1]]+factures[[#This Row],[Prix Prestation Amiante 2]]+factures[[#This Row],[Prix Prestation Gaz]]+factures[[#This Row],[Prix analyses HT]]</f>
        <v>304.02999999999997</v>
      </c>
      <c r="AG193" s="69" t="s">
        <v>2078</v>
      </c>
      <c r="AH193" s="86" t="s">
        <v>2070</v>
      </c>
      <c r="AI193" s="69"/>
    </row>
    <row r="194" spans="1:35" ht="36" x14ac:dyDescent="0.3">
      <c r="A194" s="92" t="s">
        <v>1248</v>
      </c>
      <c r="B194" s="72">
        <v>92500</v>
      </c>
      <c r="C194" s="69" t="s">
        <v>265</v>
      </c>
      <c r="D194" s="69" t="s">
        <v>464</v>
      </c>
      <c r="E194" s="69">
        <v>50</v>
      </c>
      <c r="F194" s="69">
        <v>2</v>
      </c>
      <c r="G194" s="69">
        <v>1</v>
      </c>
      <c r="H194" s="69">
        <v>84526</v>
      </c>
      <c r="I194" s="69">
        <v>9212</v>
      </c>
      <c r="J194" s="69" t="s">
        <v>546</v>
      </c>
      <c r="K194" s="69"/>
      <c r="L194" s="69" t="s">
        <v>1249</v>
      </c>
      <c r="M194" s="71">
        <v>43635</v>
      </c>
      <c r="N194" s="69" t="s">
        <v>71</v>
      </c>
      <c r="O194" s="74">
        <v>43636</v>
      </c>
      <c r="P194" s="69" t="s">
        <v>129</v>
      </c>
      <c r="Q194" s="69" t="s">
        <v>77</v>
      </c>
      <c r="R194" s="73" t="s">
        <v>1250</v>
      </c>
      <c r="S194" s="69">
        <v>948692</v>
      </c>
      <c r="T194" s="69"/>
      <c r="U194" s="69" t="s">
        <v>1264</v>
      </c>
      <c r="V194" s="69" t="s">
        <v>53</v>
      </c>
      <c r="W194" s="70">
        <f>IFERROR(VLOOKUP(factures[[#This Row],[DT Prestation Amiante 1]],presta_amiante1[#Data],2,0),0)</f>
        <v>60.11</v>
      </c>
      <c r="X194" s="69"/>
      <c r="Y194" s="70">
        <f>IFERROR(VLOOKUP(factures[[#This Row],[DT Prestation Amiante 2]],presta_amiante2[#Data],2,0),0)</f>
        <v>0</v>
      </c>
      <c r="Z194" s="69" t="s">
        <v>61</v>
      </c>
      <c r="AA194" s="70">
        <f>IFERROR(VLOOKUP(factures[[#This Row],[DT Prestation Gaz]],presta_gaz[#Data],2,0),0)</f>
        <v>41.62</v>
      </c>
      <c r="AB194" s="69">
        <v>1</v>
      </c>
      <c r="AC194" s="69" t="s">
        <v>73</v>
      </c>
      <c r="AD194" s="70">
        <f>IFERROR(VLOOKUP(factures[[#This Row],[DT Analyses]],DT_analyses[#Data],2,0),0)</f>
        <v>36.99</v>
      </c>
      <c r="AE194" s="70">
        <f>IFERROR(factures[[#This Row],[Plvts ]]*factures[[#This Row],[Prix Analyses]],0)</f>
        <v>36.99</v>
      </c>
      <c r="AF194" s="70">
        <f>factures[[#This Row],[Prix Prestation Amiante 1]]+factures[[#This Row],[Prix Prestation Amiante 2]]+factures[[#This Row],[Prix Prestation Gaz]]+factures[[#This Row],[Prix analyses HT]]</f>
        <v>138.72</v>
      </c>
      <c r="AG194" s="69" t="s">
        <v>1408</v>
      </c>
      <c r="AH194" s="86" t="s">
        <v>1404</v>
      </c>
      <c r="AI194" s="69"/>
    </row>
    <row r="195" spans="1:35" ht="108" x14ac:dyDescent="0.3">
      <c r="A195" s="92" t="s">
        <v>461</v>
      </c>
      <c r="B195" s="72">
        <v>78540</v>
      </c>
      <c r="C195" s="69" t="s">
        <v>1251</v>
      </c>
      <c r="D195" s="69" t="s">
        <v>639</v>
      </c>
      <c r="E195" s="69">
        <v>202</v>
      </c>
      <c r="F195" s="69">
        <v>2</v>
      </c>
      <c r="G195" s="69">
        <v>3</v>
      </c>
      <c r="H195" s="69">
        <v>53223</v>
      </c>
      <c r="I195" s="69">
        <v>9700</v>
      </c>
      <c r="J195" s="69" t="s">
        <v>1226</v>
      </c>
      <c r="K195" s="69"/>
      <c r="L195" s="69" t="s">
        <v>1252</v>
      </c>
      <c r="M195" s="71">
        <v>43635</v>
      </c>
      <c r="N195" s="69" t="s">
        <v>84</v>
      </c>
      <c r="O195" s="74">
        <v>43636</v>
      </c>
      <c r="P195" s="87" t="s">
        <v>129</v>
      </c>
      <c r="Q195" s="69" t="s">
        <v>77</v>
      </c>
      <c r="R195" s="73" t="s">
        <v>1253</v>
      </c>
      <c r="S195" s="69">
        <v>948646</v>
      </c>
      <c r="T195" s="69"/>
      <c r="U195" s="69" t="s">
        <v>1265</v>
      </c>
      <c r="V195" s="69" t="s">
        <v>55</v>
      </c>
      <c r="W195" s="70">
        <f>IFERROR(VLOOKUP(factures[[#This Row],[DT Prestation Amiante 1]],presta_amiante1[#Data],2,0),0)</f>
        <v>55.49</v>
      </c>
      <c r="X195" s="69" t="s">
        <v>53</v>
      </c>
      <c r="Y195" s="70">
        <f>IFERROR(VLOOKUP(factures[[#This Row],[DT Prestation Amiante 2]],presta_amiante2[#Data],2,0),0)</f>
        <v>60.11</v>
      </c>
      <c r="Z195" s="69" t="s">
        <v>61</v>
      </c>
      <c r="AA195" s="70">
        <f>IFERROR(VLOOKUP(factures[[#This Row],[DT Prestation Gaz]],presta_gaz[#Data],2,0),0)</f>
        <v>41.62</v>
      </c>
      <c r="AB195" s="69">
        <v>14</v>
      </c>
      <c r="AC195" s="69" t="s">
        <v>73</v>
      </c>
      <c r="AD195" s="70">
        <f>IFERROR(VLOOKUP(factures[[#This Row],[DT Analyses]],DT_analyses[#Data],2,0),0)</f>
        <v>36.99</v>
      </c>
      <c r="AE195" s="70">
        <f>IFERROR(factures[[#This Row],[Plvts ]]*factures[[#This Row],[Prix Analyses]],0)</f>
        <v>517.86</v>
      </c>
      <c r="AF195" s="70">
        <f>factures[[#This Row],[Prix Prestation Amiante 1]]+factures[[#This Row],[Prix Prestation Amiante 2]]+factures[[#This Row],[Prix Prestation Gaz]]+factures[[#This Row],[Prix analyses HT]]</f>
        <v>675.08</v>
      </c>
      <c r="AG195" s="69" t="s">
        <v>1352</v>
      </c>
      <c r="AH195" s="86" t="s">
        <v>1351</v>
      </c>
      <c r="AI195" s="69"/>
    </row>
    <row r="196" spans="1:35" ht="40.799999999999997" x14ac:dyDescent="0.3">
      <c r="A196" s="92" t="s">
        <v>1254</v>
      </c>
      <c r="B196" s="72">
        <v>78570</v>
      </c>
      <c r="C196" s="69" t="s">
        <v>568</v>
      </c>
      <c r="D196" s="69" t="s">
        <v>805</v>
      </c>
      <c r="E196" s="69">
        <v>1</v>
      </c>
      <c r="F196" s="69" t="s">
        <v>102</v>
      </c>
      <c r="G196" s="69">
        <v>3</v>
      </c>
      <c r="H196" s="69">
        <v>52446</v>
      </c>
      <c r="I196" s="69">
        <v>9288</v>
      </c>
      <c r="J196" s="69" t="s">
        <v>570</v>
      </c>
      <c r="K196" s="69"/>
      <c r="L196" s="69" t="s">
        <v>1255</v>
      </c>
      <c r="M196" s="71">
        <v>43635</v>
      </c>
      <c r="N196" s="69" t="s">
        <v>84</v>
      </c>
      <c r="O196" s="74">
        <v>43636</v>
      </c>
      <c r="P196" s="69" t="s">
        <v>131</v>
      </c>
      <c r="Q196" s="69" t="s">
        <v>77</v>
      </c>
      <c r="R196" s="73" t="s">
        <v>1256</v>
      </c>
      <c r="S196" s="69">
        <v>948643</v>
      </c>
      <c r="T196" s="69"/>
      <c r="U196" s="69" t="s">
        <v>1266</v>
      </c>
      <c r="V196" s="69" t="s">
        <v>55</v>
      </c>
      <c r="W196" s="70">
        <f>IFERROR(VLOOKUP(factures[[#This Row],[DT Prestation Amiante 1]],presta_amiante1[#Data],2,0),0)</f>
        <v>55.49</v>
      </c>
      <c r="X196" s="69" t="s">
        <v>53</v>
      </c>
      <c r="Y196" s="70">
        <f>IFERROR(VLOOKUP(factures[[#This Row],[DT Prestation Amiante 2]],presta_amiante2[#Data],2,0),0)</f>
        <v>60.11</v>
      </c>
      <c r="Z196" s="69" t="s">
        <v>61</v>
      </c>
      <c r="AA196" s="70">
        <f>IFERROR(VLOOKUP(factures[[#This Row],[DT Prestation Gaz]],presta_gaz[#Data],2,0),0)</f>
        <v>41.62</v>
      </c>
      <c r="AB196" s="69">
        <v>4</v>
      </c>
      <c r="AC196" s="69" t="s">
        <v>73</v>
      </c>
      <c r="AD196" s="70">
        <f>IFERROR(VLOOKUP(factures[[#This Row],[DT Analyses]],DT_analyses[#Data],2,0),0)</f>
        <v>36.99</v>
      </c>
      <c r="AE196" s="70">
        <f>IFERROR(factures[[#This Row],[Plvts ]]*factures[[#This Row],[Prix Analyses]],0)</f>
        <v>147.96</v>
      </c>
      <c r="AF196" s="70">
        <f>factures[[#This Row],[Prix Prestation Amiante 1]]+factures[[#This Row],[Prix Prestation Amiante 2]]+factures[[#This Row],[Prix Prestation Gaz]]+factures[[#This Row],[Prix analyses HT]]</f>
        <v>305.18</v>
      </c>
      <c r="AG196" s="69" t="s">
        <v>1353</v>
      </c>
      <c r="AH196" s="86" t="s">
        <v>1351</v>
      </c>
      <c r="AI196" s="69"/>
    </row>
    <row r="197" spans="1:35" ht="36" x14ac:dyDescent="0.3">
      <c r="A197" s="92" t="s">
        <v>1257</v>
      </c>
      <c r="B197" s="72">
        <v>78180</v>
      </c>
      <c r="C197" s="69" t="s">
        <v>115</v>
      </c>
      <c r="D197" s="69" t="s">
        <v>116</v>
      </c>
      <c r="E197" s="69">
        <v>101</v>
      </c>
      <c r="F197" s="69">
        <v>1</v>
      </c>
      <c r="G197" s="69">
        <v>3</v>
      </c>
      <c r="H197" s="69">
        <v>52674</v>
      </c>
      <c r="I197" s="69">
        <v>9356</v>
      </c>
      <c r="J197" s="69" t="s">
        <v>1045</v>
      </c>
      <c r="K197" s="69"/>
      <c r="L197" s="69" t="s">
        <v>1258</v>
      </c>
      <c r="M197" s="71">
        <v>43636</v>
      </c>
      <c r="N197" s="69" t="s">
        <v>83</v>
      </c>
      <c r="O197" s="74"/>
      <c r="P197" s="69"/>
      <c r="Q197" s="69" t="s">
        <v>77</v>
      </c>
      <c r="R197" s="73" t="s">
        <v>1259</v>
      </c>
      <c r="S197" s="69">
        <v>948950</v>
      </c>
      <c r="T197" s="69"/>
      <c r="U197" s="69" t="s">
        <v>1279</v>
      </c>
      <c r="V197" s="69" t="s">
        <v>55</v>
      </c>
      <c r="W197" s="70">
        <f>IFERROR(VLOOKUP(factures[[#This Row],[DT Prestation Amiante 1]],presta_amiante1[#Data],2,0),0)</f>
        <v>55.49</v>
      </c>
      <c r="X197" s="69" t="s">
        <v>53</v>
      </c>
      <c r="Y197" s="70">
        <f>IFERROR(VLOOKUP(factures[[#This Row],[DT Prestation Amiante 2]],presta_amiante2[#Data],2,0),0)</f>
        <v>60.11</v>
      </c>
      <c r="Z197" s="69"/>
      <c r="AA197" s="70">
        <f>IFERROR(VLOOKUP(factures[[#This Row],[DT Prestation Gaz]],presta_gaz[#Data],2,0),0)</f>
        <v>0</v>
      </c>
      <c r="AB197" s="69">
        <v>4</v>
      </c>
      <c r="AC197" s="69" t="s">
        <v>73</v>
      </c>
      <c r="AD197" s="70">
        <f>IFERROR(VLOOKUP(factures[[#This Row],[DT Analyses]],DT_analyses[#Data],2,0),0)</f>
        <v>36.99</v>
      </c>
      <c r="AE197" s="70">
        <f>IFERROR(factures[[#This Row],[Plvts ]]*factures[[#This Row],[Prix Analyses]],0)</f>
        <v>147.96</v>
      </c>
      <c r="AF197" s="70">
        <f>factures[[#This Row],[Prix Prestation Amiante 1]]+factures[[#This Row],[Prix Prestation Amiante 2]]+factures[[#This Row],[Prix Prestation Gaz]]+factures[[#This Row],[Prix analyses HT]]</f>
        <v>263.56</v>
      </c>
      <c r="AG197" s="69" t="s">
        <v>1960</v>
      </c>
      <c r="AH197" s="86" t="s">
        <v>1959</v>
      </c>
      <c r="AI197" s="69"/>
    </row>
    <row r="198" spans="1:35" ht="36" x14ac:dyDescent="0.3">
      <c r="A198" s="92" t="s">
        <v>1260</v>
      </c>
      <c r="B198" s="72">
        <v>78220</v>
      </c>
      <c r="C198" s="69" t="s">
        <v>938</v>
      </c>
      <c r="D198" s="69" t="s">
        <v>939</v>
      </c>
      <c r="E198" s="69">
        <v>403</v>
      </c>
      <c r="F198" s="69">
        <v>4</v>
      </c>
      <c r="G198" s="69">
        <v>2</v>
      </c>
      <c r="H198" s="69">
        <v>30590</v>
      </c>
      <c r="I198" s="69">
        <v>432</v>
      </c>
      <c r="J198" s="69" t="s">
        <v>940</v>
      </c>
      <c r="K198" s="69"/>
      <c r="L198" s="69" t="s">
        <v>1262</v>
      </c>
      <c r="M198" s="71">
        <v>43636</v>
      </c>
      <c r="N198" s="69" t="s">
        <v>84</v>
      </c>
      <c r="O198" s="74">
        <v>43650</v>
      </c>
      <c r="P198" s="69" t="s">
        <v>1354</v>
      </c>
      <c r="Q198" s="69" t="s">
        <v>77</v>
      </c>
      <c r="R198" s="73" t="s">
        <v>1263</v>
      </c>
      <c r="S198" s="69">
        <v>948949</v>
      </c>
      <c r="T198" s="69"/>
      <c r="U198" s="69" t="s">
        <v>1380</v>
      </c>
      <c r="V198" s="69" t="s">
        <v>55</v>
      </c>
      <c r="W198" s="70">
        <f>IFERROR(VLOOKUP(factures[[#This Row],[DT Prestation Amiante 1]],presta_amiante1[#Data],2,0),0)</f>
        <v>55.49</v>
      </c>
      <c r="X198" s="69" t="s">
        <v>53</v>
      </c>
      <c r="Y198" s="70">
        <f>IFERROR(VLOOKUP(factures[[#This Row],[DT Prestation Amiante 2]],presta_amiante2[#Data],2,0),0)</f>
        <v>60.11</v>
      </c>
      <c r="Z198" s="69" t="s">
        <v>61</v>
      </c>
      <c r="AA198" s="70">
        <f>IFERROR(VLOOKUP(factures[[#This Row],[DT Prestation Gaz]],presta_gaz[#Data],2,0),0)</f>
        <v>41.62</v>
      </c>
      <c r="AB198" s="69">
        <v>1</v>
      </c>
      <c r="AC198" s="69" t="s">
        <v>73</v>
      </c>
      <c r="AD198" s="70">
        <f>IFERROR(VLOOKUP(factures[[#This Row],[DT Analyses]],DT_analyses[#Data],2,0),0)</f>
        <v>36.99</v>
      </c>
      <c r="AE198" s="70">
        <f>IFERROR(factures[[#This Row],[Plvts ]]*factures[[#This Row],[Prix Analyses]],0)</f>
        <v>36.99</v>
      </c>
      <c r="AF198" s="70">
        <f>factures[[#This Row],[Prix Prestation Amiante 1]]+factures[[#This Row],[Prix Prestation Amiante 2]]+factures[[#This Row],[Prix Prestation Gaz]]+factures[[#This Row],[Prix analyses HT]]</f>
        <v>194.21</v>
      </c>
      <c r="AG198" s="69" t="s">
        <v>1977</v>
      </c>
      <c r="AH198" s="86" t="s">
        <v>1959</v>
      </c>
      <c r="AI198" s="69"/>
    </row>
    <row r="199" spans="1:35" ht="108" x14ac:dyDescent="0.3">
      <c r="A199" s="92" t="s">
        <v>1280</v>
      </c>
      <c r="B199" s="72">
        <v>78540</v>
      </c>
      <c r="C199" s="69" t="s">
        <v>351</v>
      </c>
      <c r="D199" s="69" t="s">
        <v>639</v>
      </c>
      <c r="E199" s="69">
        <v>402</v>
      </c>
      <c r="F199" s="69">
        <v>4</v>
      </c>
      <c r="G199" s="69">
        <v>3</v>
      </c>
      <c r="H199" s="69">
        <v>52907</v>
      </c>
      <c r="I199" s="69">
        <v>9700</v>
      </c>
      <c r="J199" s="69" t="s">
        <v>1226</v>
      </c>
      <c r="K199" s="69"/>
      <c r="L199" s="69" t="s">
        <v>1281</v>
      </c>
      <c r="M199" s="71">
        <v>43641</v>
      </c>
      <c r="N199" s="69" t="s">
        <v>84</v>
      </c>
      <c r="O199" s="71">
        <v>43642</v>
      </c>
      <c r="P199" s="69"/>
      <c r="Q199" s="69" t="s">
        <v>77</v>
      </c>
      <c r="R199" s="73" t="s">
        <v>1282</v>
      </c>
      <c r="S199" s="69">
        <v>949779</v>
      </c>
      <c r="T199" s="69"/>
      <c r="U199" s="69" t="s">
        <v>1296</v>
      </c>
      <c r="V199" s="69" t="s">
        <v>55</v>
      </c>
      <c r="W199" s="70">
        <v>54</v>
      </c>
      <c r="X199" s="69" t="s">
        <v>53</v>
      </c>
      <c r="Y199" s="70">
        <v>58.5</v>
      </c>
      <c r="Z199" s="69" t="s">
        <v>61</v>
      </c>
      <c r="AA199" s="70">
        <v>40.5</v>
      </c>
      <c r="AB199" s="69">
        <v>11</v>
      </c>
      <c r="AC199" s="69" t="s">
        <v>73</v>
      </c>
      <c r="AD199" s="70">
        <v>36</v>
      </c>
      <c r="AE199" s="70">
        <f>IFERROR(factures[[#This Row],[Plvts ]]*factures[[#This Row],[Prix Analyses]],0)</f>
        <v>396</v>
      </c>
      <c r="AF199" s="70">
        <f>factures[[#This Row],[Prix Prestation Amiante 1]]+factures[[#This Row],[Prix Prestation Amiante 2]]+factures[[#This Row],[Prix Prestation Gaz]]+factures[[#This Row],[Prix analyses HT]]</f>
        <v>549</v>
      </c>
      <c r="AG199" s="69" t="s">
        <v>1508</v>
      </c>
      <c r="AH199" s="86" t="s">
        <v>1507</v>
      </c>
      <c r="AI199" s="69"/>
    </row>
    <row r="200" spans="1:35" ht="108" x14ac:dyDescent="0.3">
      <c r="A200" s="92" t="s">
        <v>1283</v>
      </c>
      <c r="B200" s="72">
        <v>78540</v>
      </c>
      <c r="C200" s="69" t="s">
        <v>351</v>
      </c>
      <c r="D200" s="101" t="s">
        <v>460</v>
      </c>
      <c r="E200" s="69">
        <v>102</v>
      </c>
      <c r="F200" s="69">
        <v>1</v>
      </c>
      <c r="G200" s="69">
        <v>3</v>
      </c>
      <c r="H200" s="69">
        <v>52871</v>
      </c>
      <c r="I200" s="69">
        <v>9700</v>
      </c>
      <c r="J200" s="69" t="s">
        <v>1226</v>
      </c>
      <c r="K200" s="69"/>
      <c r="L200" s="69" t="s">
        <v>1284</v>
      </c>
      <c r="M200" s="71">
        <v>43641</v>
      </c>
      <c r="N200" s="69" t="s">
        <v>84</v>
      </c>
      <c r="O200" s="71">
        <v>43642</v>
      </c>
      <c r="P200" s="69"/>
      <c r="Q200" s="69" t="s">
        <v>77</v>
      </c>
      <c r="R200" s="73" t="s">
        <v>1285</v>
      </c>
      <c r="S200" s="69">
        <v>949712</v>
      </c>
      <c r="T200" s="69"/>
      <c r="U200" s="69" t="s">
        <v>1297</v>
      </c>
      <c r="V200" s="69" t="s">
        <v>55</v>
      </c>
      <c r="W200" s="70">
        <f>IFERROR(VLOOKUP(factures[[#This Row],[DT Prestation Amiante 1]],presta_amiante1[#Data],2,0),0)</f>
        <v>55.49</v>
      </c>
      <c r="X200" s="69" t="s">
        <v>53</v>
      </c>
      <c r="Y200" s="70">
        <f>IFERROR(VLOOKUP(factures[[#This Row],[DT Prestation Amiante 2]],presta_amiante2[#Data],2,0),0)</f>
        <v>60.11</v>
      </c>
      <c r="Z200" s="69" t="s">
        <v>61</v>
      </c>
      <c r="AA200" s="70">
        <f>IFERROR(VLOOKUP(factures[[#This Row],[DT Prestation Gaz]],presta_gaz[#Data],2,0),0)</f>
        <v>41.62</v>
      </c>
      <c r="AB200" s="69">
        <v>12</v>
      </c>
      <c r="AC200" s="69" t="s">
        <v>73</v>
      </c>
      <c r="AD200" s="70">
        <f>IFERROR(VLOOKUP(factures[[#This Row],[DT Analyses]],DT_analyses[#Data],2,0),0)</f>
        <v>36.99</v>
      </c>
      <c r="AE200" s="70">
        <f>IFERROR(factures[[#This Row],[Plvts ]]*factures[[#This Row],[Prix Analyses]],0)</f>
        <v>443.88</v>
      </c>
      <c r="AF200" s="70">
        <f>factures[[#This Row],[Prix Prestation Amiante 1]]+factures[[#This Row],[Prix Prestation Amiante 2]]+factures[[#This Row],[Prix Prestation Gaz]]+factures[[#This Row],[Prix analyses HT]]</f>
        <v>601.1</v>
      </c>
      <c r="AG200" s="69" t="s">
        <v>1372</v>
      </c>
      <c r="AH200" s="86" t="s">
        <v>1373</v>
      </c>
      <c r="AI200" s="69"/>
    </row>
    <row r="201" spans="1:35" ht="108" x14ac:dyDescent="0.3">
      <c r="A201" s="92" t="s">
        <v>987</v>
      </c>
      <c r="B201" s="72">
        <v>78540</v>
      </c>
      <c r="C201" s="69" t="s">
        <v>351</v>
      </c>
      <c r="D201" s="101" t="s">
        <v>460</v>
      </c>
      <c r="E201" s="69">
        <v>803</v>
      </c>
      <c r="F201" s="69">
        <v>8</v>
      </c>
      <c r="G201" s="69">
        <v>3</v>
      </c>
      <c r="H201" s="69">
        <v>53509</v>
      </c>
      <c r="I201" s="69">
        <v>9700</v>
      </c>
      <c r="J201" s="69" t="s">
        <v>1226</v>
      </c>
      <c r="K201" s="69"/>
      <c r="L201" s="69" t="s">
        <v>1286</v>
      </c>
      <c r="M201" s="71">
        <v>43641</v>
      </c>
      <c r="N201" s="69" t="s">
        <v>84</v>
      </c>
      <c r="O201" s="71"/>
      <c r="P201" s="69"/>
      <c r="Q201" s="69" t="s">
        <v>77</v>
      </c>
      <c r="R201" s="73" t="s">
        <v>1287</v>
      </c>
      <c r="S201" s="69">
        <v>949717</v>
      </c>
      <c r="T201" s="69"/>
      <c r="U201" s="69" t="s">
        <v>1298</v>
      </c>
      <c r="V201" s="69" t="s">
        <v>55</v>
      </c>
      <c r="W201" s="70">
        <f>IFERROR(VLOOKUP(factures[[#This Row],[DT Prestation Amiante 1]],presta_amiante1[#Data],2,0),0)</f>
        <v>55.49</v>
      </c>
      <c r="X201" s="69" t="s">
        <v>53</v>
      </c>
      <c r="Y201" s="70">
        <f>IFERROR(VLOOKUP(factures[[#This Row],[DT Prestation Amiante 2]],presta_amiante2[#Data],2,0),0)</f>
        <v>60.11</v>
      </c>
      <c r="Z201" s="69" t="s">
        <v>61</v>
      </c>
      <c r="AA201" s="70">
        <f>IFERROR(VLOOKUP(factures[[#This Row],[DT Prestation Gaz]],presta_gaz[#Data],2,0),0)</f>
        <v>41.62</v>
      </c>
      <c r="AB201" s="69">
        <v>8</v>
      </c>
      <c r="AC201" s="69" t="s">
        <v>73</v>
      </c>
      <c r="AD201" s="70">
        <f>IFERROR(VLOOKUP(factures[[#This Row],[DT Analyses]],DT_analyses[#Data],2,0),0)</f>
        <v>36.99</v>
      </c>
      <c r="AE201" s="70">
        <f>IFERROR(factures[[#This Row],[Plvts ]]*factures[[#This Row],[Prix Analyses]],0)</f>
        <v>295.92</v>
      </c>
      <c r="AF201" s="70">
        <f>factures[[#This Row],[Prix Prestation Amiante 1]]+factures[[#This Row],[Prix Prestation Amiante 2]]+factures[[#This Row],[Prix Prestation Gaz]]+factures[[#This Row],[Prix analyses HT]]</f>
        <v>453.14</v>
      </c>
      <c r="AG201" s="69" t="s">
        <v>1374</v>
      </c>
      <c r="AH201" s="86" t="s">
        <v>1373</v>
      </c>
      <c r="AI201" s="69"/>
    </row>
    <row r="202" spans="1:35" ht="36" x14ac:dyDescent="0.3">
      <c r="A202" s="92" t="s">
        <v>1173</v>
      </c>
      <c r="B202" s="72">
        <v>78280</v>
      </c>
      <c r="C202" s="69" t="s">
        <v>1066</v>
      </c>
      <c r="D202" s="69" t="s">
        <v>1174</v>
      </c>
      <c r="E202" s="69">
        <v>1</v>
      </c>
      <c r="F202" s="69" t="s">
        <v>102</v>
      </c>
      <c r="G202" s="69">
        <v>4</v>
      </c>
      <c r="H202" s="69">
        <v>9325</v>
      </c>
      <c r="I202" s="69">
        <v>136</v>
      </c>
      <c r="J202" s="69" t="s">
        <v>1065</v>
      </c>
      <c r="K202" s="69"/>
      <c r="L202" s="69" t="s">
        <v>1288</v>
      </c>
      <c r="M202" s="71">
        <v>43641</v>
      </c>
      <c r="N202" s="69" t="s">
        <v>70</v>
      </c>
      <c r="O202" s="71">
        <v>43650</v>
      </c>
      <c r="P202" s="69"/>
      <c r="Q202" s="69" t="s">
        <v>77</v>
      </c>
      <c r="R202" s="73" t="s">
        <v>1289</v>
      </c>
      <c r="S202" s="69">
        <v>949332</v>
      </c>
      <c r="T202" s="69"/>
      <c r="U202" s="69" t="s">
        <v>1381</v>
      </c>
      <c r="V202" s="69" t="s">
        <v>54</v>
      </c>
      <c r="W202" s="70">
        <f>IFERROR(VLOOKUP(factures[[#This Row],[DT Prestation Amiante 1]],presta_amiante1[#Data],2,0),0)</f>
        <v>69.36</v>
      </c>
      <c r="X202" s="69"/>
      <c r="Y202" s="70">
        <f>IFERROR(VLOOKUP(factures[[#This Row],[DT Prestation Amiante 2]],presta_amiante2[#Data],2,0),0)</f>
        <v>0</v>
      </c>
      <c r="Z202" s="69"/>
      <c r="AA202" s="70">
        <f>IFERROR(VLOOKUP(factures[[#This Row],[DT Prestation Gaz]],presta_gaz[#Data],2,0),0)</f>
        <v>0</v>
      </c>
      <c r="AB202" s="69">
        <v>4</v>
      </c>
      <c r="AC202" s="69" t="s">
        <v>73</v>
      </c>
      <c r="AD202" s="70">
        <f>IFERROR(VLOOKUP(factures[[#This Row],[DT Analyses]],DT_analyses[#Data],2,0),0)</f>
        <v>36.99</v>
      </c>
      <c r="AE202" s="70">
        <f>IFERROR(factures[[#This Row],[Plvts ]]*factures[[#This Row],[Prix Analyses]],0)</f>
        <v>147.96</v>
      </c>
      <c r="AF202" s="70">
        <f>factures[[#This Row],[Prix Prestation Amiante 1]]+factures[[#This Row],[Prix Prestation Amiante 2]]+factures[[#This Row],[Prix Prestation Gaz]]+factures[[#This Row],[Prix analyses HT]]</f>
        <v>217.32</v>
      </c>
      <c r="AG202" s="69" t="s">
        <v>1961</v>
      </c>
      <c r="AH202" s="86" t="s">
        <v>1959</v>
      </c>
      <c r="AI202" s="69"/>
    </row>
    <row r="203" spans="1:35" ht="36" x14ac:dyDescent="0.3">
      <c r="A203" s="92" t="s">
        <v>1290</v>
      </c>
      <c r="B203" s="72">
        <v>92260</v>
      </c>
      <c r="C203" s="69" t="s">
        <v>500</v>
      </c>
      <c r="D203" s="69" t="s">
        <v>528</v>
      </c>
      <c r="E203" s="69">
        <v>104</v>
      </c>
      <c r="F203" s="69">
        <v>1</v>
      </c>
      <c r="G203" s="69">
        <v>3</v>
      </c>
      <c r="H203" s="69">
        <v>44927</v>
      </c>
      <c r="I203" s="69">
        <v>885</v>
      </c>
      <c r="J203" s="84" t="s">
        <v>529</v>
      </c>
      <c r="K203" s="69"/>
      <c r="L203" s="69" t="s">
        <v>1291</v>
      </c>
      <c r="M203" s="71">
        <v>43641</v>
      </c>
      <c r="N203" s="69" t="s">
        <v>70</v>
      </c>
      <c r="O203" s="71">
        <v>43643</v>
      </c>
      <c r="P203" s="69" t="s">
        <v>129</v>
      </c>
      <c r="Q203" s="69" t="s">
        <v>77</v>
      </c>
      <c r="R203" s="73" t="s">
        <v>1292</v>
      </c>
      <c r="S203" s="69">
        <v>949636</v>
      </c>
      <c r="T203" s="69"/>
      <c r="U203" s="69" t="s">
        <v>1299</v>
      </c>
      <c r="V203" s="69" t="s">
        <v>53</v>
      </c>
      <c r="W203" s="70">
        <v>58.5</v>
      </c>
      <c r="X203" s="69"/>
      <c r="Y203" s="70">
        <f>IFERROR(VLOOKUP(factures[[#This Row],[DT Prestation Amiante 2]],presta_amiante2[#Data],2,0),0)</f>
        <v>0</v>
      </c>
      <c r="Z203" s="69"/>
      <c r="AA203" s="70">
        <f>IFERROR(VLOOKUP(factures[[#This Row],[DT Prestation Gaz]],presta_gaz[#Data],2,0),0)</f>
        <v>0</v>
      </c>
      <c r="AB203" s="69">
        <v>4</v>
      </c>
      <c r="AC203" s="69" t="s">
        <v>73</v>
      </c>
      <c r="AD203" s="70">
        <v>36</v>
      </c>
      <c r="AE203" s="70">
        <f>IFERROR(factures[[#This Row],[Plvts ]]*factures[[#This Row],[Prix Analyses]],0)</f>
        <v>144</v>
      </c>
      <c r="AF203" s="70">
        <f>factures[[#This Row],[Prix Prestation Amiante 1]]+factures[[#This Row],[Prix Prestation Amiante 2]]+factures[[#This Row],[Prix Prestation Gaz]]+factures[[#This Row],[Prix analyses HT]]</f>
        <v>202.5</v>
      </c>
      <c r="AG203" s="69" t="s">
        <v>1409</v>
      </c>
      <c r="AH203" s="86" t="s">
        <v>1404</v>
      </c>
      <c r="AI203" s="69"/>
    </row>
    <row r="204" spans="1:35" ht="36" x14ac:dyDescent="0.3">
      <c r="A204" s="92" t="s">
        <v>960</v>
      </c>
      <c r="B204" s="72">
        <v>94460</v>
      </c>
      <c r="C204" s="69" t="s">
        <v>100</v>
      </c>
      <c r="D204" s="69" t="s">
        <v>183</v>
      </c>
      <c r="E204" s="69">
        <v>102</v>
      </c>
      <c r="F204" s="69">
        <v>1</v>
      </c>
      <c r="G204" s="69">
        <v>3</v>
      </c>
      <c r="H204" s="69">
        <v>49152</v>
      </c>
      <c r="I204" s="69">
        <v>9124</v>
      </c>
      <c r="J204" s="89"/>
      <c r="K204" s="69"/>
      <c r="L204" s="69" t="s">
        <v>1294</v>
      </c>
      <c r="M204" s="71">
        <v>43641</v>
      </c>
      <c r="N204" s="69" t="s">
        <v>70</v>
      </c>
      <c r="O204" s="71"/>
      <c r="P204" s="69"/>
      <c r="Q204" s="69" t="s">
        <v>77</v>
      </c>
      <c r="R204" s="73" t="s">
        <v>962</v>
      </c>
      <c r="S204" s="69">
        <v>949898</v>
      </c>
      <c r="T204" s="69"/>
      <c r="U204" s="69"/>
      <c r="V204" s="69" t="s">
        <v>53</v>
      </c>
      <c r="W204" s="70">
        <v>58.5</v>
      </c>
      <c r="X204" s="69"/>
      <c r="Y204" s="70">
        <f>IFERROR(VLOOKUP(factures[[#This Row],[DT Prestation Amiante 2]],presta_amiante2[#Data],2,0),0)</f>
        <v>0</v>
      </c>
      <c r="Z204" s="69"/>
      <c r="AA204" s="70">
        <f>IFERROR(VLOOKUP(factures[[#This Row],[DT Prestation Gaz]],presta_gaz[#Data],2,0),0)</f>
        <v>0</v>
      </c>
      <c r="AB204" s="69">
        <v>5</v>
      </c>
      <c r="AC204" s="69" t="s">
        <v>73</v>
      </c>
      <c r="AD204" s="70">
        <v>36</v>
      </c>
      <c r="AE204" s="70">
        <f>IFERROR(factures[[#This Row],[Plvts ]]*factures[[#This Row],[Prix Analyses]],0)</f>
        <v>180</v>
      </c>
      <c r="AF204" s="70">
        <f>factures[[#This Row],[Prix Prestation Amiante 1]]+factures[[#This Row],[Prix Prestation Amiante 2]]+factures[[#This Row],[Prix Prestation Gaz]]+factures[[#This Row],[Prix analyses HT]]</f>
        <v>238.5</v>
      </c>
      <c r="AG204" s="69" t="s">
        <v>1295</v>
      </c>
      <c r="AH204" s="86" t="s">
        <v>1293</v>
      </c>
      <c r="AI204" s="69"/>
    </row>
    <row r="205" spans="1:35" ht="36" x14ac:dyDescent="0.3">
      <c r="A205" s="92" t="s">
        <v>268</v>
      </c>
      <c r="B205" s="72">
        <v>94460</v>
      </c>
      <c r="C205" s="69" t="s">
        <v>100</v>
      </c>
      <c r="D205" s="69" t="s">
        <v>183</v>
      </c>
      <c r="E205" s="69">
        <v>1</v>
      </c>
      <c r="F205" s="69" t="s">
        <v>102</v>
      </c>
      <c r="G205" s="69">
        <v>4</v>
      </c>
      <c r="H205" s="69">
        <v>49167</v>
      </c>
      <c r="I205" s="69">
        <v>9124</v>
      </c>
      <c r="J205" s="98" t="s">
        <v>1130</v>
      </c>
      <c r="K205" s="69"/>
      <c r="L205" s="69" t="s">
        <v>1313</v>
      </c>
      <c r="M205" s="71">
        <v>43644</v>
      </c>
      <c r="N205" s="69" t="s">
        <v>71</v>
      </c>
      <c r="O205" s="71">
        <v>43651</v>
      </c>
      <c r="P205" s="69"/>
      <c r="Q205" s="69" t="s">
        <v>77</v>
      </c>
      <c r="R205" s="73" t="s">
        <v>1314</v>
      </c>
      <c r="S205" s="69">
        <v>950386</v>
      </c>
      <c r="T205" s="69"/>
      <c r="U205" s="69" t="s">
        <v>1382</v>
      </c>
      <c r="V205" s="69" t="s">
        <v>53</v>
      </c>
      <c r="W205" s="70">
        <v>58.5</v>
      </c>
      <c r="X205" s="69"/>
      <c r="Y205" s="70">
        <f>IFERROR(VLOOKUP(factures[[#This Row],[DT Prestation Amiante 2]],presta_amiante2[#Data],2,0),0)</f>
        <v>0</v>
      </c>
      <c r="Z205" s="69" t="s">
        <v>62</v>
      </c>
      <c r="AA205" s="70">
        <v>47.7</v>
      </c>
      <c r="AB205" s="69">
        <v>1</v>
      </c>
      <c r="AC205" s="69" t="s">
        <v>73</v>
      </c>
      <c r="AD205" s="70">
        <v>36</v>
      </c>
      <c r="AE205" s="70">
        <f>IFERROR(factures[[#This Row],[Plvts ]]*factures[[#This Row],[Prix Analyses]],0)</f>
        <v>36</v>
      </c>
      <c r="AF205" s="70">
        <f>factures[[#This Row],[Prix Prestation Amiante 1]]+factures[[#This Row],[Prix Prestation Amiante 2]]+factures[[#This Row],[Prix Prestation Gaz]]+factures[[#This Row],[Prix analyses HT]]</f>
        <v>142.19999999999999</v>
      </c>
      <c r="AG205" s="69" t="s">
        <v>1509</v>
      </c>
      <c r="AH205" s="86" t="s">
        <v>1507</v>
      </c>
      <c r="AI205" s="69"/>
    </row>
    <row r="206" spans="1:35" ht="51" x14ac:dyDescent="0.3">
      <c r="A206" s="92" t="s">
        <v>1315</v>
      </c>
      <c r="B206" s="72">
        <v>78570</v>
      </c>
      <c r="C206" s="69" t="s">
        <v>568</v>
      </c>
      <c r="D206" s="69" t="s">
        <v>805</v>
      </c>
      <c r="E206" s="69">
        <v>101</v>
      </c>
      <c r="F206" s="69">
        <v>1</v>
      </c>
      <c r="G206" s="69">
        <v>3</v>
      </c>
      <c r="H206" s="69">
        <v>52430</v>
      </c>
      <c r="I206" s="69">
        <v>9288</v>
      </c>
      <c r="J206" s="69" t="s">
        <v>570</v>
      </c>
      <c r="K206" s="69"/>
      <c r="L206" s="69" t="s">
        <v>1316</v>
      </c>
      <c r="M206" s="71">
        <v>43644</v>
      </c>
      <c r="N206" s="69" t="s">
        <v>84</v>
      </c>
      <c r="O206" s="71">
        <v>43650</v>
      </c>
      <c r="P206" s="69" t="s">
        <v>171</v>
      </c>
      <c r="Q206" s="69" t="s">
        <v>77</v>
      </c>
      <c r="R206" s="73" t="s">
        <v>1317</v>
      </c>
      <c r="S206" s="69">
        <v>950745</v>
      </c>
      <c r="T206" s="69"/>
      <c r="U206" s="69" t="s">
        <v>1442</v>
      </c>
      <c r="V206" s="69" t="s">
        <v>55</v>
      </c>
      <c r="W206" s="70">
        <f>IFERROR(VLOOKUP(factures[[#This Row],[DT Prestation Amiante 1]],presta_amiante1[#Data],2,0),0)</f>
        <v>55.49</v>
      </c>
      <c r="X206" s="69" t="s">
        <v>53</v>
      </c>
      <c r="Y206" s="70">
        <f>IFERROR(VLOOKUP(factures[[#This Row],[DT Prestation Amiante 2]],presta_amiante2[#Data],2,0),0)</f>
        <v>60.11</v>
      </c>
      <c r="Z206" s="69" t="s">
        <v>61</v>
      </c>
      <c r="AA206" s="70">
        <f>IFERROR(VLOOKUP(factures[[#This Row],[DT Prestation Gaz]],presta_gaz[#Data],2,0),0)</f>
        <v>41.62</v>
      </c>
      <c r="AB206" s="69">
        <v>4</v>
      </c>
      <c r="AC206" s="69" t="s">
        <v>73</v>
      </c>
      <c r="AD206" s="70">
        <f>IFERROR(VLOOKUP(factures[[#This Row],[DT Analyses]],DT_analyses[#Data],2,0),0)</f>
        <v>36.99</v>
      </c>
      <c r="AE206" s="70">
        <f>IFERROR(factures[[#This Row],[Plvts ]]*factures[[#This Row],[Prix Analyses]],0)</f>
        <v>147.96</v>
      </c>
      <c r="AF206" s="70">
        <f>factures[[#This Row],[Prix Prestation Amiante 1]]+factures[[#This Row],[Prix Prestation Amiante 2]]+factures[[#This Row],[Prix Prestation Gaz]]+factures[[#This Row],[Prix analyses HT]]</f>
        <v>305.18</v>
      </c>
      <c r="AG206" s="69" t="s">
        <v>1593</v>
      </c>
      <c r="AH206" s="86" t="s">
        <v>1591</v>
      </c>
      <c r="AI206" s="69"/>
    </row>
    <row r="207" spans="1:35" ht="48" x14ac:dyDescent="0.3">
      <c r="A207" s="92" t="s">
        <v>1318</v>
      </c>
      <c r="B207" s="72">
        <v>78570</v>
      </c>
      <c r="C207" s="69" t="s">
        <v>568</v>
      </c>
      <c r="D207" s="69" t="s">
        <v>805</v>
      </c>
      <c r="E207" s="69">
        <v>303</v>
      </c>
      <c r="F207" s="69">
        <v>3</v>
      </c>
      <c r="G207" s="69">
        <v>2</v>
      </c>
      <c r="H207" s="69">
        <v>52350</v>
      </c>
      <c r="I207" s="69">
        <v>9288</v>
      </c>
      <c r="J207" s="69" t="s">
        <v>1560</v>
      </c>
      <c r="K207" s="69" t="s">
        <v>1251</v>
      </c>
      <c r="L207" s="90" t="s">
        <v>1319</v>
      </c>
      <c r="M207" s="71">
        <v>43644</v>
      </c>
      <c r="N207" s="69" t="s">
        <v>84</v>
      </c>
      <c r="O207" s="71">
        <v>43690</v>
      </c>
      <c r="P207" s="69" t="s">
        <v>131</v>
      </c>
      <c r="Q207" s="69" t="s">
        <v>77</v>
      </c>
      <c r="R207" s="73" t="s">
        <v>1320</v>
      </c>
      <c r="S207" s="69">
        <v>950749</v>
      </c>
      <c r="T207" s="92" t="s">
        <v>1559</v>
      </c>
      <c r="U207" s="69" t="s">
        <v>1739</v>
      </c>
      <c r="V207" s="69" t="s">
        <v>55</v>
      </c>
      <c r="W207" s="70">
        <f>IFERROR(VLOOKUP(factures[[#This Row],[DT Prestation Amiante 1]],presta_amiante1[#Data],2,0),0)</f>
        <v>55.49</v>
      </c>
      <c r="X207" s="69" t="s">
        <v>53</v>
      </c>
      <c r="Y207" s="70">
        <f>IFERROR(VLOOKUP(factures[[#This Row],[DT Prestation Amiante 2]],presta_amiante2[#Data],2,0),0)</f>
        <v>60.11</v>
      </c>
      <c r="Z207" s="69" t="s">
        <v>61</v>
      </c>
      <c r="AA207" s="70">
        <f>IFERROR(VLOOKUP(factures[[#This Row],[DT Prestation Gaz]],presta_gaz[#Data],2,0),0)</f>
        <v>41.62</v>
      </c>
      <c r="AB207" s="69">
        <v>2</v>
      </c>
      <c r="AC207" s="69" t="s">
        <v>73</v>
      </c>
      <c r="AD207" s="70">
        <f>IFERROR(VLOOKUP(factures[[#This Row],[DT Analyses]],DT_analyses[#Data],2,0),0)</f>
        <v>36.99</v>
      </c>
      <c r="AE207" s="70">
        <f>IFERROR(factures[[#This Row],[Plvts ]]*factures[[#This Row],[Prix Analyses]],0)</f>
        <v>73.98</v>
      </c>
      <c r="AF207" s="70">
        <f>factures[[#This Row],[Prix Prestation Amiante 1]]+factures[[#This Row],[Prix Prestation Amiante 2]]+factures[[#This Row],[Prix Prestation Gaz]]+factures[[#This Row],[Prix analyses HT]]</f>
        <v>231.2</v>
      </c>
      <c r="AG207" s="69" t="s">
        <v>1821</v>
      </c>
      <c r="AH207" s="86" t="s">
        <v>1822</v>
      </c>
      <c r="AI207" s="69"/>
    </row>
    <row r="208" spans="1:35" ht="51" x14ac:dyDescent="0.3">
      <c r="A208" s="92" t="s">
        <v>1328</v>
      </c>
      <c r="B208" s="72">
        <v>78800</v>
      </c>
      <c r="C208" s="69" t="s">
        <v>123</v>
      </c>
      <c r="D208" s="69" t="s">
        <v>347</v>
      </c>
      <c r="E208" s="69">
        <v>1</v>
      </c>
      <c r="F208" s="69" t="s">
        <v>816</v>
      </c>
      <c r="G208" s="69">
        <v>3</v>
      </c>
      <c r="H208" s="69">
        <v>8539</v>
      </c>
      <c r="I208" s="69">
        <v>122</v>
      </c>
      <c r="J208" s="98" t="s">
        <v>125</v>
      </c>
      <c r="K208" s="69"/>
      <c r="L208" s="69" t="s">
        <v>1329</v>
      </c>
      <c r="M208" s="71">
        <v>43648</v>
      </c>
      <c r="N208" s="69" t="s">
        <v>83</v>
      </c>
      <c r="O208" s="102">
        <v>43650</v>
      </c>
      <c r="P208" s="69"/>
      <c r="Q208" s="69" t="s">
        <v>77</v>
      </c>
      <c r="R208" s="73" t="s">
        <v>1330</v>
      </c>
      <c r="S208" s="69">
        <v>951242</v>
      </c>
      <c r="T208" s="69" t="s">
        <v>1335</v>
      </c>
      <c r="U208" s="69" t="s">
        <v>1383</v>
      </c>
      <c r="V208" s="69" t="s">
        <v>55</v>
      </c>
      <c r="W208" s="70">
        <f>IFERROR(VLOOKUP(factures[[#This Row],[DT Prestation Amiante 1]],presta_amiante1[#Data],2,0),0)</f>
        <v>55.49</v>
      </c>
      <c r="X208" s="69" t="s">
        <v>53</v>
      </c>
      <c r="Y208" s="70">
        <f>IFERROR(VLOOKUP(factures[[#This Row],[DT Prestation Amiante 2]],presta_amiante2[#Data],2,0),0)</f>
        <v>60.11</v>
      </c>
      <c r="Z208" s="69"/>
      <c r="AA208" s="70">
        <f>IFERROR(VLOOKUP(factures[[#This Row],[DT Prestation Gaz]],presta_gaz[#Data],2,0),0)</f>
        <v>0</v>
      </c>
      <c r="AB208" s="69">
        <v>14</v>
      </c>
      <c r="AC208" s="69" t="s">
        <v>73</v>
      </c>
      <c r="AD208" s="70">
        <f>IFERROR(VLOOKUP(factures[[#This Row],[DT Analyses]],DT_analyses[#Data],2,0),0)</f>
        <v>36.99</v>
      </c>
      <c r="AE208" s="70">
        <f>IFERROR(factures[[#This Row],[Plvts ]]*factures[[#This Row],[Prix Analyses]],0)</f>
        <v>517.86</v>
      </c>
      <c r="AF208" s="70">
        <f>factures[[#This Row],[Prix Prestation Amiante 1]]+factures[[#This Row],[Prix Prestation Amiante 2]]+factures[[#This Row],[Prix Prestation Gaz]]+factures[[#This Row],[Prix analyses HT]]</f>
        <v>633.46</v>
      </c>
      <c r="AG208" s="69" t="s">
        <v>2079</v>
      </c>
      <c r="AH208" s="86" t="s">
        <v>2070</v>
      </c>
      <c r="AI208" s="69"/>
    </row>
    <row r="209" spans="1:35" ht="48" x14ac:dyDescent="0.3">
      <c r="A209" s="92" t="s">
        <v>1331</v>
      </c>
      <c r="B209" s="72">
        <v>92110</v>
      </c>
      <c r="C209" s="69" t="s">
        <v>1026</v>
      </c>
      <c r="D209" s="69" t="s">
        <v>765</v>
      </c>
      <c r="E209" s="69">
        <v>204</v>
      </c>
      <c r="F209" s="69">
        <v>2</v>
      </c>
      <c r="G209" s="69">
        <v>2</v>
      </c>
      <c r="H209" s="69">
        <v>41646</v>
      </c>
      <c r="I209" s="69">
        <v>838</v>
      </c>
      <c r="J209" s="69" t="s">
        <v>771</v>
      </c>
      <c r="K209" s="69"/>
      <c r="L209" s="69" t="s">
        <v>1333</v>
      </c>
      <c r="M209" s="71">
        <v>43648</v>
      </c>
      <c r="N209" s="69" t="s">
        <v>70</v>
      </c>
      <c r="O209" s="71"/>
      <c r="P209" s="69"/>
      <c r="Q209" s="69" t="s">
        <v>77</v>
      </c>
      <c r="R209" s="73" t="s">
        <v>1332</v>
      </c>
      <c r="S209" s="69">
        <v>951361</v>
      </c>
      <c r="T209" s="69"/>
      <c r="U209" s="69" t="s">
        <v>1384</v>
      </c>
      <c r="V209" s="69" t="s">
        <v>53</v>
      </c>
      <c r="W209" s="70">
        <v>58.5</v>
      </c>
      <c r="X209" s="69"/>
      <c r="Y209" s="70">
        <f>IFERROR(VLOOKUP(factures[[#This Row],[DT Prestation Amiante 2]],presta_amiante2[#Data],2,0),0)</f>
        <v>0</v>
      </c>
      <c r="Z209" s="69"/>
      <c r="AA209" s="70">
        <f>IFERROR(VLOOKUP(factures[[#This Row],[DT Prestation Gaz]],presta_gaz[#Data],2,0),0)</f>
        <v>0</v>
      </c>
      <c r="AB209" s="69">
        <v>4</v>
      </c>
      <c r="AC209" s="69" t="s">
        <v>73</v>
      </c>
      <c r="AD209" s="70">
        <v>36</v>
      </c>
      <c r="AE209" s="70">
        <f>IFERROR(factures[[#This Row],[Plvts ]]*factures[[#This Row],[Prix Analyses]],0)</f>
        <v>144</v>
      </c>
      <c r="AF209" s="70">
        <f>factures[[#This Row],[Prix Prestation Amiante 1]]+factures[[#This Row],[Prix Prestation Amiante 2]]+factures[[#This Row],[Prix Prestation Gaz]]+factures[[#This Row],[Prix analyses HT]]</f>
        <v>202.5</v>
      </c>
      <c r="AG209" s="69" t="s">
        <v>1510</v>
      </c>
      <c r="AH209" s="86" t="s">
        <v>1507</v>
      </c>
      <c r="AI209" s="69"/>
    </row>
    <row r="210" spans="1:35" ht="48" x14ac:dyDescent="0.3">
      <c r="A210" s="92" t="s">
        <v>1337</v>
      </c>
      <c r="B210" s="72">
        <v>92110</v>
      </c>
      <c r="C210" s="69" t="s">
        <v>1026</v>
      </c>
      <c r="D210" s="69" t="s">
        <v>765</v>
      </c>
      <c r="E210" s="103">
        <v>501</v>
      </c>
      <c r="F210" s="103">
        <v>5</v>
      </c>
      <c r="G210" s="103">
        <v>4</v>
      </c>
      <c r="H210" s="103">
        <v>42775</v>
      </c>
      <c r="I210" s="103">
        <v>857</v>
      </c>
      <c r="J210" s="69" t="s">
        <v>771</v>
      </c>
      <c r="K210" s="103"/>
      <c r="L210" s="69" t="s">
        <v>1338</v>
      </c>
      <c r="M210" s="104">
        <v>43648</v>
      </c>
      <c r="N210" s="69" t="s">
        <v>70</v>
      </c>
      <c r="O210" s="104"/>
      <c r="P210" s="103"/>
      <c r="Q210" s="69" t="s">
        <v>77</v>
      </c>
      <c r="R210" s="73" t="s">
        <v>1339</v>
      </c>
      <c r="S210" s="103">
        <v>951413</v>
      </c>
      <c r="T210" s="103"/>
      <c r="U210" s="69" t="s">
        <v>1385</v>
      </c>
      <c r="V210" s="103" t="s">
        <v>54</v>
      </c>
      <c r="W210" s="105">
        <v>67.5</v>
      </c>
      <c r="X210" s="106"/>
      <c r="Y210" s="105">
        <f>IFERROR(VLOOKUP(factures[[#This Row],[DT Prestation Amiante 2]],presta_amiante2[#Data],2,0),0)</f>
        <v>0</v>
      </c>
      <c r="Z210" s="103"/>
      <c r="AA210" s="105">
        <f>IFERROR(VLOOKUP(factures[[#This Row],[DT Prestation Gaz]],presta_gaz[#Data],2,0),0)</f>
        <v>0</v>
      </c>
      <c r="AB210" s="103">
        <v>4</v>
      </c>
      <c r="AC210" s="103" t="s">
        <v>73</v>
      </c>
      <c r="AD210" s="105">
        <v>36</v>
      </c>
      <c r="AE210" s="105">
        <f>IFERROR(factures[[#This Row],[Plvts ]]*factures[[#This Row],[Prix Analyses]],0)</f>
        <v>144</v>
      </c>
      <c r="AF210" s="105">
        <f>factures[[#This Row],[Prix Prestation Amiante 1]]+factures[[#This Row],[Prix Prestation Amiante 2]]+factures[[#This Row],[Prix Prestation Gaz]]+factures[[#This Row],[Prix analyses HT]]</f>
        <v>211.5</v>
      </c>
      <c r="AG210" s="103" t="s">
        <v>1511</v>
      </c>
      <c r="AH210" s="107" t="s">
        <v>1507</v>
      </c>
      <c r="AI210" s="103"/>
    </row>
    <row r="211" spans="1:35" ht="40.799999999999997" x14ac:dyDescent="0.3">
      <c r="A211" s="92" t="s">
        <v>1123</v>
      </c>
      <c r="B211" s="72">
        <v>94000</v>
      </c>
      <c r="C211" s="69" t="s">
        <v>298</v>
      </c>
      <c r="D211" s="69" t="s">
        <v>1124</v>
      </c>
      <c r="E211" s="69">
        <v>102</v>
      </c>
      <c r="F211" s="69">
        <v>1</v>
      </c>
      <c r="G211" s="69">
        <v>1</v>
      </c>
      <c r="H211" s="69">
        <v>40298</v>
      </c>
      <c r="I211" s="69">
        <v>823</v>
      </c>
      <c r="J211" s="88" t="s">
        <v>592</v>
      </c>
      <c r="K211" s="69"/>
      <c r="L211" s="69" t="s">
        <v>1334</v>
      </c>
      <c r="M211" s="71">
        <v>43648</v>
      </c>
      <c r="N211" s="69" t="s">
        <v>71</v>
      </c>
      <c r="O211" s="71"/>
      <c r="P211" s="69"/>
      <c r="Q211" s="69" t="s">
        <v>77</v>
      </c>
      <c r="R211" s="73" t="s">
        <v>1336</v>
      </c>
      <c r="S211" s="69">
        <v>950877</v>
      </c>
      <c r="T211" s="69"/>
      <c r="U211" s="69" t="s">
        <v>1386</v>
      </c>
      <c r="V211" s="69" t="s">
        <v>53</v>
      </c>
      <c r="W211" s="70">
        <v>58.5</v>
      </c>
      <c r="X211" s="69"/>
      <c r="Y211" s="70">
        <f>IFERROR(VLOOKUP(factures[[#This Row],[DT Prestation Amiante 2]],presta_amiante2[#Data],2,0),0)</f>
        <v>0</v>
      </c>
      <c r="Z211" s="69" t="s">
        <v>61</v>
      </c>
      <c r="AA211" s="70">
        <v>40.5</v>
      </c>
      <c r="AB211" s="69">
        <v>6</v>
      </c>
      <c r="AC211" s="69" t="s">
        <v>73</v>
      </c>
      <c r="AD211" s="70">
        <v>36</v>
      </c>
      <c r="AE211" s="70">
        <f>IFERROR(factures[[#This Row],[Plvts ]]*factures[[#This Row],[Prix Analyses]],0)</f>
        <v>216</v>
      </c>
      <c r="AF211" s="70">
        <f>factures[[#This Row],[Prix Prestation Amiante 1]]+factures[[#This Row],[Prix Prestation Amiante 2]]+factures[[#This Row],[Prix Prestation Gaz]]+factures[[#This Row],[Prix analyses HT]]</f>
        <v>315</v>
      </c>
      <c r="AG211" s="69" t="s">
        <v>1512</v>
      </c>
      <c r="AH211" s="86" t="s">
        <v>1507</v>
      </c>
      <c r="AI211" s="69"/>
    </row>
    <row r="212" spans="1:35" ht="60" x14ac:dyDescent="0.3">
      <c r="A212" s="92" t="s">
        <v>1030</v>
      </c>
      <c r="B212" s="72">
        <v>92170</v>
      </c>
      <c r="C212" s="69" t="s">
        <v>1031</v>
      </c>
      <c r="D212" s="69" t="s">
        <v>436</v>
      </c>
      <c r="E212" s="69">
        <v>306</v>
      </c>
      <c r="F212" s="69">
        <v>3</v>
      </c>
      <c r="G212" s="69">
        <v>2</v>
      </c>
      <c r="H212" s="69">
        <v>22435</v>
      </c>
      <c r="I212" s="69">
        <v>315</v>
      </c>
      <c r="J212" s="88" t="s">
        <v>1070</v>
      </c>
      <c r="K212" s="69"/>
      <c r="L212" s="69" t="s">
        <v>1340</v>
      </c>
      <c r="M212" s="71">
        <v>43648</v>
      </c>
      <c r="N212" s="69" t="s">
        <v>1341</v>
      </c>
      <c r="O212" s="102">
        <v>43655</v>
      </c>
      <c r="P212" s="69"/>
      <c r="Q212" s="69" t="s">
        <v>77</v>
      </c>
      <c r="R212" s="73" t="s">
        <v>1342</v>
      </c>
      <c r="S212" s="69">
        <v>951456</v>
      </c>
      <c r="T212" s="69"/>
      <c r="U212" s="69" t="s">
        <v>1416</v>
      </c>
      <c r="V212" s="69" t="s">
        <v>53</v>
      </c>
      <c r="W212" s="70">
        <f>IFERROR(VLOOKUP(factures[[#This Row],[DT Prestation Amiante 1]],presta_amiante1[#Data],2,0),0)</f>
        <v>60.11</v>
      </c>
      <c r="X212" s="69" t="s">
        <v>93</v>
      </c>
      <c r="Y212" s="70">
        <f>IFERROR(VLOOKUP(factures[[#This Row],[DT Prestation Amiante 2]],presta_amiante2[#Data],2,0),0)</f>
        <v>80.459999999999994</v>
      </c>
      <c r="Z212" s="69" t="s">
        <v>62</v>
      </c>
      <c r="AA212" s="70">
        <f>IFERROR(VLOOKUP(factures[[#This Row],[DT Prestation Gaz]],presta_gaz[#Data],2,0),0)</f>
        <v>49.01</v>
      </c>
      <c r="AB212" s="69">
        <v>12</v>
      </c>
      <c r="AC212" s="69" t="s">
        <v>73</v>
      </c>
      <c r="AD212" s="70">
        <f>IFERROR(VLOOKUP(factures[[#This Row],[DT Analyses]],DT_analyses[#Data],2,0),0)</f>
        <v>36.99</v>
      </c>
      <c r="AE212" s="70">
        <f>IFERROR(factures[[#This Row],[Plvts ]]*factures[[#This Row],[Prix Analyses]],0)</f>
        <v>443.88</v>
      </c>
      <c r="AF212" s="70">
        <f>factures[[#This Row],[Prix Prestation Amiante 1]]+factures[[#This Row],[Prix Prestation Amiante 2]]+factures[[#This Row],[Prix Prestation Gaz]]+factures[[#This Row],[Prix analyses HT]]</f>
        <v>633.46</v>
      </c>
      <c r="AG212" s="69" t="s">
        <v>1594</v>
      </c>
      <c r="AH212" s="86" t="s">
        <v>1591</v>
      </c>
      <c r="AI212" s="69"/>
    </row>
    <row r="213" spans="1:35" ht="48" x14ac:dyDescent="0.3">
      <c r="A213" s="92" t="s">
        <v>1343</v>
      </c>
      <c r="B213" s="72">
        <v>78200</v>
      </c>
      <c r="C213" s="69" t="s">
        <v>189</v>
      </c>
      <c r="D213" s="69" t="s">
        <v>813</v>
      </c>
      <c r="E213" s="69">
        <v>3</v>
      </c>
      <c r="F213" s="69" t="s">
        <v>524</v>
      </c>
      <c r="G213" s="69">
        <v>3</v>
      </c>
      <c r="H213" s="69">
        <v>11072</v>
      </c>
      <c r="I213" s="69">
        <v>165</v>
      </c>
      <c r="J213" s="69" t="s">
        <v>317</v>
      </c>
      <c r="K213" s="69"/>
      <c r="L213" s="69" t="s">
        <v>1345</v>
      </c>
      <c r="M213" s="71">
        <v>43623</v>
      </c>
      <c r="N213" s="69" t="s">
        <v>87</v>
      </c>
      <c r="O213" s="71">
        <v>43663</v>
      </c>
      <c r="P213" s="69"/>
      <c r="Q213" s="69" t="s">
        <v>77</v>
      </c>
      <c r="R213" s="73" t="s">
        <v>1346</v>
      </c>
      <c r="S213" s="69">
        <v>947240</v>
      </c>
      <c r="T213" s="69"/>
      <c r="U213" s="69" t="s">
        <v>1776</v>
      </c>
      <c r="V213" s="69" t="s">
        <v>55</v>
      </c>
      <c r="W213" s="70">
        <v>55.28</v>
      </c>
      <c r="X213" s="69" t="s">
        <v>53</v>
      </c>
      <c r="Y213" s="70">
        <v>59.89</v>
      </c>
      <c r="Z213" s="69" t="s">
        <v>61</v>
      </c>
      <c r="AA213" s="70">
        <v>41.46</v>
      </c>
      <c r="AB213" s="69">
        <v>8</v>
      </c>
      <c r="AC213" s="69" t="s">
        <v>73</v>
      </c>
      <c r="AD213" s="70">
        <f>IFERROR(VLOOKUP(factures[[#This Row],[DT Analyses]],DT_analyses[#Data],2,0),0)</f>
        <v>36.99</v>
      </c>
      <c r="AE213" s="70">
        <f>IFERROR(factures[[#This Row],[Plvts ]]*factures[[#This Row],[Prix Analyses]],0)</f>
        <v>295.92</v>
      </c>
      <c r="AF213" s="70">
        <f>factures[[#This Row],[Prix Prestation Amiante 1]]+factures[[#This Row],[Prix Prestation Amiante 2]]+factures[[#This Row],[Prix Prestation Gaz]]+factures[[#This Row],[Prix analyses HT]]</f>
        <v>452.55</v>
      </c>
      <c r="AG213" s="69" t="s">
        <v>1903</v>
      </c>
      <c r="AH213" s="86" t="s">
        <v>1902</v>
      </c>
      <c r="AI213" s="69"/>
    </row>
    <row r="214" spans="1:35" ht="69.75" customHeight="1" x14ac:dyDescent="0.3">
      <c r="A214" s="92" t="s">
        <v>1347</v>
      </c>
      <c r="B214" s="72">
        <v>94200</v>
      </c>
      <c r="C214" s="69" t="s">
        <v>379</v>
      </c>
      <c r="D214" s="69" t="s">
        <v>209</v>
      </c>
      <c r="E214" s="69">
        <v>104</v>
      </c>
      <c r="F214" s="69">
        <v>1</v>
      </c>
      <c r="G214" s="69">
        <v>1</v>
      </c>
      <c r="H214" s="69">
        <v>9093</v>
      </c>
      <c r="I214" s="69">
        <v>130</v>
      </c>
      <c r="J214" s="84" t="s">
        <v>1450</v>
      </c>
      <c r="K214" s="69"/>
      <c r="L214" s="69" t="s">
        <v>1348</v>
      </c>
      <c r="M214" s="71">
        <v>43649</v>
      </c>
      <c r="N214" s="69" t="s">
        <v>70</v>
      </c>
      <c r="O214" s="71">
        <v>43669</v>
      </c>
      <c r="P214" s="69" t="s">
        <v>339</v>
      </c>
      <c r="Q214" s="69" t="s">
        <v>77</v>
      </c>
      <c r="R214" s="73" t="s">
        <v>1349</v>
      </c>
      <c r="S214" s="69">
        <v>951583</v>
      </c>
      <c r="T214" s="69"/>
      <c r="U214" s="69" t="s">
        <v>1533</v>
      </c>
      <c r="V214" s="69" t="s">
        <v>53</v>
      </c>
      <c r="W214" s="70">
        <f>IFERROR(VLOOKUP(factures[[#This Row],[DT Prestation Amiante 1]],presta_amiante1[#Data],2,0),0)</f>
        <v>60.11</v>
      </c>
      <c r="X214" s="69"/>
      <c r="Y214" s="70">
        <f>IFERROR(VLOOKUP(factures[[#This Row],[DT Prestation Amiante 2]],presta_amiante2[#Data],2,0),0)</f>
        <v>0</v>
      </c>
      <c r="Z214" s="69"/>
      <c r="AA214" s="70">
        <f>IFERROR(VLOOKUP(factures[[#This Row],[DT Prestation Gaz]],presta_gaz[#Data],2,0),0)</f>
        <v>0</v>
      </c>
      <c r="AB214" s="69">
        <v>8</v>
      </c>
      <c r="AC214" s="69" t="s">
        <v>73</v>
      </c>
      <c r="AD214" s="70">
        <f>IFERROR(VLOOKUP(factures[[#This Row],[DT Analyses]],DT_analyses[#Data],2,0),0)</f>
        <v>36.99</v>
      </c>
      <c r="AE214" s="70">
        <f>IFERROR(factures[[#This Row],[Plvts ]]*factures[[#This Row],[Prix Analyses]],0)</f>
        <v>295.92</v>
      </c>
      <c r="AF214" s="70">
        <f>factures[[#This Row],[Prix Prestation Amiante 1]]+factures[[#This Row],[Prix Prestation Amiante 2]]+factures[[#This Row],[Prix Prestation Gaz]]+factures[[#This Row],[Prix analyses HT]]</f>
        <v>356.03000000000003</v>
      </c>
      <c r="AG214" s="69" t="s">
        <v>1595</v>
      </c>
      <c r="AH214" s="86" t="s">
        <v>1591</v>
      </c>
      <c r="AI214" s="69"/>
    </row>
    <row r="215" spans="1:35" ht="71.400000000000006" x14ac:dyDescent="0.3">
      <c r="A215" s="92" t="s">
        <v>922</v>
      </c>
      <c r="B215" s="72">
        <v>78540</v>
      </c>
      <c r="C215" s="69" t="s">
        <v>351</v>
      </c>
      <c r="D215" s="69" t="s">
        <v>639</v>
      </c>
      <c r="E215" s="69">
        <v>1</v>
      </c>
      <c r="F215" s="69" t="s">
        <v>102</v>
      </c>
      <c r="G215" s="69">
        <v>3</v>
      </c>
      <c r="H215" s="69">
        <v>53078</v>
      </c>
      <c r="I215" s="69">
        <v>9700</v>
      </c>
      <c r="J215" s="69" t="s">
        <v>1449</v>
      </c>
      <c r="K215" s="69"/>
      <c r="L215" s="69" t="s">
        <v>1355</v>
      </c>
      <c r="M215" s="71">
        <v>43649</v>
      </c>
      <c r="N215" s="69" t="s">
        <v>84</v>
      </c>
      <c r="O215" s="102">
        <v>43656</v>
      </c>
      <c r="P215" s="69"/>
      <c r="Q215" s="69" t="s">
        <v>77</v>
      </c>
      <c r="R215" s="73" t="s">
        <v>1356</v>
      </c>
      <c r="S215" s="69">
        <v>951771</v>
      </c>
      <c r="T215" s="69"/>
      <c r="U215" s="69" t="s">
        <v>1418</v>
      </c>
      <c r="V215" s="69" t="s">
        <v>55</v>
      </c>
      <c r="W215" s="70">
        <f>IFERROR(VLOOKUP(factures[[#This Row],[DT Prestation Amiante 1]],presta_amiante1[#Data],2,0),0)</f>
        <v>55.49</v>
      </c>
      <c r="X215" s="69" t="s">
        <v>53</v>
      </c>
      <c r="Y215" s="70">
        <f>IFERROR(VLOOKUP(factures[[#This Row],[DT Prestation Amiante 2]],presta_amiante2[#Data],2,0),0)</f>
        <v>60.11</v>
      </c>
      <c r="Z215" s="69" t="s">
        <v>61</v>
      </c>
      <c r="AA215" s="70">
        <f>IFERROR(VLOOKUP(factures[[#This Row],[DT Prestation Gaz]],presta_gaz[#Data],2,0),0)</f>
        <v>41.62</v>
      </c>
      <c r="AB215" s="69">
        <v>9</v>
      </c>
      <c r="AC215" s="69" t="s">
        <v>73</v>
      </c>
      <c r="AD215" s="70">
        <f>IFERROR(VLOOKUP(factures[[#This Row],[DT Analyses]],DT_analyses[#Data],2,0),0)</f>
        <v>36.99</v>
      </c>
      <c r="AE215" s="70">
        <f>IFERROR(factures[[#This Row],[Plvts ]]*factures[[#This Row],[Prix Analyses]],0)</f>
        <v>332.91</v>
      </c>
      <c r="AF215" s="70">
        <f>factures[[#This Row],[Prix Prestation Amiante 1]]+factures[[#This Row],[Prix Prestation Amiante 2]]+factures[[#This Row],[Prix Prestation Gaz]]+factures[[#This Row],[Prix analyses HT]]</f>
        <v>490.13</v>
      </c>
      <c r="AG215" s="69" t="s">
        <v>1596</v>
      </c>
      <c r="AH215" s="86" t="s">
        <v>1591</v>
      </c>
      <c r="AI215" s="69"/>
    </row>
    <row r="216" spans="1:35" ht="108" x14ac:dyDescent="0.3">
      <c r="A216" s="92" t="s">
        <v>356</v>
      </c>
      <c r="B216" s="72">
        <v>78540</v>
      </c>
      <c r="C216" s="69" t="s">
        <v>351</v>
      </c>
      <c r="D216" s="69" t="s">
        <v>639</v>
      </c>
      <c r="E216" s="69">
        <v>103</v>
      </c>
      <c r="F216" s="69">
        <v>1</v>
      </c>
      <c r="G216" s="69">
        <v>1</v>
      </c>
      <c r="H216" s="69">
        <v>53426</v>
      </c>
      <c r="I216" s="69">
        <v>9700</v>
      </c>
      <c r="J216" s="69" t="s">
        <v>1226</v>
      </c>
      <c r="K216" s="69"/>
      <c r="L216" s="69" t="s">
        <v>1357</v>
      </c>
      <c r="M216" s="71">
        <v>43649</v>
      </c>
      <c r="N216" s="69" t="s">
        <v>84</v>
      </c>
      <c r="O216" s="102">
        <v>43656</v>
      </c>
      <c r="P216" s="69" t="s">
        <v>131</v>
      </c>
      <c r="Q216" s="69" t="s">
        <v>77</v>
      </c>
      <c r="R216" s="73" t="s">
        <v>1358</v>
      </c>
      <c r="S216" s="69">
        <v>951747</v>
      </c>
      <c r="T216" s="69"/>
      <c r="U216" s="69" t="s">
        <v>1419</v>
      </c>
      <c r="V216" s="69" t="s">
        <v>55</v>
      </c>
      <c r="W216" s="70">
        <f>IFERROR(VLOOKUP(factures[[#This Row],[DT Prestation Amiante 1]],presta_amiante1[#Data],2,0),0)</f>
        <v>55.49</v>
      </c>
      <c r="X216" s="69" t="s">
        <v>53</v>
      </c>
      <c r="Y216" s="70">
        <f>IFERROR(VLOOKUP(factures[[#This Row],[DT Prestation Amiante 2]],presta_amiante2[#Data],2,0),0)</f>
        <v>60.11</v>
      </c>
      <c r="Z216" s="69" t="s">
        <v>61</v>
      </c>
      <c r="AA216" s="70">
        <f>IFERROR(VLOOKUP(factures[[#This Row],[DT Prestation Gaz]],presta_gaz[#Data],2,0),0)</f>
        <v>41.62</v>
      </c>
      <c r="AB216" s="69">
        <v>4</v>
      </c>
      <c r="AC216" s="69" t="s">
        <v>73</v>
      </c>
      <c r="AD216" s="70">
        <f>IFERROR(VLOOKUP(factures[[#This Row],[DT Analyses]],DT_analyses[#Data],2,0),0)</f>
        <v>36.99</v>
      </c>
      <c r="AE216" s="70">
        <f>IFERROR(factures[[#This Row],[Plvts ]]*factures[[#This Row],[Prix Analyses]],0)</f>
        <v>147.96</v>
      </c>
      <c r="AF216" s="70">
        <f>factures[[#This Row],[Prix Prestation Amiante 1]]+factures[[#This Row],[Prix Prestation Amiante 2]]+factures[[#This Row],[Prix Prestation Gaz]]+factures[[#This Row],[Prix analyses HT]]</f>
        <v>305.18</v>
      </c>
      <c r="AG216" s="69" t="s">
        <v>1597</v>
      </c>
      <c r="AH216" s="86" t="s">
        <v>1591</v>
      </c>
      <c r="AI216" s="69"/>
    </row>
    <row r="217" spans="1:35" ht="36" x14ac:dyDescent="0.3">
      <c r="A217" s="92" t="s">
        <v>1359</v>
      </c>
      <c r="B217" s="72">
        <v>78180</v>
      </c>
      <c r="C217" s="69" t="s">
        <v>115</v>
      </c>
      <c r="D217" s="69" t="s">
        <v>1360</v>
      </c>
      <c r="E217" s="69">
        <v>203</v>
      </c>
      <c r="F217" s="69">
        <v>2</v>
      </c>
      <c r="G217" s="69">
        <v>4</v>
      </c>
      <c r="H217" s="69">
        <v>31866</v>
      </c>
      <c r="I217" s="69">
        <v>454</v>
      </c>
      <c r="J217" s="69" t="s">
        <v>1362</v>
      </c>
      <c r="K217" s="69"/>
      <c r="L217" s="90" t="s">
        <v>1361</v>
      </c>
      <c r="M217" s="71">
        <v>43649</v>
      </c>
      <c r="N217" s="69" t="s">
        <v>83</v>
      </c>
      <c r="O217" s="71">
        <v>43690</v>
      </c>
      <c r="P217" s="69" t="s">
        <v>1087</v>
      </c>
      <c r="Q217" s="69" t="s">
        <v>77</v>
      </c>
      <c r="R217" s="73" t="s">
        <v>1363</v>
      </c>
      <c r="S217" s="69">
        <v>951750</v>
      </c>
      <c r="T217" s="92" t="s">
        <v>1415</v>
      </c>
      <c r="U217" s="69" t="s">
        <v>1740</v>
      </c>
      <c r="V217" s="69" t="s">
        <v>55</v>
      </c>
      <c r="W217" s="70">
        <f>IFERROR(VLOOKUP(factures[[#This Row],[DT Prestation Amiante 1]],presta_amiante1[#Data],2,0),0)</f>
        <v>55.49</v>
      </c>
      <c r="X217" s="69" t="s">
        <v>54</v>
      </c>
      <c r="Y217" s="70">
        <f>IFERROR(VLOOKUP(factures[[#This Row],[DT Prestation Amiante 2]],presta_amiante2[#Data],2,0),0)</f>
        <v>69.36</v>
      </c>
      <c r="Z217" s="69"/>
      <c r="AA217" s="70">
        <f>IFERROR(VLOOKUP(factures[[#This Row],[DT Prestation Gaz]],presta_gaz[#Data],2,0),0)</f>
        <v>0</v>
      </c>
      <c r="AB217" s="69">
        <v>4</v>
      </c>
      <c r="AC217" s="69" t="s">
        <v>73</v>
      </c>
      <c r="AD217" s="70">
        <f>IFERROR(VLOOKUP(factures[[#This Row],[DT Analyses]],DT_analyses[#Data],2,0),0)</f>
        <v>36.99</v>
      </c>
      <c r="AE217" s="70">
        <f>IFERROR(factures[[#This Row],[Plvts ]]*factures[[#This Row],[Prix Analyses]],0)</f>
        <v>147.96</v>
      </c>
      <c r="AF217" s="70">
        <f>factures[[#This Row],[Prix Prestation Amiante 1]]+factures[[#This Row],[Prix Prestation Amiante 2]]+factures[[#This Row],[Prix Prestation Gaz]]+factures[[#This Row],[Prix analyses HT]]</f>
        <v>272.81</v>
      </c>
      <c r="AG217" s="69" t="s">
        <v>1823</v>
      </c>
      <c r="AH217" s="86" t="s">
        <v>1822</v>
      </c>
      <c r="AI217" s="69"/>
    </row>
    <row r="218" spans="1:35" ht="48" x14ac:dyDescent="0.3">
      <c r="A218" s="92" t="s">
        <v>218</v>
      </c>
      <c r="B218" s="72">
        <v>78500</v>
      </c>
      <c r="C218" s="69" t="s">
        <v>214</v>
      </c>
      <c r="D218" s="69" t="s">
        <v>215</v>
      </c>
      <c r="E218" s="69">
        <v>306</v>
      </c>
      <c r="F218" s="69">
        <v>3</v>
      </c>
      <c r="G218" s="69">
        <v>3</v>
      </c>
      <c r="H218" s="69">
        <v>36172</v>
      </c>
      <c r="I218" s="69">
        <v>588</v>
      </c>
      <c r="J218" s="69" t="s">
        <v>216</v>
      </c>
      <c r="K218" s="69"/>
      <c r="L218" s="69" t="s">
        <v>1365</v>
      </c>
      <c r="M218" s="71">
        <v>43650</v>
      </c>
      <c r="N218" s="69" t="s">
        <v>84</v>
      </c>
      <c r="O218" s="102">
        <v>43656</v>
      </c>
      <c r="P218" s="69"/>
      <c r="Q218" s="69" t="s">
        <v>77</v>
      </c>
      <c r="R218" s="73" t="s">
        <v>1366</v>
      </c>
      <c r="S218" s="69">
        <v>951860</v>
      </c>
      <c r="T218" s="69"/>
      <c r="U218" s="69" t="s">
        <v>1420</v>
      </c>
      <c r="V218" s="69" t="s">
        <v>55</v>
      </c>
      <c r="W218" s="70">
        <f>IFERROR(VLOOKUP(factures[[#This Row],[DT Prestation Amiante 1]],presta_amiante1[#Data],2,0),0)</f>
        <v>55.49</v>
      </c>
      <c r="X218" s="69" t="s">
        <v>53</v>
      </c>
      <c r="Y218" s="70">
        <f>IFERROR(VLOOKUP(factures[[#This Row],[DT Prestation Amiante 2]],presta_amiante2[#Data],2,0),0)</f>
        <v>60.11</v>
      </c>
      <c r="Z218" s="69" t="s">
        <v>61</v>
      </c>
      <c r="AA218" s="70">
        <f>IFERROR(VLOOKUP(factures[[#This Row],[DT Prestation Gaz]],presta_gaz[#Data],2,0),0)</f>
        <v>41.62</v>
      </c>
      <c r="AB218" s="69">
        <v>13</v>
      </c>
      <c r="AC218" s="69" t="s">
        <v>73</v>
      </c>
      <c r="AD218" s="70">
        <f>IFERROR(VLOOKUP(factures[[#This Row],[DT Analyses]],DT_analyses[#Data],2,0),0)</f>
        <v>36.99</v>
      </c>
      <c r="AE218" s="70">
        <f>IFERROR(factures[[#This Row],[Plvts ]]*factures[[#This Row],[Prix Analyses]],0)</f>
        <v>480.87</v>
      </c>
      <c r="AF218" s="70">
        <f>factures[[#This Row],[Prix Prestation Amiante 1]]+factures[[#This Row],[Prix Prestation Amiante 2]]+factures[[#This Row],[Prix Prestation Gaz]]+factures[[#This Row],[Prix analyses HT]]</f>
        <v>638.09</v>
      </c>
      <c r="AG218" s="69" t="s">
        <v>1598</v>
      </c>
      <c r="AH218" s="86" t="s">
        <v>1591</v>
      </c>
      <c r="AI218" s="69"/>
    </row>
    <row r="219" spans="1:35" ht="24" x14ac:dyDescent="0.3">
      <c r="A219" s="92" t="s">
        <v>1367</v>
      </c>
      <c r="B219" s="72">
        <v>78260</v>
      </c>
      <c r="C219" s="69" t="s">
        <v>1082</v>
      </c>
      <c r="D219" s="69" t="s">
        <v>1083</v>
      </c>
      <c r="E219" s="69" t="s">
        <v>1368</v>
      </c>
      <c r="F219" s="69">
        <v>2</v>
      </c>
      <c r="G219" s="69">
        <v>2</v>
      </c>
      <c r="H219" s="69">
        <v>62270</v>
      </c>
      <c r="I219" s="69">
        <v>108</v>
      </c>
      <c r="J219" s="69" t="s">
        <v>470</v>
      </c>
      <c r="K219" s="108" t="s">
        <v>1402</v>
      </c>
      <c r="L219" s="69" t="s">
        <v>1369</v>
      </c>
      <c r="M219" s="71">
        <v>43650</v>
      </c>
      <c r="N219" s="69" t="s">
        <v>72</v>
      </c>
      <c r="O219" s="102">
        <v>43656</v>
      </c>
      <c r="P219" s="69" t="s">
        <v>416</v>
      </c>
      <c r="Q219" s="69" t="s">
        <v>77</v>
      </c>
      <c r="R219" s="73" t="s">
        <v>1370</v>
      </c>
      <c r="S219" s="69">
        <v>951890</v>
      </c>
      <c r="T219" s="69"/>
      <c r="U219" s="69"/>
      <c r="V219" s="69"/>
      <c r="W219" s="70">
        <f>IFERROR(VLOOKUP(factures[[#This Row],[DT Prestation Amiante 1]],presta_amiante1[#Data],2,0),0)</f>
        <v>0</v>
      </c>
      <c r="X219" s="69"/>
      <c r="Y219" s="70">
        <f>IFERROR(VLOOKUP(factures[[#This Row],[DT Prestation Amiante 2]],presta_amiante2[#Data],2,0),0)</f>
        <v>0</v>
      </c>
      <c r="Z219" s="69" t="s">
        <v>61</v>
      </c>
      <c r="AA219" s="70">
        <f>IFERROR(VLOOKUP(factures[[#This Row],[DT Prestation Gaz]],presta_gaz[#Data],2,0),0)</f>
        <v>41.62</v>
      </c>
      <c r="AB219" s="69"/>
      <c r="AC219" s="69"/>
      <c r="AD219" s="70">
        <f>IFERROR(VLOOKUP(factures[[#This Row],[DT Analyses]],DT_analyses[#Data],2,0),0)</f>
        <v>0</v>
      </c>
      <c r="AE219" s="70">
        <f>IFERROR(factures[[#This Row],[Plvts ]]*factures[[#This Row],[Prix Analyses]],0)</f>
        <v>0</v>
      </c>
      <c r="AF219" s="70">
        <f>factures[[#This Row],[Prix Prestation Amiante 1]]+factures[[#This Row],[Prix Prestation Amiante 2]]+factures[[#This Row],[Prix Prestation Gaz]]+factures[[#This Row],[Prix analyses HT]]</f>
        <v>41.62</v>
      </c>
      <c r="AG219" s="69" t="s">
        <v>1599</v>
      </c>
      <c r="AH219" s="86" t="s">
        <v>1591</v>
      </c>
      <c r="AI219" s="69"/>
    </row>
    <row r="220" spans="1:35" ht="36" x14ac:dyDescent="0.3">
      <c r="A220" s="92" t="s">
        <v>1375</v>
      </c>
      <c r="B220" s="72">
        <v>78260</v>
      </c>
      <c r="C220" s="69" t="s">
        <v>1082</v>
      </c>
      <c r="D220" s="69" t="s">
        <v>438</v>
      </c>
      <c r="E220" s="69">
        <v>201</v>
      </c>
      <c r="F220" s="69">
        <v>2</v>
      </c>
      <c r="G220" s="69">
        <v>3</v>
      </c>
      <c r="H220" s="69">
        <v>39849</v>
      </c>
      <c r="I220" s="69">
        <v>815</v>
      </c>
      <c r="J220" s="69" t="s">
        <v>1376</v>
      </c>
      <c r="K220" s="108" t="s">
        <v>1402</v>
      </c>
      <c r="L220" s="69" t="s">
        <v>1377</v>
      </c>
      <c r="M220" s="71">
        <v>43651</v>
      </c>
      <c r="N220" s="69" t="s">
        <v>84</v>
      </c>
      <c r="O220" s="102">
        <v>43656</v>
      </c>
      <c r="P220" s="69"/>
      <c r="Q220" s="69" t="s">
        <v>77</v>
      </c>
      <c r="R220" s="73" t="s">
        <v>1378</v>
      </c>
      <c r="S220" s="69">
        <v>952188</v>
      </c>
      <c r="T220" s="69"/>
      <c r="U220" s="69" t="s">
        <v>1421</v>
      </c>
      <c r="V220" s="69" t="s">
        <v>55</v>
      </c>
      <c r="W220" s="70">
        <f>IFERROR(VLOOKUP(factures[[#This Row],[DT Prestation Amiante 1]],presta_amiante1[#Data],2,0),0)</f>
        <v>55.49</v>
      </c>
      <c r="X220" s="69" t="s">
        <v>53</v>
      </c>
      <c r="Y220" s="70">
        <f>IFERROR(VLOOKUP(factures[[#This Row],[DT Prestation Amiante 2]],presta_amiante2[#Data],2,0),0)</f>
        <v>60.11</v>
      </c>
      <c r="Z220" s="69" t="s">
        <v>61</v>
      </c>
      <c r="AA220" s="70">
        <f>IFERROR(VLOOKUP(factures[[#This Row],[DT Prestation Gaz]],presta_gaz[#Data],2,0),0)</f>
        <v>41.62</v>
      </c>
      <c r="AB220" s="69">
        <v>11</v>
      </c>
      <c r="AC220" s="69" t="s">
        <v>73</v>
      </c>
      <c r="AD220" s="70">
        <f>IFERROR(VLOOKUP(factures[[#This Row],[DT Analyses]],DT_analyses[#Data],2,0),0)</f>
        <v>36.99</v>
      </c>
      <c r="AE220" s="70">
        <f>IFERROR(factures[[#This Row],[Plvts ]]*factures[[#This Row],[Prix Analyses]],0)</f>
        <v>406.89000000000004</v>
      </c>
      <c r="AF220" s="70">
        <f>factures[[#This Row],[Prix Prestation Amiante 1]]+factures[[#This Row],[Prix Prestation Amiante 2]]+factures[[#This Row],[Prix Prestation Gaz]]+factures[[#This Row],[Prix analyses HT]]</f>
        <v>564.11</v>
      </c>
      <c r="AG220" s="69" t="s">
        <v>1600</v>
      </c>
      <c r="AH220" s="86" t="s">
        <v>1591</v>
      </c>
      <c r="AI220" s="69"/>
    </row>
    <row r="221" spans="1:35" ht="48" x14ac:dyDescent="0.3">
      <c r="A221" s="92" t="s">
        <v>1387</v>
      </c>
      <c r="B221" s="72">
        <v>92500</v>
      </c>
      <c r="C221" s="69" t="s">
        <v>265</v>
      </c>
      <c r="D221" s="69" t="s">
        <v>1388</v>
      </c>
      <c r="E221" s="69">
        <v>302</v>
      </c>
      <c r="F221" s="69">
        <v>3</v>
      </c>
      <c r="G221" s="69">
        <v>4</v>
      </c>
      <c r="H221" s="69">
        <v>64420</v>
      </c>
      <c r="I221" s="69">
        <v>9211</v>
      </c>
      <c r="J221" s="69"/>
      <c r="K221" s="69" t="s">
        <v>1414</v>
      </c>
      <c r="L221" s="69" t="s">
        <v>1391</v>
      </c>
      <c r="M221" s="71">
        <v>43654</v>
      </c>
      <c r="N221" s="69" t="s">
        <v>71</v>
      </c>
      <c r="O221" s="71">
        <v>43657</v>
      </c>
      <c r="P221" s="69"/>
      <c r="Q221" s="69" t="s">
        <v>77</v>
      </c>
      <c r="R221" s="73" t="s">
        <v>1389</v>
      </c>
      <c r="S221" s="69">
        <v>952443</v>
      </c>
      <c r="T221" s="69"/>
      <c r="U221" s="69" t="s">
        <v>1423</v>
      </c>
      <c r="V221" s="69" t="s">
        <v>54</v>
      </c>
      <c r="W221" s="70">
        <f>IFERROR(VLOOKUP(factures[[#This Row],[DT Prestation Amiante 1]],presta_amiante1[#Data],2,0),0)</f>
        <v>69.36</v>
      </c>
      <c r="X221" s="69"/>
      <c r="Y221" s="70">
        <f>IFERROR(VLOOKUP(factures[[#This Row],[DT Prestation Amiante 2]],presta_amiante2[#Data],2,0),0)</f>
        <v>0</v>
      </c>
      <c r="Z221" s="69" t="s">
        <v>62</v>
      </c>
      <c r="AA221" s="70">
        <f>IFERROR(VLOOKUP(factures[[#This Row],[DT Prestation Gaz]],presta_gaz[#Data],2,0),0)</f>
        <v>49.01</v>
      </c>
      <c r="AB221" s="69">
        <v>1</v>
      </c>
      <c r="AC221" s="69" t="s">
        <v>73</v>
      </c>
      <c r="AD221" s="70">
        <f>IFERROR(VLOOKUP(factures[[#This Row],[DT Analyses]],DT_analyses[#Data],2,0),0)</f>
        <v>36.99</v>
      </c>
      <c r="AE221" s="70">
        <f>IFERROR(factures[[#This Row],[Plvts ]]*factures[[#This Row],[Prix Analyses]],0)</f>
        <v>36.99</v>
      </c>
      <c r="AF221" s="70">
        <f>factures[[#This Row],[Prix Prestation Amiante 1]]+factures[[#This Row],[Prix Prestation Amiante 2]]+factures[[#This Row],[Prix Prestation Gaz]]+factures[[#This Row],[Prix analyses HT]]</f>
        <v>155.36000000000001</v>
      </c>
      <c r="AG221" s="69" t="s">
        <v>1664</v>
      </c>
      <c r="AH221" s="86" t="s">
        <v>1663</v>
      </c>
      <c r="AI221" s="69"/>
    </row>
    <row r="222" spans="1:35" ht="36" x14ac:dyDescent="0.3">
      <c r="A222" s="92" t="s">
        <v>1390</v>
      </c>
      <c r="B222" s="72">
        <v>92500</v>
      </c>
      <c r="C222" s="69" t="s">
        <v>265</v>
      </c>
      <c r="D222" s="69" t="s">
        <v>1388</v>
      </c>
      <c r="E222" s="69">
        <v>202</v>
      </c>
      <c r="F222" s="69">
        <v>2</v>
      </c>
      <c r="G222" s="69">
        <v>4</v>
      </c>
      <c r="H222" s="69">
        <v>64450</v>
      </c>
      <c r="I222" s="69">
        <v>9211</v>
      </c>
      <c r="J222" s="69"/>
      <c r="K222" s="69"/>
      <c r="L222" s="69" t="s">
        <v>1392</v>
      </c>
      <c r="M222" s="71">
        <v>43654</v>
      </c>
      <c r="N222" s="69" t="s">
        <v>71</v>
      </c>
      <c r="O222" s="71">
        <v>43657</v>
      </c>
      <c r="P222" s="69"/>
      <c r="Q222" s="69" t="s">
        <v>77</v>
      </c>
      <c r="R222" s="73" t="s">
        <v>1422</v>
      </c>
      <c r="S222" s="69">
        <v>952483</v>
      </c>
      <c r="T222" s="69"/>
      <c r="U222" s="69" t="s">
        <v>1424</v>
      </c>
      <c r="V222" s="69" t="s">
        <v>54</v>
      </c>
      <c r="W222" s="70">
        <f>IFERROR(VLOOKUP(factures[[#This Row],[DT Prestation Amiante 1]],presta_amiante1[#Data],2,0),0)</f>
        <v>69.36</v>
      </c>
      <c r="X222" s="69"/>
      <c r="Y222" s="70">
        <f>IFERROR(VLOOKUP(factures[[#This Row],[DT Prestation Amiante 2]],presta_amiante2[#Data],2,0),0)</f>
        <v>0</v>
      </c>
      <c r="Z222" s="69" t="s">
        <v>62</v>
      </c>
      <c r="AA222" s="70">
        <f>IFERROR(VLOOKUP(factures[[#This Row],[DT Prestation Gaz]],presta_gaz[#Data],2,0),0)</f>
        <v>49.01</v>
      </c>
      <c r="AB222" s="69">
        <v>2</v>
      </c>
      <c r="AC222" s="69" t="s">
        <v>73</v>
      </c>
      <c r="AD222" s="70">
        <f>IFERROR(VLOOKUP(factures[[#This Row],[DT Analyses]],DT_analyses[#Data],2,0),0)</f>
        <v>36.99</v>
      </c>
      <c r="AE222" s="70">
        <f>IFERROR(factures[[#This Row],[Plvts ]]*factures[[#This Row],[Prix Analyses]],0)</f>
        <v>73.98</v>
      </c>
      <c r="AF222" s="70">
        <f>factures[[#This Row],[Prix Prestation Amiante 1]]+factures[[#This Row],[Prix Prestation Amiante 2]]+factures[[#This Row],[Prix Prestation Gaz]]+factures[[#This Row],[Prix analyses HT]]</f>
        <v>192.35000000000002</v>
      </c>
      <c r="AG222" s="69" t="s">
        <v>1665</v>
      </c>
      <c r="AH222" s="86" t="s">
        <v>1663</v>
      </c>
      <c r="AI222" s="69"/>
    </row>
    <row r="223" spans="1:35" ht="51" x14ac:dyDescent="0.3">
      <c r="A223" s="92" t="s">
        <v>811</v>
      </c>
      <c r="B223" s="72">
        <v>78200</v>
      </c>
      <c r="C223" s="69" t="s">
        <v>189</v>
      </c>
      <c r="D223" s="69" t="s">
        <v>1393</v>
      </c>
      <c r="E223" s="69">
        <v>103</v>
      </c>
      <c r="F223" s="69">
        <v>1</v>
      </c>
      <c r="G223" s="69">
        <v>4</v>
      </c>
      <c r="H223" s="69">
        <v>11134</v>
      </c>
      <c r="I223" s="69">
        <v>166</v>
      </c>
      <c r="J223" s="69" t="s">
        <v>317</v>
      </c>
      <c r="K223" s="69"/>
      <c r="L223" s="69" t="s">
        <v>1394</v>
      </c>
      <c r="M223" s="71">
        <v>43654</v>
      </c>
      <c r="N223" s="69" t="s">
        <v>84</v>
      </c>
      <c r="O223" s="71">
        <v>43663</v>
      </c>
      <c r="P223" s="69"/>
      <c r="Q223" s="92" t="s">
        <v>77</v>
      </c>
      <c r="R223" s="73" t="s">
        <v>1395</v>
      </c>
      <c r="S223" s="69">
        <v>946856</v>
      </c>
      <c r="T223" s="69"/>
      <c r="U223" s="69" t="s">
        <v>1501</v>
      </c>
      <c r="V223" s="69" t="s">
        <v>55</v>
      </c>
      <c r="W223" s="70">
        <v>55.28</v>
      </c>
      <c r="X223" s="69" t="s">
        <v>54</v>
      </c>
      <c r="Y223" s="70">
        <v>69.099999999999994</v>
      </c>
      <c r="Z223" s="69" t="s">
        <v>62</v>
      </c>
      <c r="AA223" s="70">
        <v>48.83</v>
      </c>
      <c r="AB223" s="69">
        <v>12</v>
      </c>
      <c r="AC223" s="69" t="s">
        <v>73</v>
      </c>
      <c r="AD223" s="70">
        <v>36.85</v>
      </c>
      <c r="AE223" s="70">
        <f>IFERROR(factures[[#This Row],[Plvts ]]*factures[[#This Row],[Prix Analyses]],0)</f>
        <v>442.20000000000005</v>
      </c>
      <c r="AF223" s="70">
        <f>factures[[#This Row],[Prix Prestation Amiante 1]]+factures[[#This Row],[Prix Prestation Amiante 2]]+factures[[#This Row],[Prix Prestation Gaz]]+factures[[#This Row],[Prix analyses HT]]</f>
        <v>615.41000000000008</v>
      </c>
      <c r="AG223" s="69" t="s">
        <v>1824</v>
      </c>
      <c r="AH223" s="86" t="s">
        <v>1822</v>
      </c>
      <c r="AI223" s="69"/>
    </row>
    <row r="224" spans="1:35" ht="40.799999999999997" x14ac:dyDescent="0.3">
      <c r="A224" s="92" t="s">
        <v>1396</v>
      </c>
      <c r="B224" s="72">
        <v>78200</v>
      </c>
      <c r="C224" s="69" t="s">
        <v>189</v>
      </c>
      <c r="D224" s="69" t="s">
        <v>1397</v>
      </c>
      <c r="E224" s="69">
        <v>903</v>
      </c>
      <c r="F224" s="69">
        <v>9</v>
      </c>
      <c r="G224" s="69">
        <v>1</v>
      </c>
      <c r="H224" s="69">
        <v>43519</v>
      </c>
      <c r="I224" s="69">
        <v>862</v>
      </c>
      <c r="J224" s="69" t="s">
        <v>1448</v>
      </c>
      <c r="K224" s="69"/>
      <c r="L224" s="69" t="s">
        <v>1398</v>
      </c>
      <c r="M224" s="71">
        <v>43654</v>
      </c>
      <c r="N224" s="69" t="s">
        <v>83</v>
      </c>
      <c r="O224" s="71">
        <v>43663</v>
      </c>
      <c r="P224" s="69"/>
      <c r="Q224" s="69" t="s">
        <v>77</v>
      </c>
      <c r="R224" s="73" t="s">
        <v>1399</v>
      </c>
      <c r="S224" s="69">
        <v>952421</v>
      </c>
      <c r="T224" s="69"/>
      <c r="U224" s="69" t="s">
        <v>1502</v>
      </c>
      <c r="V224" s="69" t="s">
        <v>55</v>
      </c>
      <c r="W224" s="70">
        <f>IFERROR(VLOOKUP(factures[[#This Row],[DT Prestation Amiante 1]],presta_amiante1[#Data],2,0),0)</f>
        <v>55.49</v>
      </c>
      <c r="X224" s="69" t="s">
        <v>53</v>
      </c>
      <c r="Y224" s="70">
        <f>IFERROR(VLOOKUP(factures[[#This Row],[DT Prestation Amiante 2]],presta_amiante2[#Data],2,0),0)</f>
        <v>60.11</v>
      </c>
      <c r="Z224" s="69"/>
      <c r="AA224" s="70">
        <f>IFERROR(VLOOKUP(factures[[#This Row],[DT Prestation Gaz]],presta_gaz[#Data],2,0),0)</f>
        <v>0</v>
      </c>
      <c r="AB224" s="69">
        <v>12</v>
      </c>
      <c r="AC224" s="69" t="s">
        <v>73</v>
      </c>
      <c r="AD224" s="70">
        <f>IFERROR(VLOOKUP(factures[[#This Row],[DT Analyses]],DT_analyses[#Data],2,0),0)</f>
        <v>36.99</v>
      </c>
      <c r="AE224" s="70">
        <f>IFERROR(factures[[#This Row],[Plvts ]]*factures[[#This Row],[Prix Analyses]],0)</f>
        <v>443.88</v>
      </c>
      <c r="AF224" s="70">
        <f>factures[[#This Row],[Prix Prestation Amiante 1]]+factures[[#This Row],[Prix Prestation Amiante 2]]+factures[[#This Row],[Prix Prestation Gaz]]+factures[[#This Row],[Prix analyses HT]]</f>
        <v>559.48</v>
      </c>
      <c r="AG224" s="69" t="s">
        <v>1666</v>
      </c>
      <c r="AH224" s="86" t="s">
        <v>1663</v>
      </c>
      <c r="AI224" s="69"/>
    </row>
    <row r="225" spans="1:35" ht="36" x14ac:dyDescent="0.3">
      <c r="A225" s="92" t="s">
        <v>1410</v>
      </c>
      <c r="B225" s="72">
        <v>92600</v>
      </c>
      <c r="C225" s="69" t="s">
        <v>609</v>
      </c>
      <c r="D225" s="69" t="s">
        <v>549</v>
      </c>
      <c r="E225" s="69">
        <v>804</v>
      </c>
      <c r="F225" s="69">
        <v>8</v>
      </c>
      <c r="G225" s="69">
        <v>3</v>
      </c>
      <c r="H225" s="69">
        <v>31392</v>
      </c>
      <c r="I225" s="69">
        <v>440</v>
      </c>
      <c r="J225" s="69">
        <v>616215596</v>
      </c>
      <c r="K225" s="69"/>
      <c r="L225" s="90" t="s">
        <v>1411</v>
      </c>
      <c r="M225" s="71">
        <v>43656</v>
      </c>
      <c r="N225" s="69" t="s">
        <v>1413</v>
      </c>
      <c r="O225" s="71">
        <v>43672</v>
      </c>
      <c r="P225" s="69" t="s">
        <v>1204</v>
      </c>
      <c r="Q225" s="69" t="s">
        <v>77</v>
      </c>
      <c r="R225" s="73" t="s">
        <v>1412</v>
      </c>
      <c r="S225" s="69">
        <v>952889</v>
      </c>
      <c r="T225" s="92" t="s">
        <v>1425</v>
      </c>
      <c r="U225" s="69" t="s">
        <v>1552</v>
      </c>
      <c r="V225" s="69" t="s">
        <v>53</v>
      </c>
      <c r="W225" s="70">
        <f>IFERROR(VLOOKUP(factures[[#This Row],[DT Prestation Amiante 1]],presta_amiante1[#Data],2,0),0)</f>
        <v>60.11</v>
      </c>
      <c r="X225" s="69" t="s">
        <v>93</v>
      </c>
      <c r="Y225" s="70">
        <f>IFERROR(VLOOKUP(factures[[#This Row],[DT Prestation Amiante 2]],presta_amiante2[#Data],2,0),0)</f>
        <v>80.459999999999994</v>
      </c>
      <c r="Z225" s="69" t="s">
        <v>61</v>
      </c>
      <c r="AA225" s="70">
        <f>IFERROR(VLOOKUP(factures[[#This Row],[DT Prestation Gaz]],presta_gaz[#Data],2,0),0)</f>
        <v>41.62</v>
      </c>
      <c r="AB225" s="69">
        <v>3</v>
      </c>
      <c r="AC225" s="69" t="s">
        <v>73</v>
      </c>
      <c r="AD225" s="70">
        <f>IFERROR(VLOOKUP(factures[[#This Row],[DT Analyses]],DT_analyses[#Data],2,0),0)</f>
        <v>36.99</v>
      </c>
      <c r="AE225" s="70">
        <f>IFERROR(factures[[#This Row],[Plvts ]]*factures[[#This Row],[Prix Analyses]],0)</f>
        <v>110.97</v>
      </c>
      <c r="AF225" s="70">
        <f>factures[[#This Row],[Prix Prestation Amiante 1]]+factures[[#This Row],[Prix Prestation Amiante 2]]+factures[[#This Row],[Prix Prestation Gaz]]+factures[[#This Row],[Prix analyses HT]]</f>
        <v>293.15999999999997</v>
      </c>
      <c r="AG225" s="69" t="s">
        <v>1667</v>
      </c>
      <c r="AH225" s="86" t="s">
        <v>1663</v>
      </c>
      <c r="AI225" s="69"/>
    </row>
    <row r="226" spans="1:35" ht="36" x14ac:dyDescent="0.3">
      <c r="A226" s="92" t="s">
        <v>1426</v>
      </c>
      <c r="B226" s="72">
        <v>78130</v>
      </c>
      <c r="C226" s="69" t="s">
        <v>553</v>
      </c>
      <c r="D226" s="69" t="s">
        <v>554</v>
      </c>
      <c r="E226" s="69">
        <v>202</v>
      </c>
      <c r="F226" s="69">
        <v>2</v>
      </c>
      <c r="G226" s="69">
        <v>3</v>
      </c>
      <c r="H226" s="69">
        <v>50989</v>
      </c>
      <c r="I226" s="69">
        <v>1026</v>
      </c>
      <c r="J226" s="69" t="s">
        <v>1531</v>
      </c>
      <c r="K226" s="69"/>
      <c r="L226" s="69" t="s">
        <v>1427</v>
      </c>
      <c r="M226" s="71">
        <v>43655</v>
      </c>
      <c r="N226" s="69" t="s">
        <v>84</v>
      </c>
      <c r="O226" s="71">
        <v>43675</v>
      </c>
      <c r="P226" s="69" t="s">
        <v>337</v>
      </c>
      <c r="Q226" s="69" t="s">
        <v>77</v>
      </c>
      <c r="R226" s="73" t="s">
        <v>1428</v>
      </c>
      <c r="S226" s="69">
        <v>952734</v>
      </c>
      <c r="T226" s="92" t="s">
        <v>1425</v>
      </c>
      <c r="U226" s="69" t="s">
        <v>1570</v>
      </c>
      <c r="V226" s="69" t="s">
        <v>55</v>
      </c>
      <c r="W226" s="70">
        <f>IFERROR(VLOOKUP(factures[[#This Row],[DT Prestation Amiante 1]],presta_amiante1[#Data],2,0),0)</f>
        <v>55.49</v>
      </c>
      <c r="X226" s="69" t="s">
        <v>53</v>
      </c>
      <c r="Y226" s="70">
        <f>IFERROR(VLOOKUP(factures[[#This Row],[DT Prestation Amiante 2]],presta_amiante2[#Data],2,0),0)</f>
        <v>60.11</v>
      </c>
      <c r="Z226" s="69" t="s">
        <v>61</v>
      </c>
      <c r="AA226" s="70">
        <f>IFERROR(VLOOKUP(factures[[#This Row],[DT Prestation Gaz]],presta_gaz[#Data],2,0),0)</f>
        <v>41.62</v>
      </c>
      <c r="AB226" s="69">
        <v>5</v>
      </c>
      <c r="AC226" s="69" t="s">
        <v>73</v>
      </c>
      <c r="AD226" s="70">
        <f>IFERROR(VLOOKUP(factures[[#This Row],[DT Analyses]],DT_analyses[#Data],2,0),0)</f>
        <v>36.99</v>
      </c>
      <c r="AE226" s="70">
        <f>IFERROR(factures[[#This Row],[Plvts ]]*factures[[#This Row],[Prix Analyses]],0)</f>
        <v>184.95000000000002</v>
      </c>
      <c r="AF226" s="70">
        <f>factures[[#This Row],[Prix Prestation Amiante 1]]+factures[[#This Row],[Prix Prestation Amiante 2]]+factures[[#This Row],[Prix Prestation Gaz]]+factures[[#This Row],[Prix analyses HT]]</f>
        <v>342.17</v>
      </c>
      <c r="AG226" s="69" t="s">
        <v>1668</v>
      </c>
      <c r="AH226" s="86" t="s">
        <v>1663</v>
      </c>
      <c r="AI226" s="69"/>
    </row>
    <row r="227" spans="1:35" ht="36" x14ac:dyDescent="0.3">
      <c r="A227" s="92" t="s">
        <v>1429</v>
      </c>
      <c r="B227" s="72">
        <v>78130</v>
      </c>
      <c r="C227" s="69" t="s">
        <v>553</v>
      </c>
      <c r="D227" s="69" t="s">
        <v>554</v>
      </c>
      <c r="E227" s="69">
        <v>401</v>
      </c>
      <c r="F227" s="69">
        <v>4</v>
      </c>
      <c r="G227" s="69">
        <v>4</v>
      </c>
      <c r="H227" s="69">
        <v>50952</v>
      </c>
      <c r="I227" s="69">
        <v>1021</v>
      </c>
      <c r="J227" s="69" t="s">
        <v>1531</v>
      </c>
      <c r="K227" s="69"/>
      <c r="L227" s="69" t="s">
        <v>1430</v>
      </c>
      <c r="M227" s="71">
        <v>43655</v>
      </c>
      <c r="N227" s="69" t="s">
        <v>84</v>
      </c>
      <c r="O227" s="71">
        <v>43675</v>
      </c>
      <c r="P227" s="69" t="s">
        <v>337</v>
      </c>
      <c r="Q227" s="69" t="s">
        <v>77</v>
      </c>
      <c r="R227" s="73" t="s">
        <v>1431</v>
      </c>
      <c r="S227" s="69">
        <v>952731</v>
      </c>
      <c r="T227" s="92" t="s">
        <v>1425</v>
      </c>
      <c r="U227" s="69" t="s">
        <v>1571</v>
      </c>
      <c r="V227" s="69" t="s">
        <v>55</v>
      </c>
      <c r="W227" s="70">
        <v>55.49</v>
      </c>
      <c r="X227" s="69" t="s">
        <v>54</v>
      </c>
      <c r="Y227" s="70">
        <v>69.36</v>
      </c>
      <c r="Z227" s="69" t="s">
        <v>62</v>
      </c>
      <c r="AA227" s="70">
        <v>49.01</v>
      </c>
      <c r="AB227" s="69">
        <v>12</v>
      </c>
      <c r="AC227" s="69" t="s">
        <v>73</v>
      </c>
      <c r="AD227" s="70">
        <v>36.99</v>
      </c>
      <c r="AE227" s="70">
        <f>IFERROR(factures[[#This Row],[Plvts ]]*factures[[#This Row],[Prix Analyses]],0)</f>
        <v>443.88</v>
      </c>
      <c r="AF227" s="70">
        <f>factures[[#This Row],[Prix Prestation Amiante 1]]+factures[[#This Row],[Prix Prestation Amiante 2]]+factures[[#This Row],[Prix Prestation Gaz]]+factures[[#This Row],[Prix analyses HT]]</f>
        <v>617.74</v>
      </c>
      <c r="AG227" s="69" t="s">
        <v>1702</v>
      </c>
      <c r="AH227" s="86" t="s">
        <v>1703</v>
      </c>
      <c r="AI227" s="69"/>
    </row>
    <row r="228" spans="1:35" ht="36" x14ac:dyDescent="0.3">
      <c r="A228" s="92" t="s">
        <v>1432</v>
      </c>
      <c r="B228" s="72">
        <v>78130</v>
      </c>
      <c r="C228" s="69" t="s">
        <v>553</v>
      </c>
      <c r="D228" s="69" t="s">
        <v>554</v>
      </c>
      <c r="E228" s="69">
        <v>301</v>
      </c>
      <c r="F228" s="69">
        <v>3</v>
      </c>
      <c r="G228" s="69">
        <v>3</v>
      </c>
      <c r="H228" s="69">
        <v>50852</v>
      </c>
      <c r="I228" s="69">
        <v>1025</v>
      </c>
      <c r="J228" s="69" t="s">
        <v>1531</v>
      </c>
      <c r="K228" s="69"/>
      <c r="L228" s="69" t="s">
        <v>1433</v>
      </c>
      <c r="M228" s="71">
        <v>43655</v>
      </c>
      <c r="N228" s="69" t="s">
        <v>89</v>
      </c>
      <c r="O228" s="71">
        <v>43675</v>
      </c>
      <c r="P228" s="69" t="s">
        <v>337</v>
      </c>
      <c r="Q228" s="69" t="s">
        <v>77</v>
      </c>
      <c r="R228" s="73" t="s">
        <v>1556</v>
      </c>
      <c r="S228" s="69">
        <v>952729</v>
      </c>
      <c r="T228" s="92" t="s">
        <v>1425</v>
      </c>
      <c r="U228" s="69"/>
      <c r="V228" s="69" t="s">
        <v>55</v>
      </c>
      <c r="W228" s="70">
        <f>IFERROR(VLOOKUP(factures[[#This Row],[DT Prestation Amiante 1]],presta_amiante1[#Data],2,0),0)</f>
        <v>55.49</v>
      </c>
      <c r="X228" s="69" t="s">
        <v>53</v>
      </c>
      <c r="Y228" s="70">
        <f>IFERROR(VLOOKUP(factures[[#This Row],[DT Prestation Amiante 2]],presta_amiante2[#Data],2,0),0)</f>
        <v>60.11</v>
      </c>
      <c r="Z228" s="69" t="s">
        <v>61</v>
      </c>
      <c r="AA228" s="70">
        <f>IFERROR(VLOOKUP(factures[[#This Row],[DT Prestation Gaz]],presta_gaz[#Data],2,0),0)</f>
        <v>41.62</v>
      </c>
      <c r="AB228" s="69">
        <v>5</v>
      </c>
      <c r="AC228" s="69" t="s">
        <v>73</v>
      </c>
      <c r="AD228" s="70">
        <f>IFERROR(VLOOKUP(factures[[#This Row],[DT Analyses]],DT_analyses[#Data],2,0),0)</f>
        <v>36.99</v>
      </c>
      <c r="AE228" s="70">
        <f>IFERROR(factures[[#This Row],[Plvts ]]*factures[[#This Row],[Prix Analyses]],0)</f>
        <v>184.95000000000002</v>
      </c>
      <c r="AF228" s="70">
        <f>factures[[#This Row],[Prix Prestation Amiante 1]]+factures[[#This Row],[Prix Prestation Amiante 2]]+factures[[#This Row],[Prix Prestation Gaz]]+factures[[#This Row],[Prix analyses HT]]</f>
        <v>342.17</v>
      </c>
      <c r="AG228" s="69" t="s">
        <v>2069</v>
      </c>
      <c r="AH228" s="86" t="s">
        <v>2070</v>
      </c>
      <c r="AI228" s="69"/>
    </row>
    <row r="229" spans="1:35" ht="36" x14ac:dyDescent="0.3">
      <c r="A229" s="92" t="s">
        <v>1434</v>
      </c>
      <c r="B229" s="72">
        <v>78130</v>
      </c>
      <c r="C229" s="69" t="s">
        <v>553</v>
      </c>
      <c r="D229" s="69" t="s">
        <v>554</v>
      </c>
      <c r="E229" s="69">
        <v>302</v>
      </c>
      <c r="F229" s="69">
        <v>3</v>
      </c>
      <c r="G229" s="69">
        <v>3</v>
      </c>
      <c r="H229" s="69">
        <v>51379</v>
      </c>
      <c r="I229" s="69">
        <v>1023</v>
      </c>
      <c r="J229" s="69" t="s">
        <v>1531</v>
      </c>
      <c r="K229" s="69"/>
      <c r="L229" s="69" t="s">
        <v>1334</v>
      </c>
      <c r="M229" s="71">
        <v>43655</v>
      </c>
      <c r="N229" s="69" t="s">
        <v>84</v>
      </c>
      <c r="O229" s="71">
        <v>43675</v>
      </c>
      <c r="P229" s="69" t="s">
        <v>337</v>
      </c>
      <c r="Q229" s="69" t="s">
        <v>77</v>
      </c>
      <c r="R229" s="73" t="s">
        <v>1435</v>
      </c>
      <c r="S229" s="69">
        <v>952728</v>
      </c>
      <c r="T229" s="92" t="s">
        <v>1425</v>
      </c>
      <c r="U229" s="69" t="s">
        <v>1572</v>
      </c>
      <c r="V229" s="69" t="s">
        <v>55</v>
      </c>
      <c r="W229" s="70">
        <v>55.49</v>
      </c>
      <c r="X229" s="69" t="s">
        <v>53</v>
      </c>
      <c r="Y229" s="70">
        <v>60.11</v>
      </c>
      <c r="Z229" s="69" t="s">
        <v>61</v>
      </c>
      <c r="AA229" s="70">
        <v>41.62</v>
      </c>
      <c r="AB229" s="69">
        <v>3</v>
      </c>
      <c r="AC229" s="69" t="s">
        <v>73</v>
      </c>
      <c r="AD229" s="70">
        <v>36.99</v>
      </c>
      <c r="AE229" s="70">
        <f>IFERROR(factures[[#This Row],[Plvts ]]*factures[[#This Row],[Prix Analyses]],0)</f>
        <v>110.97</v>
      </c>
      <c r="AF229" s="70">
        <f>factures[[#This Row],[Prix Prestation Amiante 1]]+factures[[#This Row],[Prix Prestation Amiante 2]]+factures[[#This Row],[Prix Prestation Gaz]]+factures[[#This Row],[Prix analyses HT]]</f>
        <v>268.19</v>
      </c>
      <c r="AG229" s="69" t="s">
        <v>1704</v>
      </c>
      <c r="AH229" s="86" t="s">
        <v>1703</v>
      </c>
      <c r="AI229" s="69"/>
    </row>
    <row r="230" spans="1:35" ht="36" x14ac:dyDescent="0.3">
      <c r="A230" s="92" t="s">
        <v>1436</v>
      </c>
      <c r="B230" s="72">
        <v>78130</v>
      </c>
      <c r="C230" s="69" t="s">
        <v>553</v>
      </c>
      <c r="D230" s="69" t="s">
        <v>554</v>
      </c>
      <c r="E230" s="69">
        <v>301</v>
      </c>
      <c r="F230" s="69">
        <v>3</v>
      </c>
      <c r="G230" s="69">
        <v>3</v>
      </c>
      <c r="H230" s="69">
        <v>51328</v>
      </c>
      <c r="I230" s="69">
        <v>1024</v>
      </c>
      <c r="J230" s="69" t="s">
        <v>1531</v>
      </c>
      <c r="K230" s="69"/>
      <c r="L230" s="69" t="s">
        <v>1437</v>
      </c>
      <c r="M230" s="71">
        <v>43655</v>
      </c>
      <c r="N230" s="69" t="s">
        <v>84</v>
      </c>
      <c r="O230" s="71">
        <v>43675</v>
      </c>
      <c r="P230" s="69" t="s">
        <v>337</v>
      </c>
      <c r="Q230" s="69" t="s">
        <v>77</v>
      </c>
      <c r="R230" s="73" t="s">
        <v>1438</v>
      </c>
      <c r="S230" s="69">
        <v>952727</v>
      </c>
      <c r="T230" s="92" t="s">
        <v>1425</v>
      </c>
      <c r="U230" s="69" t="s">
        <v>1554</v>
      </c>
      <c r="V230" s="69" t="s">
        <v>55</v>
      </c>
      <c r="W230" s="70">
        <f>IFERROR(VLOOKUP(factures[[#This Row],[DT Prestation Amiante 1]],presta_amiante1[#Data],2,0),0)</f>
        <v>55.49</v>
      </c>
      <c r="X230" s="69" t="s">
        <v>53</v>
      </c>
      <c r="Y230" s="70">
        <f>IFERROR(VLOOKUP(factures[[#This Row],[DT Prestation Amiante 2]],presta_amiante2[#Data],2,0),0)</f>
        <v>60.11</v>
      </c>
      <c r="Z230" s="69" t="s">
        <v>61</v>
      </c>
      <c r="AA230" s="70">
        <f>IFERROR(VLOOKUP(factures[[#This Row],[DT Prestation Gaz]],presta_gaz[#Data],2,0),0)</f>
        <v>41.62</v>
      </c>
      <c r="AB230" s="69">
        <v>4</v>
      </c>
      <c r="AC230" s="69" t="s">
        <v>73</v>
      </c>
      <c r="AD230" s="70">
        <f>IFERROR(VLOOKUP(factures[[#This Row],[DT Analyses]],DT_analyses[#Data],2,0),0)</f>
        <v>36.99</v>
      </c>
      <c r="AE230" s="70">
        <f>IFERROR(factures[[#This Row],[Plvts ]]*factures[[#This Row],[Prix Analyses]],0)</f>
        <v>147.96</v>
      </c>
      <c r="AF230" s="70">
        <f>factures[[#This Row],[Prix Prestation Amiante 1]]+factures[[#This Row],[Prix Prestation Amiante 2]]+factures[[#This Row],[Prix Prestation Gaz]]+factures[[#This Row],[Prix analyses HT]]</f>
        <v>305.18</v>
      </c>
      <c r="AG230" s="69" t="s">
        <v>1669</v>
      </c>
      <c r="AH230" s="86" t="s">
        <v>1663</v>
      </c>
      <c r="AI230" s="69"/>
    </row>
    <row r="231" spans="1:35" ht="36" x14ac:dyDescent="0.3">
      <c r="A231" s="92" t="s">
        <v>1553</v>
      </c>
      <c r="B231" s="72">
        <v>78130</v>
      </c>
      <c r="C231" s="69" t="s">
        <v>553</v>
      </c>
      <c r="D231" s="69" t="s">
        <v>554</v>
      </c>
      <c r="E231" s="69">
        <v>301</v>
      </c>
      <c r="F231" s="69">
        <v>3</v>
      </c>
      <c r="G231" s="69">
        <v>4</v>
      </c>
      <c r="H231" s="69">
        <v>51168</v>
      </c>
      <c r="I231" s="69">
        <v>1025</v>
      </c>
      <c r="J231" s="69" t="s">
        <v>1531</v>
      </c>
      <c r="K231" s="69"/>
      <c r="L231" s="69" t="s">
        <v>1439</v>
      </c>
      <c r="M231" s="71">
        <v>43655</v>
      </c>
      <c r="N231" s="69" t="s">
        <v>89</v>
      </c>
      <c r="O231" s="71">
        <v>43675</v>
      </c>
      <c r="P231" s="69" t="s">
        <v>337</v>
      </c>
      <c r="Q231" s="69" t="s">
        <v>77</v>
      </c>
      <c r="R231" s="73"/>
      <c r="S231" s="69">
        <v>952724</v>
      </c>
      <c r="T231" s="92" t="s">
        <v>1425</v>
      </c>
      <c r="U231" s="69"/>
      <c r="V231" s="69" t="s">
        <v>55</v>
      </c>
      <c r="W231" s="70">
        <v>54</v>
      </c>
      <c r="X231" s="69" t="s">
        <v>54</v>
      </c>
      <c r="Y231" s="70">
        <f>IFERROR(VLOOKUP(factures[[#This Row],[DT Prestation Amiante 2]],presta_amiante2[#Data],2,0),0)</f>
        <v>69.36</v>
      </c>
      <c r="Z231" s="69" t="s">
        <v>62</v>
      </c>
      <c r="AA231" s="70">
        <v>47.7</v>
      </c>
      <c r="AB231" s="69">
        <v>5</v>
      </c>
      <c r="AC231" s="69" t="s">
        <v>73</v>
      </c>
      <c r="AD231" s="70">
        <v>36</v>
      </c>
      <c r="AE231" s="70">
        <f>IFERROR(factures[[#This Row],[Plvts ]]*factures[[#This Row],[Prix Analyses]],0)</f>
        <v>180</v>
      </c>
      <c r="AF231" s="70">
        <f>factures[[#This Row],[Prix Prestation Amiante 1]]+factures[[#This Row],[Prix Prestation Amiante 2]]+factures[[#This Row],[Prix Prestation Gaz]]+factures[[#This Row],[Prix analyses HT]]</f>
        <v>351.06</v>
      </c>
      <c r="AG231" s="69" t="s">
        <v>2444</v>
      </c>
      <c r="AH231" s="86" t="s">
        <v>2443</v>
      </c>
      <c r="AI231" s="69"/>
    </row>
    <row r="232" spans="1:35" ht="36" x14ac:dyDescent="0.3">
      <c r="A232" s="92" t="s">
        <v>1432</v>
      </c>
      <c r="B232" s="72">
        <v>78130</v>
      </c>
      <c r="C232" s="69" t="s">
        <v>553</v>
      </c>
      <c r="D232" s="69" t="s">
        <v>554</v>
      </c>
      <c r="E232" s="69">
        <v>1</v>
      </c>
      <c r="F232" s="69" t="s">
        <v>524</v>
      </c>
      <c r="G232" s="69">
        <v>3</v>
      </c>
      <c r="H232" s="69">
        <v>50844</v>
      </c>
      <c r="I232" s="69">
        <v>1025</v>
      </c>
      <c r="J232" s="69" t="s">
        <v>1531</v>
      </c>
      <c r="K232" s="69"/>
      <c r="L232" s="69" t="s">
        <v>1439</v>
      </c>
      <c r="M232" s="71">
        <v>43655</v>
      </c>
      <c r="N232" s="69" t="s">
        <v>89</v>
      </c>
      <c r="O232" s="71">
        <v>43675</v>
      </c>
      <c r="P232" s="69" t="s">
        <v>337</v>
      </c>
      <c r="Q232" s="69" t="s">
        <v>77</v>
      </c>
      <c r="R232" s="109" t="s">
        <v>1555</v>
      </c>
      <c r="S232" s="69">
        <v>952722</v>
      </c>
      <c r="T232" s="69" t="s">
        <v>1425</v>
      </c>
      <c r="U232" s="69"/>
      <c r="V232" s="69" t="s">
        <v>55</v>
      </c>
      <c r="W232" s="70">
        <f>IFERROR(VLOOKUP(factures[[#This Row],[DT Prestation Amiante 1]],presta_amiante1[#Data],2,0),0)</f>
        <v>55.49</v>
      </c>
      <c r="X232" s="69" t="s">
        <v>53</v>
      </c>
      <c r="Y232" s="70">
        <f>IFERROR(VLOOKUP(factures[[#This Row],[DT Prestation Amiante 2]],presta_amiante2[#Data],2,0),0)</f>
        <v>60.11</v>
      </c>
      <c r="Z232" s="69" t="s">
        <v>61</v>
      </c>
      <c r="AA232" s="70">
        <f>IFERROR(VLOOKUP(factures[[#This Row],[DT Prestation Gaz]],presta_gaz[#Data],2,0),0)</f>
        <v>41.62</v>
      </c>
      <c r="AB232" s="69">
        <v>5</v>
      </c>
      <c r="AC232" s="69" t="s">
        <v>73</v>
      </c>
      <c r="AD232" s="70">
        <f>IFERROR(VLOOKUP(factures[[#This Row],[DT Analyses]],DT_analyses[#Data],2,0),0)</f>
        <v>36.99</v>
      </c>
      <c r="AE232" s="70">
        <f>IFERROR(factures[[#This Row],[Plvts ]]*factures[[#This Row],[Prix Analyses]],0)</f>
        <v>184.95000000000002</v>
      </c>
      <c r="AF232" s="70">
        <f>factures[[#This Row],[Prix Prestation Amiante 1]]+factures[[#This Row],[Prix Prestation Amiante 2]]+factures[[#This Row],[Prix Prestation Gaz]]+factures[[#This Row],[Prix analyses HT]]</f>
        <v>342.17</v>
      </c>
      <c r="AG232" s="69" t="s">
        <v>1951</v>
      </c>
      <c r="AH232" s="86" t="s">
        <v>1945</v>
      </c>
      <c r="AI232" s="69"/>
    </row>
    <row r="233" spans="1:35" ht="36" x14ac:dyDescent="0.3">
      <c r="A233" s="92" t="s">
        <v>1429</v>
      </c>
      <c r="B233" s="72">
        <v>78130</v>
      </c>
      <c r="C233" s="69" t="s">
        <v>553</v>
      </c>
      <c r="D233" s="69" t="s">
        <v>554</v>
      </c>
      <c r="E233" s="69">
        <v>301</v>
      </c>
      <c r="F233" s="69">
        <v>3</v>
      </c>
      <c r="G233" s="69">
        <v>4</v>
      </c>
      <c r="H233" s="69">
        <v>50950</v>
      </c>
      <c r="I233" s="69">
        <v>1021</v>
      </c>
      <c r="J233" s="69" t="s">
        <v>1531</v>
      </c>
      <c r="K233" s="69"/>
      <c r="L233" s="69" t="s">
        <v>1440</v>
      </c>
      <c r="M233" s="71">
        <v>43655</v>
      </c>
      <c r="N233" s="69" t="s">
        <v>89</v>
      </c>
      <c r="O233" s="71">
        <v>43675</v>
      </c>
      <c r="P233" s="69" t="s">
        <v>337</v>
      </c>
      <c r="Q233" s="69" t="s">
        <v>77</v>
      </c>
      <c r="R233" s="109" t="s">
        <v>1555</v>
      </c>
      <c r="S233" s="69">
        <v>952719</v>
      </c>
      <c r="T233" s="69" t="s">
        <v>1425</v>
      </c>
      <c r="U233" s="69"/>
      <c r="V233" s="69" t="s">
        <v>55</v>
      </c>
      <c r="W233" s="70">
        <f>IFERROR(VLOOKUP(factures[[#This Row],[DT Prestation Amiante 1]],presta_amiante1[#Data],2,0),0)</f>
        <v>55.49</v>
      </c>
      <c r="X233" s="69" t="s">
        <v>54</v>
      </c>
      <c r="Y233" s="70">
        <f>IFERROR(VLOOKUP(factures[[#This Row],[DT Prestation Amiante 2]],presta_amiante2[#Data],2,0),0)</f>
        <v>69.36</v>
      </c>
      <c r="Z233" s="69" t="s">
        <v>62</v>
      </c>
      <c r="AA233" s="70">
        <f>IFERROR(VLOOKUP(factures[[#This Row],[DT Prestation Gaz]],presta_gaz[#Data],2,0),0)</f>
        <v>49.01</v>
      </c>
      <c r="AB233" s="69">
        <v>5</v>
      </c>
      <c r="AC233" s="69" t="s">
        <v>73</v>
      </c>
      <c r="AD233" s="70">
        <f>IFERROR(VLOOKUP(factures[[#This Row],[DT Analyses]],DT_analyses[#Data],2,0),0)</f>
        <v>36.99</v>
      </c>
      <c r="AE233" s="70">
        <f>IFERROR(factures[[#This Row],[Plvts ]]*factures[[#This Row],[Prix Analyses]],0)</f>
        <v>184.95000000000002</v>
      </c>
      <c r="AF233" s="70">
        <f>factures[[#This Row],[Prix Prestation Amiante 1]]+factures[[#This Row],[Prix Prestation Amiante 2]]+factures[[#This Row],[Prix Prestation Gaz]]+factures[[#This Row],[Prix analyses HT]]</f>
        <v>358.81</v>
      </c>
      <c r="AG233" s="69" t="s">
        <v>1952</v>
      </c>
      <c r="AH233" s="86" t="s">
        <v>1945</v>
      </c>
      <c r="AI233" s="69"/>
    </row>
    <row r="234" spans="1:35" ht="36" x14ac:dyDescent="0.3">
      <c r="A234" s="92" t="s">
        <v>842</v>
      </c>
      <c r="B234" s="72">
        <v>78130</v>
      </c>
      <c r="C234" s="69" t="s">
        <v>553</v>
      </c>
      <c r="D234" s="69" t="s">
        <v>554</v>
      </c>
      <c r="E234" s="69">
        <v>202</v>
      </c>
      <c r="F234" s="69">
        <v>2</v>
      </c>
      <c r="G234" s="69">
        <v>5</v>
      </c>
      <c r="H234" s="69">
        <v>51560</v>
      </c>
      <c r="I234" s="69">
        <v>1021</v>
      </c>
      <c r="J234" s="69" t="s">
        <v>1531</v>
      </c>
      <c r="K234" s="69"/>
      <c r="L234" s="69" t="s">
        <v>1441</v>
      </c>
      <c r="M234" s="71">
        <v>43655</v>
      </c>
      <c r="N234" s="69" t="s">
        <v>84</v>
      </c>
      <c r="O234" s="71">
        <v>43675</v>
      </c>
      <c r="P234" s="69" t="s">
        <v>337</v>
      </c>
      <c r="Q234" s="69" t="s">
        <v>77</v>
      </c>
      <c r="R234" s="73" t="s">
        <v>1532</v>
      </c>
      <c r="S234" s="69">
        <v>952716</v>
      </c>
      <c r="T234" s="92" t="s">
        <v>1425</v>
      </c>
      <c r="U234" s="69" t="s">
        <v>1573</v>
      </c>
      <c r="V234" s="69" t="s">
        <v>55</v>
      </c>
      <c r="W234" s="70">
        <v>55.49</v>
      </c>
      <c r="X234" s="69" t="s">
        <v>54</v>
      </c>
      <c r="Y234" s="70">
        <v>69.36</v>
      </c>
      <c r="Z234" s="69" t="s">
        <v>62</v>
      </c>
      <c r="AA234" s="70">
        <v>49.01</v>
      </c>
      <c r="AB234" s="69">
        <v>17</v>
      </c>
      <c r="AC234" s="69" t="s">
        <v>73</v>
      </c>
      <c r="AD234" s="70">
        <v>36.99</v>
      </c>
      <c r="AE234" s="70">
        <f>IFERROR(factures[[#This Row],[Plvts ]]*factures[[#This Row],[Prix Analyses]],0)</f>
        <v>628.83000000000004</v>
      </c>
      <c r="AF234" s="70">
        <f>factures[[#This Row],[Prix Prestation Amiante 1]]+factures[[#This Row],[Prix Prestation Amiante 2]]+factures[[#This Row],[Prix Prestation Gaz]]+factures[[#This Row],[Prix analyses HT]]</f>
        <v>802.69</v>
      </c>
      <c r="AG234" s="69" t="s">
        <v>1705</v>
      </c>
      <c r="AH234" s="86" t="s">
        <v>1703</v>
      </c>
      <c r="AI234" s="69"/>
    </row>
    <row r="235" spans="1:35" ht="36" x14ac:dyDescent="0.3">
      <c r="A235" s="92" t="s">
        <v>1443</v>
      </c>
      <c r="B235" s="72">
        <v>94460</v>
      </c>
      <c r="C235" s="69" t="s">
        <v>100</v>
      </c>
      <c r="D235" s="69" t="s">
        <v>101</v>
      </c>
      <c r="E235" s="69">
        <v>302</v>
      </c>
      <c r="F235" s="69">
        <v>3</v>
      </c>
      <c r="G235" s="69">
        <v>5</v>
      </c>
      <c r="H235" s="69">
        <v>49174</v>
      </c>
      <c r="I235" s="69">
        <v>9124</v>
      </c>
      <c r="J235" s="98" t="s">
        <v>1130</v>
      </c>
      <c r="K235" s="69"/>
      <c r="L235" s="90" t="s">
        <v>1444</v>
      </c>
      <c r="M235" s="71">
        <v>43657</v>
      </c>
      <c r="N235" s="69" t="s">
        <v>70</v>
      </c>
      <c r="O235" s="71">
        <v>43669</v>
      </c>
      <c r="P235" s="69" t="s">
        <v>334</v>
      </c>
      <c r="Q235" s="69" t="s">
        <v>77</v>
      </c>
      <c r="R235" s="73" t="s">
        <v>1445</v>
      </c>
      <c r="S235" s="69">
        <v>953442</v>
      </c>
      <c r="T235" s="69"/>
      <c r="U235" s="69" t="s">
        <v>1535</v>
      </c>
      <c r="V235" s="69" t="s">
        <v>54</v>
      </c>
      <c r="W235" s="70">
        <f>IFERROR(VLOOKUP(factures[[#This Row],[DT Prestation Amiante 1]],presta_amiante1[#Data],2,0),0)</f>
        <v>69.36</v>
      </c>
      <c r="X235" s="69"/>
      <c r="Y235" s="70">
        <f>IFERROR(VLOOKUP(factures[[#This Row],[DT Prestation Amiante 2]],presta_amiante2[#Data],2,0),0)</f>
        <v>0</v>
      </c>
      <c r="Z235" s="69"/>
      <c r="AA235" s="70">
        <f>IFERROR(VLOOKUP(factures[[#This Row],[DT Prestation Gaz]],presta_gaz[#Data],2,0),0)</f>
        <v>0</v>
      </c>
      <c r="AB235" s="69">
        <v>1</v>
      </c>
      <c r="AC235" s="69" t="s">
        <v>73</v>
      </c>
      <c r="AD235" s="70">
        <f>IFERROR(VLOOKUP(factures[[#This Row],[DT Analyses]],DT_analyses[#Data],2,0),0)</f>
        <v>36.99</v>
      </c>
      <c r="AE235" s="70">
        <f>IFERROR(factures[[#This Row],[Plvts ]]*factures[[#This Row],[Prix Analyses]],0)</f>
        <v>36.99</v>
      </c>
      <c r="AF235" s="70">
        <f>factures[[#This Row],[Prix Prestation Amiante 1]]+factures[[#This Row],[Prix Prestation Amiante 2]]+factures[[#This Row],[Prix Prestation Gaz]]+factures[[#This Row],[Prix analyses HT]]</f>
        <v>106.35</v>
      </c>
      <c r="AG235" s="69" t="s">
        <v>1601</v>
      </c>
      <c r="AH235" s="86" t="s">
        <v>1591</v>
      </c>
      <c r="AI235" s="69"/>
    </row>
    <row r="236" spans="1:35" ht="36" x14ac:dyDescent="0.3">
      <c r="A236" s="92" t="s">
        <v>648</v>
      </c>
      <c r="B236" s="72">
        <v>78260</v>
      </c>
      <c r="C236" s="69" t="s">
        <v>1082</v>
      </c>
      <c r="D236" s="69" t="s">
        <v>438</v>
      </c>
      <c r="E236" s="69">
        <v>201</v>
      </c>
      <c r="F236" s="69">
        <v>2</v>
      </c>
      <c r="G236" s="69">
        <v>3</v>
      </c>
      <c r="H236" s="69">
        <v>39730</v>
      </c>
      <c r="I236" s="69">
        <v>815</v>
      </c>
      <c r="J236" s="69" t="s">
        <v>470</v>
      </c>
      <c r="K236" s="69"/>
      <c r="L236" s="69" t="s">
        <v>1446</v>
      </c>
      <c r="M236" s="71">
        <v>43658</v>
      </c>
      <c r="N236" s="69" t="s">
        <v>84</v>
      </c>
      <c r="O236" s="71">
        <v>43679</v>
      </c>
      <c r="P236" s="69" t="s">
        <v>337</v>
      </c>
      <c r="Q236" s="69" t="s">
        <v>77</v>
      </c>
      <c r="R236" s="73" t="s">
        <v>1447</v>
      </c>
      <c r="S236" s="69">
        <v>953455</v>
      </c>
      <c r="T236" s="69" t="s">
        <v>1587</v>
      </c>
      <c r="U236" s="69" t="s">
        <v>1607</v>
      </c>
      <c r="V236" s="69" t="s">
        <v>55</v>
      </c>
      <c r="W236" s="70">
        <f>IFERROR(VLOOKUP(factures[[#This Row],[DT Prestation Amiante 1]],presta_amiante1[#Data],2,0),0)</f>
        <v>55.49</v>
      </c>
      <c r="X236" s="69" t="s">
        <v>53</v>
      </c>
      <c r="Y236" s="70">
        <f>IFERROR(VLOOKUP(factures[[#This Row],[DT Prestation Amiante 2]],presta_amiante2[#Data],2,0),0)</f>
        <v>60.11</v>
      </c>
      <c r="Z236" s="69" t="s">
        <v>61</v>
      </c>
      <c r="AA236" s="70">
        <f>IFERROR(VLOOKUP(factures[[#This Row],[DT Prestation Gaz]],presta_gaz[#Data],2,0),0)</f>
        <v>41.62</v>
      </c>
      <c r="AB236" s="69">
        <v>13</v>
      </c>
      <c r="AC236" s="69" t="s">
        <v>73</v>
      </c>
      <c r="AD236" s="70">
        <f>IFERROR(VLOOKUP(factures[[#This Row],[DT Analyses]],DT_analyses[#Data],2,0),0)</f>
        <v>36.99</v>
      </c>
      <c r="AE236" s="70">
        <f>IFERROR(factures[[#This Row],[Plvts ]]*factures[[#This Row],[Prix Analyses]],0)</f>
        <v>480.87</v>
      </c>
      <c r="AF236" s="70">
        <f>factures[[#This Row],[Prix Prestation Amiante 1]]+factures[[#This Row],[Prix Prestation Amiante 2]]+factures[[#This Row],[Prix Prestation Gaz]]+factures[[#This Row],[Prix analyses HT]]</f>
        <v>638.09</v>
      </c>
      <c r="AG236" s="69" t="s">
        <v>1756</v>
      </c>
      <c r="AH236" s="86" t="s">
        <v>1751</v>
      </c>
      <c r="AI236" s="69"/>
    </row>
    <row r="237" spans="1:35" ht="36" x14ac:dyDescent="0.3">
      <c r="A237" s="92" t="s">
        <v>1451</v>
      </c>
      <c r="B237" s="72">
        <v>78200</v>
      </c>
      <c r="C237" s="69" t="s">
        <v>189</v>
      </c>
      <c r="D237" s="69" t="s">
        <v>1344</v>
      </c>
      <c r="E237" s="69">
        <v>1</v>
      </c>
      <c r="F237" s="69" t="s">
        <v>816</v>
      </c>
      <c r="G237" s="69">
        <v>3</v>
      </c>
      <c r="H237" s="69">
        <v>43458</v>
      </c>
      <c r="I237" s="69">
        <v>861</v>
      </c>
      <c r="J237" s="69" t="s">
        <v>1448</v>
      </c>
      <c r="K237" s="69"/>
      <c r="L237" s="69" t="s">
        <v>1453</v>
      </c>
      <c r="M237" s="71">
        <v>43657</v>
      </c>
      <c r="N237" s="69" t="s">
        <v>84</v>
      </c>
      <c r="O237" s="71">
        <v>43663</v>
      </c>
      <c r="P237" s="69"/>
      <c r="Q237" s="69" t="s">
        <v>77</v>
      </c>
      <c r="R237" s="73" t="s">
        <v>1481</v>
      </c>
      <c r="S237" s="69">
        <v>953190</v>
      </c>
      <c r="T237" s="69"/>
      <c r="U237" s="69" t="s">
        <v>1500</v>
      </c>
      <c r="V237" s="69" t="s">
        <v>55</v>
      </c>
      <c r="W237" s="70">
        <f>IFERROR(VLOOKUP(factures[[#This Row],[DT Prestation Amiante 1]],presta_amiante1[#Data],2,0),0)</f>
        <v>55.49</v>
      </c>
      <c r="X237" s="69" t="s">
        <v>53</v>
      </c>
      <c r="Y237" s="70">
        <f>IFERROR(VLOOKUP(factures[[#This Row],[DT Prestation Amiante 2]],presta_amiante2[#Data],2,0),0)</f>
        <v>60.11</v>
      </c>
      <c r="Z237" s="69" t="s">
        <v>61</v>
      </c>
      <c r="AA237" s="70">
        <f>IFERROR(VLOOKUP(factures[[#This Row],[DT Prestation Gaz]],presta_gaz[#Data],2,0),0)</f>
        <v>41.62</v>
      </c>
      <c r="AB237" s="69">
        <v>4</v>
      </c>
      <c r="AC237" s="69" t="s">
        <v>73</v>
      </c>
      <c r="AD237" s="70">
        <f>IFERROR(VLOOKUP(factures[[#This Row],[DT Analyses]],DT_analyses[#Data],2,0),0)</f>
        <v>36.99</v>
      </c>
      <c r="AE237" s="70">
        <f>IFERROR(factures[[#This Row],[Plvts ]]*factures[[#This Row],[Prix Analyses]],0)</f>
        <v>147.96</v>
      </c>
      <c r="AF237" s="70">
        <f>factures[[#This Row],[Prix Prestation Amiante 1]]+factures[[#This Row],[Prix Prestation Amiante 2]]+factures[[#This Row],[Prix Prestation Gaz]]+factures[[#This Row],[Prix analyses HT]]</f>
        <v>305.18</v>
      </c>
      <c r="AG237" s="69" t="s">
        <v>1706</v>
      </c>
      <c r="AH237" s="86" t="s">
        <v>1703</v>
      </c>
      <c r="AI237" s="69"/>
    </row>
    <row r="238" spans="1:35" ht="48" x14ac:dyDescent="0.3">
      <c r="A238" s="92" t="s">
        <v>1452</v>
      </c>
      <c r="B238" s="72">
        <v>78200</v>
      </c>
      <c r="C238" s="69" t="s">
        <v>189</v>
      </c>
      <c r="D238" s="69" t="s">
        <v>752</v>
      </c>
      <c r="E238" s="69">
        <v>1</v>
      </c>
      <c r="F238" s="69" t="s">
        <v>816</v>
      </c>
      <c r="G238" s="69">
        <v>3</v>
      </c>
      <c r="H238" s="69">
        <v>10467</v>
      </c>
      <c r="I238" s="69">
        <v>161</v>
      </c>
      <c r="J238" s="69" t="s">
        <v>317</v>
      </c>
      <c r="K238" s="69"/>
      <c r="L238" s="69" t="s">
        <v>1454</v>
      </c>
      <c r="M238" s="71">
        <v>43657</v>
      </c>
      <c r="N238" s="69" t="s">
        <v>84</v>
      </c>
      <c r="O238" s="71">
        <v>43663</v>
      </c>
      <c r="P238" s="69"/>
      <c r="Q238" s="69" t="s">
        <v>77</v>
      </c>
      <c r="R238" s="73" t="s">
        <v>1455</v>
      </c>
      <c r="S238" s="69">
        <v>953703</v>
      </c>
      <c r="T238" s="69"/>
      <c r="U238" s="69" t="s">
        <v>1485</v>
      </c>
      <c r="V238" s="69" t="s">
        <v>55</v>
      </c>
      <c r="W238" s="70">
        <f>IFERROR(VLOOKUP(factures[[#This Row],[DT Prestation Amiante 1]],presta_amiante1[#Data],2,0),0)</f>
        <v>55.49</v>
      </c>
      <c r="X238" s="69" t="s">
        <v>53</v>
      </c>
      <c r="Y238" s="70">
        <f>IFERROR(VLOOKUP(factures[[#This Row],[DT Prestation Amiante 2]],presta_amiante2[#Data],2,0),0)</f>
        <v>60.11</v>
      </c>
      <c r="Z238" s="69" t="s">
        <v>61</v>
      </c>
      <c r="AA238" s="70">
        <f>IFERROR(VLOOKUP(factures[[#This Row],[DT Prestation Gaz]],presta_gaz[#Data],2,0),0)</f>
        <v>41.62</v>
      </c>
      <c r="AB238" s="69">
        <v>16</v>
      </c>
      <c r="AC238" s="69" t="s">
        <v>73</v>
      </c>
      <c r="AD238" s="70">
        <f>IFERROR(VLOOKUP(factures[[#This Row],[DT Analyses]],DT_analyses[#Data],2,0),0)</f>
        <v>36.99</v>
      </c>
      <c r="AE238" s="70">
        <f>IFERROR(factures[[#This Row],[Plvts ]]*factures[[#This Row],[Prix Analyses]],0)</f>
        <v>591.84</v>
      </c>
      <c r="AF238" s="70">
        <f>factures[[#This Row],[Prix Prestation Amiante 1]]+factures[[#This Row],[Prix Prestation Amiante 2]]+factures[[#This Row],[Prix Prestation Gaz]]+factures[[#This Row],[Prix analyses HT]]</f>
        <v>749.06000000000006</v>
      </c>
      <c r="AG238" s="69" t="s">
        <v>1670</v>
      </c>
      <c r="AH238" s="86" t="s">
        <v>1663</v>
      </c>
      <c r="AI238" s="69"/>
    </row>
    <row r="239" spans="1:35" ht="108" x14ac:dyDescent="0.3">
      <c r="A239" s="92" t="s">
        <v>1456</v>
      </c>
      <c r="B239" s="72">
        <v>78540</v>
      </c>
      <c r="C239" s="69" t="s">
        <v>351</v>
      </c>
      <c r="D239" s="69" t="s">
        <v>460</v>
      </c>
      <c r="E239" s="69">
        <v>402</v>
      </c>
      <c r="F239" s="69">
        <v>4</v>
      </c>
      <c r="G239" s="69">
        <v>3</v>
      </c>
      <c r="H239" s="69">
        <v>53207</v>
      </c>
      <c r="I239" s="69">
        <v>9700</v>
      </c>
      <c r="J239" s="69" t="s">
        <v>1226</v>
      </c>
      <c r="K239" s="69"/>
      <c r="L239" s="69" t="s">
        <v>1457</v>
      </c>
      <c r="M239" s="71">
        <v>43658</v>
      </c>
      <c r="N239" s="69" t="s">
        <v>84</v>
      </c>
      <c r="O239" s="71">
        <v>43671</v>
      </c>
      <c r="P239" s="69"/>
      <c r="Q239" s="92" t="s">
        <v>77</v>
      </c>
      <c r="R239" s="73" t="s">
        <v>1458</v>
      </c>
      <c r="S239" s="69">
        <v>953645</v>
      </c>
      <c r="T239" s="69"/>
      <c r="U239" s="69" t="s">
        <v>1544</v>
      </c>
      <c r="V239" s="69" t="s">
        <v>55</v>
      </c>
      <c r="W239" s="70">
        <f>IFERROR(VLOOKUP(factures[[#This Row],[DT Prestation Amiante 1]],presta_amiante1[#Data],2,0),0)</f>
        <v>55.49</v>
      </c>
      <c r="X239" s="69" t="s">
        <v>53</v>
      </c>
      <c r="Y239" s="70">
        <f>IFERROR(VLOOKUP(factures[[#This Row],[DT Prestation Amiante 2]],presta_amiante2[#Data],2,0),0)</f>
        <v>60.11</v>
      </c>
      <c r="Z239" s="69" t="s">
        <v>61</v>
      </c>
      <c r="AA239" s="70">
        <f>IFERROR(VLOOKUP(factures[[#This Row],[DT Prestation Gaz]],presta_gaz[#Data],2,0),0)</f>
        <v>41.62</v>
      </c>
      <c r="AB239" s="69">
        <v>10</v>
      </c>
      <c r="AC239" s="69" t="s">
        <v>73</v>
      </c>
      <c r="AD239" s="70">
        <f>IFERROR(VLOOKUP(factures[[#This Row],[DT Analyses]],DT_analyses[#Data],2,0),0)</f>
        <v>36.99</v>
      </c>
      <c r="AE239" s="70">
        <f>IFERROR(factures[[#This Row],[Plvts ]]*factures[[#This Row],[Prix Analyses]],0)</f>
        <v>369.90000000000003</v>
      </c>
      <c r="AF239" s="70">
        <f>factures[[#This Row],[Prix Prestation Amiante 1]]+factures[[#This Row],[Prix Prestation Amiante 2]]+factures[[#This Row],[Prix Prestation Gaz]]+factures[[#This Row],[Prix analyses HT]]</f>
        <v>527.12</v>
      </c>
      <c r="AG239" s="69" t="s">
        <v>1750</v>
      </c>
      <c r="AH239" s="86" t="s">
        <v>1751</v>
      </c>
      <c r="AI239" s="69"/>
    </row>
    <row r="240" spans="1:35" ht="108" x14ac:dyDescent="0.3">
      <c r="A240" s="92" t="s">
        <v>1459</v>
      </c>
      <c r="B240" s="72">
        <v>78540</v>
      </c>
      <c r="C240" s="69" t="s">
        <v>351</v>
      </c>
      <c r="D240" s="69" t="s">
        <v>460</v>
      </c>
      <c r="E240" s="69">
        <v>1</v>
      </c>
      <c r="F240" s="69" t="s">
        <v>816</v>
      </c>
      <c r="G240" s="69">
        <v>4</v>
      </c>
      <c r="H240" s="69">
        <v>53188</v>
      </c>
      <c r="I240" s="69">
        <v>9700</v>
      </c>
      <c r="J240" s="69" t="s">
        <v>1463</v>
      </c>
      <c r="K240" s="69"/>
      <c r="L240" s="92" t="s">
        <v>1460</v>
      </c>
      <c r="M240" s="71">
        <v>43661</v>
      </c>
      <c r="N240" s="69" t="s">
        <v>84</v>
      </c>
      <c r="O240" s="71">
        <v>43685</v>
      </c>
      <c r="P240" s="69"/>
      <c r="Q240" s="92" t="s">
        <v>77</v>
      </c>
      <c r="R240" s="73" t="s">
        <v>1461</v>
      </c>
      <c r="S240" s="69">
        <v>953811</v>
      </c>
      <c r="T240" s="92" t="s">
        <v>1495</v>
      </c>
      <c r="U240" s="69" t="s">
        <v>1650</v>
      </c>
      <c r="V240" s="69" t="s">
        <v>55</v>
      </c>
      <c r="W240" s="70">
        <f>IFERROR(VLOOKUP(factures[[#This Row],[DT Prestation Amiante 1]],presta_amiante1[#Data],2,0),0)</f>
        <v>55.49</v>
      </c>
      <c r="X240" s="69" t="s">
        <v>54</v>
      </c>
      <c r="Y240" s="70">
        <f>IFERROR(VLOOKUP(factures[[#This Row],[DT Prestation Amiante 2]],presta_amiante2[#Data],2,0),0)</f>
        <v>69.36</v>
      </c>
      <c r="Z240" s="69" t="s">
        <v>62</v>
      </c>
      <c r="AA240" s="70">
        <f>IFERROR(VLOOKUP(factures[[#This Row],[DT Prestation Gaz]],presta_gaz[#Data],2,0),0)</f>
        <v>49.01</v>
      </c>
      <c r="AB240" s="69">
        <v>11</v>
      </c>
      <c r="AC240" s="69" t="s">
        <v>73</v>
      </c>
      <c r="AD240" s="70">
        <f>IFERROR(VLOOKUP(factures[[#This Row],[DT Analyses]],DT_analyses[#Data],2,0),0)</f>
        <v>36.99</v>
      </c>
      <c r="AE240" s="70">
        <f>IFERROR(factures[[#This Row],[Plvts ]]*factures[[#This Row],[Prix Analyses]],0)</f>
        <v>406.89000000000004</v>
      </c>
      <c r="AF240" s="70">
        <f>factures[[#This Row],[Prix Prestation Amiante 1]]+factures[[#This Row],[Prix Prestation Amiante 2]]+factures[[#This Row],[Prix Prestation Gaz]]+factures[[#This Row],[Prix analyses HT]]</f>
        <v>580.75</v>
      </c>
      <c r="AG240" s="69" t="s">
        <v>1752</v>
      </c>
      <c r="AH240" s="86" t="s">
        <v>1751</v>
      </c>
      <c r="AI240" s="69"/>
    </row>
    <row r="241" spans="1:35" ht="108" x14ac:dyDescent="0.3">
      <c r="A241" s="92" t="s">
        <v>1462</v>
      </c>
      <c r="B241" s="72">
        <v>78540</v>
      </c>
      <c r="C241" s="69" t="s">
        <v>351</v>
      </c>
      <c r="D241" s="69" t="s">
        <v>460</v>
      </c>
      <c r="E241" s="69">
        <v>402</v>
      </c>
      <c r="F241" s="69">
        <v>4</v>
      </c>
      <c r="G241" s="69">
        <v>4</v>
      </c>
      <c r="H241" s="69">
        <v>53187</v>
      </c>
      <c r="I241" s="69">
        <v>9700</v>
      </c>
      <c r="J241" s="69" t="s">
        <v>1463</v>
      </c>
      <c r="K241" s="69"/>
      <c r="L241" s="69" t="s">
        <v>1464</v>
      </c>
      <c r="M241" s="71">
        <v>43662</v>
      </c>
      <c r="N241" s="69" t="s">
        <v>84</v>
      </c>
      <c r="O241" s="71">
        <v>43685</v>
      </c>
      <c r="P241" s="69"/>
      <c r="Q241" s="92" t="s">
        <v>77</v>
      </c>
      <c r="R241" s="73" t="s">
        <v>1749</v>
      </c>
      <c r="S241" s="69">
        <v>953819</v>
      </c>
      <c r="T241" s="92" t="s">
        <v>1495</v>
      </c>
      <c r="U241" s="69" t="s">
        <v>1651</v>
      </c>
      <c r="V241" s="69" t="s">
        <v>55</v>
      </c>
      <c r="W241" s="70">
        <f>IFERROR(VLOOKUP(factures[[#This Row],[DT Prestation Amiante 1]],presta_amiante1[#Data],2,0),0)</f>
        <v>55.49</v>
      </c>
      <c r="X241" s="69" t="s">
        <v>54</v>
      </c>
      <c r="Y241" s="70">
        <f>IFERROR(VLOOKUP(factures[[#This Row],[DT Prestation Amiante 2]],presta_amiante2[#Data],2,0),0)</f>
        <v>69.36</v>
      </c>
      <c r="Z241" s="69" t="s">
        <v>62</v>
      </c>
      <c r="AA241" s="70">
        <f>IFERROR(VLOOKUP(factures[[#This Row],[DT Prestation Gaz]],presta_gaz[#Data],2,0),0)</f>
        <v>49.01</v>
      </c>
      <c r="AB241" s="69">
        <v>7</v>
      </c>
      <c r="AC241" s="69" t="s">
        <v>73</v>
      </c>
      <c r="AD241" s="70">
        <f>IFERROR(VLOOKUP(factures[[#This Row],[DT Analyses]],DT_analyses[#Data],2,0),0)</f>
        <v>36.99</v>
      </c>
      <c r="AE241" s="70">
        <f>IFERROR(factures[[#This Row],[Plvts ]]*factures[[#This Row],[Prix Analyses]],0)</f>
        <v>258.93</v>
      </c>
      <c r="AF241" s="70">
        <f>factures[[#This Row],[Prix Prestation Amiante 1]]+factures[[#This Row],[Prix Prestation Amiante 2]]+factures[[#This Row],[Prix Prestation Gaz]]+factures[[#This Row],[Prix analyses HT]]</f>
        <v>432.78999999999996</v>
      </c>
      <c r="AG241" s="69" t="s">
        <v>1753</v>
      </c>
      <c r="AH241" s="86" t="s">
        <v>1751</v>
      </c>
      <c r="AI241" s="69"/>
    </row>
    <row r="242" spans="1:35" ht="36" x14ac:dyDescent="0.3">
      <c r="A242" s="92" t="s">
        <v>1465</v>
      </c>
      <c r="B242" s="72">
        <v>78180</v>
      </c>
      <c r="C242" s="69" t="s">
        <v>115</v>
      </c>
      <c r="D242" s="69" t="s">
        <v>913</v>
      </c>
      <c r="E242" s="69">
        <v>3</v>
      </c>
      <c r="F242" s="69" t="s">
        <v>524</v>
      </c>
      <c r="G242" s="69">
        <v>1</v>
      </c>
      <c r="H242" s="69">
        <v>31898</v>
      </c>
      <c r="I242" s="69">
        <v>454</v>
      </c>
      <c r="J242" s="69" t="s">
        <v>1362</v>
      </c>
      <c r="K242" s="69"/>
      <c r="L242" s="69" t="s">
        <v>1466</v>
      </c>
      <c r="M242" s="71">
        <v>43661</v>
      </c>
      <c r="N242" s="69" t="s">
        <v>83</v>
      </c>
      <c r="O242" s="71">
        <v>43690</v>
      </c>
      <c r="P242" s="69"/>
      <c r="Q242" s="69" t="s">
        <v>77</v>
      </c>
      <c r="R242" s="73" t="s">
        <v>1477</v>
      </c>
      <c r="S242" s="69">
        <v>953766</v>
      </c>
      <c r="T242" s="69"/>
      <c r="U242" s="69" t="s">
        <v>1741</v>
      </c>
      <c r="V242" s="69" t="s">
        <v>55</v>
      </c>
      <c r="W242" s="70">
        <f>IFERROR(VLOOKUP(factures[[#This Row],[DT Prestation Amiante 1]],presta_amiante1[#Data],2,0),0)</f>
        <v>55.49</v>
      </c>
      <c r="X242" s="69" t="s">
        <v>53</v>
      </c>
      <c r="Y242" s="70">
        <f>IFERROR(VLOOKUP(factures[[#This Row],[DT Prestation Amiante 2]],presta_amiante2[#Data],2,0),0)</f>
        <v>60.11</v>
      </c>
      <c r="Z242" s="69" t="s">
        <v>61</v>
      </c>
      <c r="AA242" s="70">
        <f>IFERROR(VLOOKUP(factures[[#This Row],[DT Prestation Gaz]],presta_gaz[#Data],2,0),0)</f>
        <v>41.62</v>
      </c>
      <c r="AB242" s="69">
        <v>5</v>
      </c>
      <c r="AC242" s="69" t="s">
        <v>73</v>
      </c>
      <c r="AD242" s="70">
        <f>IFERROR(VLOOKUP(factures[[#This Row],[DT Analyses]],DT_analyses[#Data],2,0),0)</f>
        <v>36.99</v>
      </c>
      <c r="AE242" s="70">
        <f>IFERROR(factures[[#This Row],[Plvts ]]*factures[[#This Row],[Prix Analyses]],0)</f>
        <v>184.95000000000002</v>
      </c>
      <c r="AF242" s="70">
        <f>factures[[#This Row],[Prix Prestation Amiante 1]]+factures[[#This Row],[Prix Prestation Amiante 2]]+factures[[#This Row],[Prix Prestation Gaz]]+factures[[#This Row],[Prix analyses HT]]</f>
        <v>342.17</v>
      </c>
      <c r="AG242" s="69" t="s">
        <v>1825</v>
      </c>
      <c r="AH242" s="86" t="s">
        <v>1822</v>
      </c>
      <c r="AI242" s="69"/>
    </row>
    <row r="243" spans="1:35" ht="36" x14ac:dyDescent="0.3">
      <c r="A243" s="92" t="s">
        <v>1010</v>
      </c>
      <c r="B243" s="72">
        <v>78190</v>
      </c>
      <c r="C243" s="69" t="s">
        <v>754</v>
      </c>
      <c r="D243" s="69" t="s">
        <v>1467</v>
      </c>
      <c r="E243" s="69">
        <v>1</v>
      </c>
      <c r="F243" s="69" t="s">
        <v>816</v>
      </c>
      <c r="G243" s="69">
        <v>4</v>
      </c>
      <c r="H243" s="69">
        <v>22204</v>
      </c>
      <c r="I243" s="69">
        <v>314</v>
      </c>
      <c r="J243" s="79" t="s">
        <v>1046</v>
      </c>
      <c r="K243" s="69"/>
      <c r="L243" s="69" t="s">
        <v>1468</v>
      </c>
      <c r="M243" s="71">
        <v>43661</v>
      </c>
      <c r="N243" s="69" t="s">
        <v>83</v>
      </c>
      <c r="O243" s="71">
        <v>43665</v>
      </c>
      <c r="P243" s="69"/>
      <c r="Q243" s="69" t="s">
        <v>77</v>
      </c>
      <c r="R243" s="73" t="s">
        <v>1469</v>
      </c>
      <c r="S243" s="69">
        <v>953715</v>
      </c>
      <c r="T243" s="69"/>
      <c r="U243" s="69" t="s">
        <v>1503</v>
      </c>
      <c r="V243" s="69" t="s">
        <v>55</v>
      </c>
      <c r="W243" s="70">
        <f>IFERROR(VLOOKUP(factures[[#This Row],[DT Prestation Amiante 1]],presta_amiante1[#Data],2,0),0)</f>
        <v>55.49</v>
      </c>
      <c r="X243" s="69" t="s">
        <v>54</v>
      </c>
      <c r="Y243" s="70">
        <f>IFERROR(VLOOKUP(factures[[#This Row],[DT Prestation Amiante 2]],presta_amiante2[#Data],2,0),0)</f>
        <v>69.36</v>
      </c>
      <c r="Z243" s="69"/>
      <c r="AA243" s="70">
        <f>IFERROR(VLOOKUP(factures[[#This Row],[DT Prestation Gaz]],presta_gaz[#Data],2,0),0)</f>
        <v>0</v>
      </c>
      <c r="AB243" s="69">
        <v>8</v>
      </c>
      <c r="AC243" s="69" t="s">
        <v>73</v>
      </c>
      <c r="AD243" s="70">
        <f>IFERROR(VLOOKUP(factures[[#This Row],[DT Analyses]],DT_analyses[#Data],2,0),0)</f>
        <v>36.99</v>
      </c>
      <c r="AE243" s="70">
        <f>IFERROR(factures[[#This Row],[Plvts ]]*factures[[#This Row],[Prix Analyses]],0)</f>
        <v>295.92</v>
      </c>
      <c r="AF243" s="70">
        <f>factures[[#This Row],[Prix Prestation Amiante 1]]+factures[[#This Row],[Prix Prestation Amiante 2]]+factures[[#This Row],[Prix Prestation Gaz]]+factures[[#This Row],[Prix analyses HT]]</f>
        <v>420.77</v>
      </c>
      <c r="AG243" s="69" t="s">
        <v>1978</v>
      </c>
      <c r="AH243" s="86" t="s">
        <v>1959</v>
      </c>
      <c r="AI243" s="69"/>
    </row>
    <row r="244" spans="1:35" ht="48" x14ac:dyDescent="0.3">
      <c r="A244" s="92" t="s">
        <v>1470</v>
      </c>
      <c r="B244" s="72">
        <v>92100</v>
      </c>
      <c r="C244" s="69" t="s">
        <v>133</v>
      </c>
      <c r="D244" s="69" t="s">
        <v>849</v>
      </c>
      <c r="E244" s="69">
        <v>74</v>
      </c>
      <c r="F244" s="69">
        <v>7</v>
      </c>
      <c r="G244" s="69">
        <v>2</v>
      </c>
      <c r="H244" s="69">
        <v>60768</v>
      </c>
      <c r="I244" s="69">
        <v>753</v>
      </c>
      <c r="J244" s="69" t="s">
        <v>135</v>
      </c>
      <c r="K244" s="69"/>
      <c r="L244" s="69" t="s">
        <v>1471</v>
      </c>
      <c r="M244" s="71">
        <v>43661</v>
      </c>
      <c r="N244" s="69" t="s">
        <v>1530</v>
      </c>
      <c r="O244" s="71">
        <v>43664</v>
      </c>
      <c r="P244" s="69">
        <v>10</v>
      </c>
      <c r="Q244" s="69" t="s">
        <v>77</v>
      </c>
      <c r="R244" s="73" t="s">
        <v>1472</v>
      </c>
      <c r="S244" s="69">
        <v>953814</v>
      </c>
      <c r="T244" s="69"/>
      <c r="U244" s="69" t="s">
        <v>1482</v>
      </c>
      <c r="V244" s="69" t="s">
        <v>53</v>
      </c>
      <c r="W244" s="70">
        <f>IFERROR(VLOOKUP(factures[[#This Row],[DT Prestation Amiante 1]],presta_amiante1[#Data],2,0),0)</f>
        <v>60.11</v>
      </c>
      <c r="X244" s="69" t="s">
        <v>93</v>
      </c>
      <c r="Y244" s="70">
        <f>IFERROR(VLOOKUP(factures[[#This Row],[DT Prestation Amiante 2]],presta_amiante2[#Data],2,0),0)</f>
        <v>80.459999999999994</v>
      </c>
      <c r="Z244" s="69"/>
      <c r="AA244" s="70">
        <f>IFERROR(VLOOKUP(factures[[#This Row],[DT Prestation Gaz]],presta_gaz[#Data],2,0),0)</f>
        <v>0</v>
      </c>
      <c r="AB244" s="69">
        <v>4</v>
      </c>
      <c r="AC244" s="69" t="s">
        <v>73</v>
      </c>
      <c r="AD244" s="70">
        <f>IFERROR(VLOOKUP(factures[[#This Row],[DT Analyses]],DT_analyses[#Data],2,0),0)</f>
        <v>36.99</v>
      </c>
      <c r="AE244" s="70">
        <f>IFERROR(factures[[#This Row],[Plvts ]]*factures[[#This Row],[Prix Analyses]],0)</f>
        <v>147.96</v>
      </c>
      <c r="AF244" s="70">
        <f>factures[[#This Row],[Prix Prestation Amiante 1]]+factures[[#This Row],[Prix Prestation Amiante 2]]+factures[[#This Row],[Prix Prestation Gaz]]+factures[[#This Row],[Prix analyses HT]]</f>
        <v>288.52999999999997</v>
      </c>
      <c r="AG244" s="69" t="s">
        <v>1671</v>
      </c>
      <c r="AH244" s="86" t="s">
        <v>1663</v>
      </c>
      <c r="AI244" s="69"/>
    </row>
    <row r="245" spans="1:35" ht="36" x14ac:dyDescent="0.3">
      <c r="A245" s="92" t="s">
        <v>173</v>
      </c>
      <c r="B245" s="72">
        <v>92220</v>
      </c>
      <c r="C245" s="69" t="s">
        <v>418</v>
      </c>
      <c r="D245" s="69" t="s">
        <v>419</v>
      </c>
      <c r="E245" s="69">
        <v>602</v>
      </c>
      <c r="F245" s="69">
        <v>6</v>
      </c>
      <c r="G245" s="69">
        <v>4</v>
      </c>
      <c r="H245" s="69">
        <v>51781</v>
      </c>
      <c r="I245" s="69">
        <v>9152</v>
      </c>
      <c r="J245" s="69" t="s">
        <v>327</v>
      </c>
      <c r="K245" s="69"/>
      <c r="L245" s="69" t="s">
        <v>1473</v>
      </c>
      <c r="M245" s="71">
        <v>43662</v>
      </c>
      <c r="N245" s="69" t="s">
        <v>70</v>
      </c>
      <c r="O245" s="71">
        <v>43664</v>
      </c>
      <c r="P245" s="69">
        <v>9</v>
      </c>
      <c r="Q245" s="69" t="s">
        <v>77</v>
      </c>
      <c r="R245" s="73" t="s">
        <v>1474</v>
      </c>
      <c r="S245" s="69">
        <v>954187</v>
      </c>
      <c r="T245" s="69"/>
      <c r="U245" s="69" t="s">
        <v>1483</v>
      </c>
      <c r="V245" s="69" t="s">
        <v>54</v>
      </c>
      <c r="W245" s="70">
        <f>IFERROR(VLOOKUP(factures[[#This Row],[DT Prestation Amiante 1]],presta_amiante1[#Data],2,0),0)</f>
        <v>69.36</v>
      </c>
      <c r="X245" s="69"/>
      <c r="Y245" s="70">
        <f>IFERROR(VLOOKUP(factures[[#This Row],[DT Prestation Amiante 2]],presta_amiante2[#Data],2,0),0)</f>
        <v>0</v>
      </c>
      <c r="Z245" s="69"/>
      <c r="AA245" s="70">
        <f>IFERROR(VLOOKUP(factures[[#This Row],[DT Prestation Gaz]],presta_gaz[#Data],2,0),0)</f>
        <v>0</v>
      </c>
      <c r="AB245" s="69">
        <v>7</v>
      </c>
      <c r="AC245" s="69" t="s">
        <v>73</v>
      </c>
      <c r="AD245" s="70">
        <f>IFERROR(VLOOKUP(factures[[#This Row],[DT Analyses]],DT_analyses[#Data],2,0),0)</f>
        <v>36.99</v>
      </c>
      <c r="AE245" s="70">
        <f>IFERROR(factures[[#This Row],[Plvts ]]*factures[[#This Row],[Prix Analyses]],0)</f>
        <v>258.93</v>
      </c>
      <c r="AF245" s="70">
        <f>factures[[#This Row],[Prix Prestation Amiante 1]]+factures[[#This Row],[Prix Prestation Amiante 2]]+factures[[#This Row],[Prix Prestation Gaz]]+factures[[#This Row],[Prix analyses HT]]</f>
        <v>328.29</v>
      </c>
      <c r="AG245" s="69" t="s">
        <v>1602</v>
      </c>
      <c r="AH245" s="86" t="s">
        <v>1591</v>
      </c>
      <c r="AI245" s="69"/>
    </row>
    <row r="246" spans="1:35" ht="36" x14ac:dyDescent="0.3">
      <c r="A246" s="92" t="s">
        <v>1475</v>
      </c>
      <c r="B246" s="72">
        <v>94500</v>
      </c>
      <c r="C246" s="69" t="s">
        <v>479</v>
      </c>
      <c r="D246" s="69" t="s">
        <v>589</v>
      </c>
      <c r="E246" s="69">
        <v>1</v>
      </c>
      <c r="F246" s="69" t="s">
        <v>816</v>
      </c>
      <c r="G246" s="69">
        <v>3</v>
      </c>
      <c r="H246" s="69">
        <v>18510</v>
      </c>
      <c r="I246" s="69">
        <v>259</v>
      </c>
      <c r="J246" s="69" t="s">
        <v>150</v>
      </c>
      <c r="K246" s="69"/>
      <c r="L246" s="69" t="s">
        <v>1575</v>
      </c>
      <c r="M246" s="71">
        <v>43661</v>
      </c>
      <c r="N246" s="69" t="s">
        <v>70</v>
      </c>
      <c r="O246" s="71">
        <v>43791</v>
      </c>
      <c r="P246" s="69" t="s">
        <v>1204</v>
      </c>
      <c r="Q246" s="69" t="s">
        <v>77</v>
      </c>
      <c r="R246" s="73" t="s">
        <v>1476</v>
      </c>
      <c r="S246" s="69">
        <v>953970</v>
      </c>
      <c r="T246" s="69"/>
      <c r="U246" s="69" t="s">
        <v>2513</v>
      </c>
      <c r="V246" s="69" t="s">
        <v>53</v>
      </c>
      <c r="W246" s="70">
        <v>58.5</v>
      </c>
      <c r="X246" s="69"/>
      <c r="Y246" s="70">
        <f>IFERROR(VLOOKUP(factures[[#This Row],[DT Prestation Amiante 2]],presta_amiante2[#Data],2,0),0)</f>
        <v>0</v>
      </c>
      <c r="Z246" s="69"/>
      <c r="AA246" s="70">
        <f>IFERROR(VLOOKUP(factures[[#This Row],[DT Prestation Gaz]],presta_gaz[#Data],2,0),0)</f>
        <v>0</v>
      </c>
      <c r="AB246" s="69">
        <v>3</v>
      </c>
      <c r="AC246" s="69" t="s">
        <v>73</v>
      </c>
      <c r="AD246" s="70">
        <v>36</v>
      </c>
      <c r="AE246" s="70">
        <f>IFERROR(factures[[#This Row],[Plvts ]]*factures[[#This Row],[Prix Analyses]],0)</f>
        <v>108</v>
      </c>
      <c r="AF246" s="70">
        <f>factures[[#This Row],[Prix Prestation Amiante 1]]+factures[[#This Row],[Prix Prestation Amiante 2]]+factures[[#This Row],[Prix Prestation Gaz]]+factures[[#This Row],[Prix analyses HT]]</f>
        <v>166.5</v>
      </c>
      <c r="AG246" s="69" t="s">
        <v>2581</v>
      </c>
      <c r="AH246" s="86" t="s">
        <v>2582</v>
      </c>
      <c r="AI246" s="69"/>
    </row>
    <row r="247" spans="1:35" ht="48" x14ac:dyDescent="0.3">
      <c r="A247" s="92" t="s">
        <v>1478</v>
      </c>
      <c r="B247" s="72">
        <v>92100</v>
      </c>
      <c r="C247" s="69" t="s">
        <v>133</v>
      </c>
      <c r="D247" s="69" t="s">
        <v>134</v>
      </c>
      <c r="E247" s="69">
        <v>26</v>
      </c>
      <c r="F247" s="69">
        <v>2</v>
      </c>
      <c r="G247" s="69">
        <v>1</v>
      </c>
      <c r="H247" s="69">
        <v>62500</v>
      </c>
      <c r="I247" s="69">
        <v>753</v>
      </c>
      <c r="J247" s="69" t="s">
        <v>135</v>
      </c>
      <c r="K247" s="69"/>
      <c r="L247" s="69" t="s">
        <v>1479</v>
      </c>
      <c r="M247" s="71">
        <v>43663</v>
      </c>
      <c r="N247" s="69" t="s">
        <v>1530</v>
      </c>
      <c r="O247" s="71">
        <v>43664</v>
      </c>
      <c r="P247" s="69">
        <v>10</v>
      </c>
      <c r="Q247" s="69" t="s">
        <v>77</v>
      </c>
      <c r="R247" s="73" t="s">
        <v>1480</v>
      </c>
      <c r="S247" s="69">
        <v>954417</v>
      </c>
      <c r="T247" s="69"/>
      <c r="U247" s="69" t="s">
        <v>1484</v>
      </c>
      <c r="V247" s="69" t="s">
        <v>53</v>
      </c>
      <c r="W247" s="70">
        <f>IFERROR(VLOOKUP(factures[[#This Row],[DT Prestation Amiante 1]],presta_amiante1[#Data],2,0),0)</f>
        <v>60.11</v>
      </c>
      <c r="X247" s="69" t="s">
        <v>93</v>
      </c>
      <c r="Y247" s="70">
        <f>IFERROR(VLOOKUP(factures[[#This Row],[DT Prestation Amiante 2]],presta_amiante2[#Data],2,0),0)</f>
        <v>80.459999999999994</v>
      </c>
      <c r="Z247" s="69"/>
      <c r="AA247" s="70">
        <f>IFERROR(VLOOKUP(factures[[#This Row],[DT Prestation Gaz]],presta_gaz[#Data],2,0),0)</f>
        <v>0</v>
      </c>
      <c r="AB247" s="69">
        <v>2</v>
      </c>
      <c r="AC247" s="69" t="s">
        <v>73</v>
      </c>
      <c r="AD247" s="70">
        <f>IFERROR(VLOOKUP(factures[[#This Row],[DT Analyses]],DT_analyses[#Data],2,0),0)</f>
        <v>36.99</v>
      </c>
      <c r="AE247" s="70">
        <f>IFERROR(factures[[#This Row],[Plvts ]]*factures[[#This Row],[Prix Analyses]],0)</f>
        <v>73.98</v>
      </c>
      <c r="AF247" s="70">
        <f>factures[[#This Row],[Prix Prestation Amiante 1]]+factures[[#This Row],[Prix Prestation Amiante 2]]+factures[[#This Row],[Prix Prestation Gaz]]+factures[[#This Row],[Prix analyses HT]]</f>
        <v>214.55</v>
      </c>
      <c r="AG247" s="69" t="s">
        <v>1603</v>
      </c>
      <c r="AH247" s="86" t="s">
        <v>1591</v>
      </c>
      <c r="AI247" s="69"/>
    </row>
    <row r="248" spans="1:35" ht="36" x14ac:dyDescent="0.3">
      <c r="A248" s="92" t="s">
        <v>1343</v>
      </c>
      <c r="B248" s="72">
        <v>78200</v>
      </c>
      <c r="C248" s="69" t="s">
        <v>189</v>
      </c>
      <c r="D248" s="69" t="s">
        <v>813</v>
      </c>
      <c r="E248" s="69">
        <v>2</v>
      </c>
      <c r="F248" s="69" t="s">
        <v>102</v>
      </c>
      <c r="G248" s="69">
        <v>5</v>
      </c>
      <c r="H248" s="69">
        <v>11071</v>
      </c>
      <c r="I248" s="69">
        <v>165</v>
      </c>
      <c r="J248" s="69" t="s">
        <v>1537</v>
      </c>
      <c r="K248" s="69"/>
      <c r="L248" s="69" t="s">
        <v>1486</v>
      </c>
      <c r="M248" s="71">
        <v>43664</v>
      </c>
      <c r="N248" s="69" t="s">
        <v>84</v>
      </c>
      <c r="O248" s="71">
        <v>43671</v>
      </c>
      <c r="P248" s="69"/>
      <c r="Q248" s="92" t="s">
        <v>77</v>
      </c>
      <c r="R248" s="73" t="s">
        <v>1487</v>
      </c>
      <c r="S248" s="69">
        <v>952990</v>
      </c>
      <c r="T248" s="69"/>
      <c r="U248" s="69" t="s">
        <v>1545</v>
      </c>
      <c r="V248" s="69" t="s">
        <v>55</v>
      </c>
      <c r="W248" s="70">
        <f>IFERROR(VLOOKUP(factures[[#This Row],[DT Prestation Amiante 1]],presta_amiante1[#Data],2,0),0)</f>
        <v>55.49</v>
      </c>
      <c r="X248" s="69" t="s">
        <v>54</v>
      </c>
      <c r="Y248" s="70">
        <f>IFERROR(VLOOKUP(factures[[#This Row],[DT Prestation Amiante 2]],presta_amiante2[#Data],2,0),0)</f>
        <v>69.36</v>
      </c>
      <c r="Z248" s="69" t="s">
        <v>62</v>
      </c>
      <c r="AA248" s="70">
        <f>IFERROR(VLOOKUP(factures[[#This Row],[DT Prestation Gaz]],presta_gaz[#Data],2,0),0)</f>
        <v>49.01</v>
      </c>
      <c r="AB248" s="69">
        <v>4</v>
      </c>
      <c r="AC248" s="69" t="s">
        <v>73</v>
      </c>
      <c r="AD248" s="70">
        <f>IFERROR(VLOOKUP(factures[[#This Row],[DT Analyses]],DT_analyses[#Data],2,0),0)</f>
        <v>36.99</v>
      </c>
      <c r="AE248" s="70">
        <f>IFERROR(factures[[#This Row],[Plvts ]]*factures[[#This Row],[Prix Analyses]],0)</f>
        <v>147.96</v>
      </c>
      <c r="AF248" s="70">
        <f>factures[[#This Row],[Prix Prestation Amiante 1]]+factures[[#This Row],[Prix Prestation Amiante 2]]+factures[[#This Row],[Prix Prestation Gaz]]+factures[[#This Row],[Prix analyses HT]]</f>
        <v>321.82</v>
      </c>
      <c r="AG248" s="69" t="s">
        <v>1785</v>
      </c>
      <c r="AH248" s="86" t="s">
        <v>1786</v>
      </c>
      <c r="AI248" s="69"/>
    </row>
    <row r="249" spans="1:35" ht="36" x14ac:dyDescent="0.3">
      <c r="A249" s="92" t="s">
        <v>268</v>
      </c>
      <c r="B249" s="72">
        <v>94460</v>
      </c>
      <c r="C249" s="69" t="s">
        <v>100</v>
      </c>
      <c r="D249" s="69" t="s">
        <v>101</v>
      </c>
      <c r="E249" s="69">
        <v>101</v>
      </c>
      <c r="F249" s="69">
        <v>1</v>
      </c>
      <c r="G249" s="69">
        <v>4</v>
      </c>
      <c r="H249" s="69">
        <v>49169</v>
      </c>
      <c r="I249" s="69">
        <v>9124</v>
      </c>
      <c r="J249" s="69" t="s">
        <v>184</v>
      </c>
      <c r="K249" s="69"/>
      <c r="L249" s="69" t="s">
        <v>1488</v>
      </c>
      <c r="M249" s="71">
        <v>43664</v>
      </c>
      <c r="N249" s="69" t="s">
        <v>71</v>
      </c>
      <c r="O249" s="71">
        <v>43669</v>
      </c>
      <c r="P249" s="69" t="s">
        <v>334</v>
      </c>
      <c r="Q249" s="69" t="s">
        <v>77</v>
      </c>
      <c r="R249" s="73" t="s">
        <v>1489</v>
      </c>
      <c r="S249" s="69">
        <v>954653</v>
      </c>
      <c r="T249" s="69"/>
      <c r="U249" s="69" t="s">
        <v>1534</v>
      </c>
      <c r="V249" s="69" t="s">
        <v>54</v>
      </c>
      <c r="W249" s="70">
        <f>IFERROR(VLOOKUP(factures[[#This Row],[DT Prestation Amiante 1]],presta_amiante1[#Data],2,0),0)</f>
        <v>69.36</v>
      </c>
      <c r="X249" s="69"/>
      <c r="Y249" s="70">
        <f>IFERROR(VLOOKUP(factures[[#This Row],[DT Prestation Amiante 2]],presta_amiante2[#Data],2,0),0)</f>
        <v>0</v>
      </c>
      <c r="Z249" s="69" t="s">
        <v>62</v>
      </c>
      <c r="AA249" s="70">
        <f>IFERROR(VLOOKUP(factures[[#This Row],[DT Prestation Gaz]],presta_gaz[#Data],2,0),0)</f>
        <v>49.01</v>
      </c>
      <c r="AB249" s="69">
        <v>2</v>
      </c>
      <c r="AC249" s="69" t="s">
        <v>73</v>
      </c>
      <c r="AD249" s="70">
        <f>IFERROR(VLOOKUP(factures[[#This Row],[DT Analyses]],DT_analyses[#Data],2,0),0)</f>
        <v>36.99</v>
      </c>
      <c r="AE249" s="70">
        <f>IFERROR(factures[[#This Row],[Plvts ]]*factures[[#This Row],[Prix Analyses]],0)</f>
        <v>73.98</v>
      </c>
      <c r="AF249" s="70">
        <f>factures[[#This Row],[Prix Prestation Amiante 1]]+factures[[#This Row],[Prix Prestation Amiante 2]]+factures[[#This Row],[Prix Prestation Gaz]]+factures[[#This Row],[Prix analyses HT]]</f>
        <v>192.35000000000002</v>
      </c>
      <c r="AG249" s="69" t="s">
        <v>1604</v>
      </c>
      <c r="AH249" s="86" t="s">
        <v>1591</v>
      </c>
      <c r="AI249" s="69"/>
    </row>
    <row r="250" spans="1:35" ht="36" x14ac:dyDescent="0.3">
      <c r="A250" s="92" t="s">
        <v>1490</v>
      </c>
      <c r="B250" s="72">
        <v>78960</v>
      </c>
      <c r="C250" s="69" t="s">
        <v>196</v>
      </c>
      <c r="D250" s="69" t="s">
        <v>832</v>
      </c>
      <c r="E250" s="69">
        <v>403</v>
      </c>
      <c r="F250" s="69">
        <v>4</v>
      </c>
      <c r="G250" s="69">
        <v>4</v>
      </c>
      <c r="H250" s="69">
        <v>38283</v>
      </c>
      <c r="I250" s="69">
        <v>761</v>
      </c>
      <c r="J250" s="69" t="s">
        <v>198</v>
      </c>
      <c r="K250" s="69"/>
      <c r="L250" s="69" t="s">
        <v>1491</v>
      </c>
      <c r="M250" s="71">
        <v>43664</v>
      </c>
      <c r="N250" s="69" t="s">
        <v>83</v>
      </c>
      <c r="O250" s="71">
        <v>43665</v>
      </c>
      <c r="P250" s="69"/>
      <c r="Q250" s="69" t="s">
        <v>77</v>
      </c>
      <c r="R250" s="73" t="s">
        <v>1492</v>
      </c>
      <c r="S250" s="69">
        <v>952844</v>
      </c>
      <c r="T250" s="69"/>
      <c r="U250" s="69" t="s">
        <v>1504</v>
      </c>
      <c r="V250" s="69" t="s">
        <v>55</v>
      </c>
      <c r="W250" s="70">
        <f>IFERROR(VLOOKUP(factures[[#This Row],[DT Prestation Amiante 1]],presta_amiante1[#Data],2,0),0)</f>
        <v>55.49</v>
      </c>
      <c r="X250" s="69" t="s">
        <v>54</v>
      </c>
      <c r="Y250" s="70">
        <f>IFERROR(VLOOKUP(factures[[#This Row],[DT Prestation Amiante 2]],presta_amiante2[#Data],2,0),0)</f>
        <v>69.36</v>
      </c>
      <c r="Z250" s="69"/>
      <c r="AA250" s="70">
        <f>IFERROR(VLOOKUP(factures[[#This Row],[DT Prestation Gaz]],presta_gaz[#Data],2,0),0)</f>
        <v>0</v>
      </c>
      <c r="AB250" s="69">
        <v>6</v>
      </c>
      <c r="AC250" s="69" t="s">
        <v>73</v>
      </c>
      <c r="AD250" s="70">
        <f>IFERROR(VLOOKUP(factures[[#This Row],[DT Analyses]],DT_analyses[#Data],2,0),0)</f>
        <v>36.99</v>
      </c>
      <c r="AE250" s="70">
        <f>IFERROR(factures[[#This Row],[Plvts ]]*factures[[#This Row],[Prix Analyses]],0)</f>
        <v>221.94</v>
      </c>
      <c r="AF250" s="70">
        <f>factures[[#This Row],[Prix Prestation Amiante 1]]+factures[[#This Row],[Prix Prestation Amiante 2]]+factures[[#This Row],[Prix Prestation Gaz]]+factures[[#This Row],[Prix analyses HT]]</f>
        <v>346.78999999999996</v>
      </c>
      <c r="AG250" s="69" t="s">
        <v>1754</v>
      </c>
      <c r="AH250" s="86" t="s">
        <v>1751</v>
      </c>
      <c r="AI250" s="69"/>
    </row>
    <row r="251" spans="1:35" ht="28.8" x14ac:dyDescent="0.3">
      <c r="A251" s="92" t="s">
        <v>1493</v>
      </c>
      <c r="B251" s="72">
        <v>92260</v>
      </c>
      <c r="C251" s="69" t="s">
        <v>500</v>
      </c>
      <c r="D251" s="69" t="s">
        <v>159</v>
      </c>
      <c r="E251" s="69">
        <v>301</v>
      </c>
      <c r="F251" s="69">
        <v>3</v>
      </c>
      <c r="G251" s="69">
        <v>3</v>
      </c>
      <c r="H251" s="69">
        <v>63317</v>
      </c>
      <c r="I251" s="69">
        <v>9216</v>
      </c>
      <c r="J251" s="98" t="s">
        <v>512</v>
      </c>
      <c r="K251" s="69"/>
      <c r="L251" s="69" t="s">
        <v>1494</v>
      </c>
      <c r="M251" s="71">
        <v>43664</v>
      </c>
      <c r="N251" s="69" t="s">
        <v>72</v>
      </c>
      <c r="O251" s="71">
        <v>43676</v>
      </c>
      <c r="P251" s="69" t="s">
        <v>294</v>
      </c>
      <c r="Q251" s="69" t="s">
        <v>77</v>
      </c>
      <c r="R251" s="73"/>
      <c r="S251" s="69">
        <v>954472</v>
      </c>
      <c r="T251" s="69"/>
      <c r="U251" s="69"/>
      <c r="V251" s="69"/>
      <c r="W251" s="70">
        <f>IFERROR(VLOOKUP(factures[[#This Row],[DT Prestation Amiante 1]],presta_amiante1[#Data],2,0),0)</f>
        <v>0</v>
      </c>
      <c r="X251" s="69"/>
      <c r="Y251" s="70">
        <f>IFERROR(VLOOKUP(factures[[#This Row],[DT Prestation Amiante 2]],presta_amiante2[#Data],2,0),0)</f>
        <v>0</v>
      </c>
      <c r="Z251" s="69" t="s">
        <v>61</v>
      </c>
      <c r="AA251" s="70">
        <f>IFERROR(VLOOKUP(factures[[#This Row],[DT Prestation Gaz]],presta_gaz[#Data],2,0),0)</f>
        <v>41.62</v>
      </c>
      <c r="AB251" s="69"/>
      <c r="AC251" s="69"/>
      <c r="AD251" s="70">
        <f>IFERROR(VLOOKUP(factures[[#This Row],[DT Analyses]],DT_analyses[#Data],2,0),0)</f>
        <v>0</v>
      </c>
      <c r="AE251" s="70">
        <f>IFERROR(factures[[#This Row],[Plvts ]]*factures[[#This Row],[Prix Analyses]],0)</f>
        <v>0</v>
      </c>
      <c r="AF251" s="70">
        <f>factures[[#This Row],[Prix Prestation Amiante 1]]+factures[[#This Row],[Prix Prestation Amiante 2]]+factures[[#This Row],[Prix Prestation Gaz]]+factures[[#This Row],[Prix analyses HT]]</f>
        <v>41.62</v>
      </c>
      <c r="AG251" s="69" t="s">
        <v>1672</v>
      </c>
      <c r="AH251" s="86" t="s">
        <v>1663</v>
      </c>
      <c r="AI251" s="69"/>
    </row>
    <row r="252" spans="1:35" ht="36" x14ac:dyDescent="0.3">
      <c r="A252" s="92" t="s">
        <v>1496</v>
      </c>
      <c r="B252" s="72">
        <v>94000</v>
      </c>
      <c r="C252" s="69" t="s">
        <v>1497</v>
      </c>
      <c r="D252" s="69" t="s">
        <v>1124</v>
      </c>
      <c r="E252" s="69">
        <v>201</v>
      </c>
      <c r="F252" s="69">
        <v>2</v>
      </c>
      <c r="G252" s="69">
        <v>3</v>
      </c>
      <c r="H252" s="69">
        <v>40309</v>
      </c>
      <c r="I252" s="69">
        <v>823</v>
      </c>
      <c r="J252" s="69" t="s">
        <v>300</v>
      </c>
      <c r="K252" s="69"/>
      <c r="L252" s="69" t="s">
        <v>1498</v>
      </c>
      <c r="M252" s="71">
        <v>43664</v>
      </c>
      <c r="N252" s="69" t="s">
        <v>71</v>
      </c>
      <c r="O252" s="71">
        <v>43669</v>
      </c>
      <c r="P252" s="69" t="s">
        <v>1194</v>
      </c>
      <c r="Q252" s="69" t="s">
        <v>77</v>
      </c>
      <c r="R252" s="73" t="s">
        <v>1499</v>
      </c>
      <c r="S252" s="69">
        <v>954686</v>
      </c>
      <c r="T252" s="69"/>
      <c r="U252" s="69" t="s">
        <v>1536</v>
      </c>
      <c r="V252" s="69" t="s">
        <v>53</v>
      </c>
      <c r="W252" s="70">
        <f>IFERROR(VLOOKUP(factures[[#This Row],[DT Prestation Amiante 1]],presta_amiante1[#Data],2,0),0)</f>
        <v>60.11</v>
      </c>
      <c r="X252" s="69"/>
      <c r="Y252" s="70">
        <f>IFERROR(VLOOKUP(factures[[#This Row],[DT Prestation Amiante 2]],presta_amiante2[#Data],2,0),0)</f>
        <v>0</v>
      </c>
      <c r="Z252" s="69" t="s">
        <v>61</v>
      </c>
      <c r="AA252" s="70">
        <f>IFERROR(VLOOKUP(factures[[#This Row],[DT Prestation Gaz]],presta_gaz[#Data],2,0),0)</f>
        <v>41.62</v>
      </c>
      <c r="AB252" s="69">
        <v>4</v>
      </c>
      <c r="AC252" s="69" t="s">
        <v>73</v>
      </c>
      <c r="AD252" s="70">
        <f>IFERROR(VLOOKUP(factures[[#This Row],[DT Analyses]],DT_analyses[#Data],2,0),0)</f>
        <v>36.99</v>
      </c>
      <c r="AE252" s="70">
        <f>IFERROR(factures[[#This Row],[Plvts ]]*factures[[#This Row],[Prix Analyses]],0)</f>
        <v>147.96</v>
      </c>
      <c r="AF252" s="70">
        <f>factures[[#This Row],[Prix Prestation Amiante 1]]+factures[[#This Row],[Prix Prestation Amiante 2]]+factures[[#This Row],[Prix Prestation Gaz]]+factures[[#This Row],[Prix analyses HT]]</f>
        <v>249.69</v>
      </c>
      <c r="AG252" s="69" t="s">
        <v>1904</v>
      </c>
      <c r="AH252" s="86" t="s">
        <v>1902</v>
      </c>
      <c r="AI252" s="69"/>
    </row>
    <row r="253" spans="1:35" ht="36" x14ac:dyDescent="0.3">
      <c r="A253" s="92" t="s">
        <v>1514</v>
      </c>
      <c r="B253" s="72">
        <v>94550</v>
      </c>
      <c r="C253" s="69" t="s">
        <v>304</v>
      </c>
      <c r="D253" s="69" t="s">
        <v>305</v>
      </c>
      <c r="E253" s="69">
        <v>101</v>
      </c>
      <c r="F253" s="69">
        <v>1</v>
      </c>
      <c r="G253" s="69">
        <v>2</v>
      </c>
      <c r="H253" s="69">
        <v>4548</v>
      </c>
      <c r="I253" s="69">
        <v>74</v>
      </c>
      <c r="J253" s="69" t="s">
        <v>1515</v>
      </c>
      <c r="K253" s="69"/>
      <c r="L253" s="69" t="s">
        <v>1516</v>
      </c>
      <c r="M253" s="71">
        <v>43668</v>
      </c>
      <c r="N253" s="69" t="s">
        <v>71</v>
      </c>
      <c r="O253" s="71">
        <v>43678</v>
      </c>
      <c r="P253" s="69" t="s">
        <v>1576</v>
      </c>
      <c r="Q253" s="69" t="s">
        <v>77</v>
      </c>
      <c r="R253" s="73" t="s">
        <v>1529</v>
      </c>
      <c r="S253" s="69">
        <v>955195</v>
      </c>
      <c r="T253" s="69"/>
      <c r="U253" s="69" t="s">
        <v>1605</v>
      </c>
      <c r="V253" s="69" t="s">
        <v>53</v>
      </c>
      <c r="W253" s="70">
        <f>IFERROR(VLOOKUP(factures[[#This Row],[DT Prestation Amiante 1]],presta_amiante1[#Data],2,0),0)</f>
        <v>60.11</v>
      </c>
      <c r="X253" s="69"/>
      <c r="Y253" s="70">
        <f>IFERROR(VLOOKUP(factures[[#This Row],[DT Prestation Amiante 2]],presta_amiante2[#Data],2,0),0)</f>
        <v>0</v>
      </c>
      <c r="Z253" s="69" t="s">
        <v>61</v>
      </c>
      <c r="AA253" s="70">
        <f>IFERROR(VLOOKUP(factures[[#This Row],[DT Prestation Gaz]],presta_gaz[#Data],2,0),0)</f>
        <v>41.62</v>
      </c>
      <c r="AB253" s="69">
        <v>6</v>
      </c>
      <c r="AC253" s="69" t="s">
        <v>73</v>
      </c>
      <c r="AD253" s="70">
        <f>IFERROR(VLOOKUP(factures[[#This Row],[DT Analyses]],DT_analyses[#Data],2,0),0)</f>
        <v>36.99</v>
      </c>
      <c r="AE253" s="70">
        <f>IFERROR(factures[[#This Row],[Plvts ]]*factures[[#This Row],[Prix Analyses]],0)</f>
        <v>221.94</v>
      </c>
      <c r="AF253" s="70">
        <f>factures[[#This Row],[Prix Prestation Amiante 1]]+factures[[#This Row],[Prix Prestation Amiante 2]]+factures[[#This Row],[Prix Prestation Gaz]]+factures[[#This Row],[Prix analyses HT]]</f>
        <v>323.66999999999996</v>
      </c>
      <c r="AG253" s="69" t="s">
        <v>1744</v>
      </c>
      <c r="AH253" s="86" t="s">
        <v>1745</v>
      </c>
      <c r="AI253" s="69"/>
    </row>
    <row r="254" spans="1:35" ht="40.799999999999997" x14ac:dyDescent="0.3">
      <c r="A254" s="92" t="s">
        <v>157</v>
      </c>
      <c r="B254" s="72">
        <v>92260</v>
      </c>
      <c r="C254" s="69" t="s">
        <v>500</v>
      </c>
      <c r="D254" s="69" t="s">
        <v>159</v>
      </c>
      <c r="E254" s="69">
        <v>602</v>
      </c>
      <c r="F254" s="69">
        <v>6</v>
      </c>
      <c r="G254" s="69">
        <v>5</v>
      </c>
      <c r="H254" s="69">
        <v>63388</v>
      </c>
      <c r="I254" s="69">
        <v>9216</v>
      </c>
      <c r="J254" s="69" t="s">
        <v>512</v>
      </c>
      <c r="K254" s="69"/>
      <c r="L254" s="69" t="s">
        <v>1517</v>
      </c>
      <c r="M254" s="71">
        <v>43668</v>
      </c>
      <c r="N254" s="69" t="s">
        <v>71</v>
      </c>
      <c r="O254" s="71">
        <v>43676</v>
      </c>
      <c r="P254" s="69" t="s">
        <v>294</v>
      </c>
      <c r="Q254" s="69" t="s">
        <v>77</v>
      </c>
      <c r="R254" s="73" t="s">
        <v>1528</v>
      </c>
      <c r="S254" s="69">
        <v>955162</v>
      </c>
      <c r="T254" s="69"/>
      <c r="U254" s="69" t="s">
        <v>1574</v>
      </c>
      <c r="V254" s="69" t="s">
        <v>54</v>
      </c>
      <c r="W254" s="70">
        <f>IFERROR(VLOOKUP(factures[[#This Row],[DT Prestation Amiante 1]],presta_amiante1[#Data],2,0),0)</f>
        <v>69.36</v>
      </c>
      <c r="X254" s="69"/>
      <c r="Y254" s="70">
        <f>IFERROR(VLOOKUP(factures[[#This Row],[DT Prestation Amiante 2]],presta_amiante2[#Data],2,0),0)</f>
        <v>0</v>
      </c>
      <c r="Z254" s="69" t="s">
        <v>62</v>
      </c>
      <c r="AA254" s="70">
        <f>IFERROR(VLOOKUP(factures[[#This Row],[DT Prestation Gaz]],presta_gaz[#Data],2,0),0)</f>
        <v>49.01</v>
      </c>
      <c r="AB254" s="69">
        <v>3</v>
      </c>
      <c r="AC254" s="69" t="s">
        <v>73</v>
      </c>
      <c r="AD254" s="70">
        <f>IFERROR(VLOOKUP(factures[[#This Row],[DT Analyses]],DT_analyses[#Data],2,0),0)</f>
        <v>36.99</v>
      </c>
      <c r="AE254" s="70">
        <f>IFERROR(factures[[#This Row],[Plvts ]]*factures[[#This Row],[Prix Analyses]],0)</f>
        <v>110.97</v>
      </c>
      <c r="AF254" s="70">
        <f>factures[[#This Row],[Prix Prestation Amiante 1]]+factures[[#This Row],[Prix Prestation Amiante 2]]+factures[[#This Row],[Prix Prestation Gaz]]+factures[[#This Row],[Prix analyses HT]]</f>
        <v>229.34</v>
      </c>
      <c r="AG254" s="69" t="s">
        <v>1673</v>
      </c>
      <c r="AH254" s="86" t="s">
        <v>1663</v>
      </c>
      <c r="AI254" s="69"/>
    </row>
    <row r="255" spans="1:35" ht="36" x14ac:dyDescent="0.3">
      <c r="A255" s="92" t="s">
        <v>1518</v>
      </c>
      <c r="B255" s="72">
        <v>78800</v>
      </c>
      <c r="C255" s="69" t="s">
        <v>123</v>
      </c>
      <c r="D255" s="69" t="s">
        <v>347</v>
      </c>
      <c r="E255" s="69">
        <v>1</v>
      </c>
      <c r="F255" s="69" t="s">
        <v>816</v>
      </c>
      <c r="G255" s="69">
        <v>3</v>
      </c>
      <c r="H255" s="69">
        <v>8517</v>
      </c>
      <c r="I255" s="69">
        <v>122</v>
      </c>
      <c r="J255" s="88" t="s">
        <v>125</v>
      </c>
      <c r="K255" s="69"/>
      <c r="L255" s="69" t="s">
        <v>1519</v>
      </c>
      <c r="M255" s="71">
        <v>43668</v>
      </c>
      <c r="N255" s="69" t="s">
        <v>87</v>
      </c>
      <c r="O255" s="71">
        <v>43691</v>
      </c>
      <c r="P255" s="69">
        <v>10</v>
      </c>
      <c r="Q255" s="69" t="s">
        <v>77</v>
      </c>
      <c r="R255" s="73" t="s">
        <v>1520</v>
      </c>
      <c r="S255" s="69">
        <v>955075</v>
      </c>
      <c r="T255" s="92" t="s">
        <v>172</v>
      </c>
      <c r="U255" s="69" t="s">
        <v>1743</v>
      </c>
      <c r="V255" s="69" t="s">
        <v>55</v>
      </c>
      <c r="W255" s="70">
        <f>IFERROR(VLOOKUP(factures[[#This Row],[DT Prestation Amiante 1]],presta_amiante1[#Data],2,0),0)</f>
        <v>55.49</v>
      </c>
      <c r="X255" s="69" t="s">
        <v>53</v>
      </c>
      <c r="Y255" s="70">
        <f>IFERROR(VLOOKUP(factures[[#This Row],[DT Prestation Amiante 2]],presta_amiante2[#Data],2,0),0)</f>
        <v>60.11</v>
      </c>
      <c r="Z255" s="69"/>
      <c r="AA255" s="70"/>
      <c r="AB255" s="69">
        <v>4</v>
      </c>
      <c r="AC255" s="69" t="s">
        <v>73</v>
      </c>
      <c r="AD255" s="70">
        <f>IFERROR(VLOOKUP(factures[[#This Row],[DT Analyses]],DT_analyses[#Data],2,0),0)</f>
        <v>36.99</v>
      </c>
      <c r="AE255" s="70">
        <f>IFERROR(factures[[#This Row],[Plvts ]]*factures[[#This Row],[Prix Analyses]],0)</f>
        <v>147.96</v>
      </c>
      <c r="AF255" s="70">
        <f>factures[[#This Row],[Prix Prestation Amiante 1]]+factures[[#This Row],[Prix Prestation Amiante 2]]+factures[[#This Row],[Prix Prestation Gaz]]+factures[[#This Row],[Prix analyses HT]]</f>
        <v>263.56</v>
      </c>
      <c r="AG255" s="69" t="s">
        <v>1826</v>
      </c>
      <c r="AH255" s="86" t="s">
        <v>1822</v>
      </c>
      <c r="AI255" s="69"/>
    </row>
    <row r="256" spans="1:35" ht="36" x14ac:dyDescent="0.3">
      <c r="A256" s="92" t="s">
        <v>1521</v>
      </c>
      <c r="B256" s="72">
        <v>94380</v>
      </c>
      <c r="C256" s="69" t="s">
        <v>259</v>
      </c>
      <c r="D256" s="69" t="s">
        <v>260</v>
      </c>
      <c r="E256" s="69">
        <v>401</v>
      </c>
      <c r="F256" s="69">
        <v>4</v>
      </c>
      <c r="G256" s="69">
        <v>3</v>
      </c>
      <c r="H256" s="69">
        <v>33517</v>
      </c>
      <c r="I256" s="69">
        <v>511</v>
      </c>
      <c r="J256" s="69" t="s">
        <v>1522</v>
      </c>
      <c r="K256" s="69"/>
      <c r="L256" s="69" t="s">
        <v>1523</v>
      </c>
      <c r="M256" s="71">
        <v>43668</v>
      </c>
      <c r="N256" s="69" t="s">
        <v>71</v>
      </c>
      <c r="O256" s="71">
        <v>43685</v>
      </c>
      <c r="P256" s="69" t="s">
        <v>656</v>
      </c>
      <c r="Q256" s="92" t="s">
        <v>77</v>
      </c>
      <c r="R256" s="73" t="s">
        <v>1524</v>
      </c>
      <c r="S256" s="69">
        <v>955064</v>
      </c>
      <c r="T256" s="69"/>
      <c r="U256" s="69" t="s">
        <v>1677</v>
      </c>
      <c r="V256" s="69" t="s">
        <v>53</v>
      </c>
      <c r="W256" s="70">
        <f>IFERROR(VLOOKUP(factures[[#This Row],[DT Prestation Amiante 1]],presta_amiante1[#Data],2,0),0)</f>
        <v>60.11</v>
      </c>
      <c r="X256" s="69"/>
      <c r="Y256" s="70">
        <f>IFERROR(VLOOKUP(factures[[#This Row],[DT Prestation Amiante 2]],presta_amiante2[#Data],2,0),0)</f>
        <v>0</v>
      </c>
      <c r="Z256" s="69" t="s">
        <v>61</v>
      </c>
      <c r="AA256" s="70">
        <f>IFERROR(VLOOKUP(factures[[#This Row],[DT Prestation Gaz]],presta_gaz[#Data],2,0),0)</f>
        <v>41.62</v>
      </c>
      <c r="AB256" s="69">
        <v>4</v>
      </c>
      <c r="AC256" s="69" t="s">
        <v>73</v>
      </c>
      <c r="AD256" s="70">
        <f>IFERROR(VLOOKUP(factures[[#This Row],[DT Analyses]],DT_analyses[#Data],2,0),0)</f>
        <v>36.99</v>
      </c>
      <c r="AE256" s="70">
        <f>IFERROR(factures[[#This Row],[Plvts ]]*factures[[#This Row],[Prix Analyses]],0)</f>
        <v>147.96</v>
      </c>
      <c r="AF256" s="70">
        <f>factures[[#This Row],[Prix Prestation Amiante 1]]+factures[[#This Row],[Prix Prestation Amiante 2]]+factures[[#This Row],[Prix Prestation Gaz]]+factures[[#This Row],[Prix analyses HT]]</f>
        <v>249.69</v>
      </c>
      <c r="AG256" s="69" t="s">
        <v>1827</v>
      </c>
      <c r="AH256" s="86" t="s">
        <v>1822</v>
      </c>
      <c r="AI256" s="69"/>
    </row>
    <row r="257" spans="1:35" ht="48" x14ac:dyDescent="0.3">
      <c r="A257" s="92" t="s">
        <v>1525</v>
      </c>
      <c r="B257" s="72">
        <v>94200</v>
      </c>
      <c r="C257" s="69" t="s">
        <v>379</v>
      </c>
      <c r="D257" s="69" t="s">
        <v>209</v>
      </c>
      <c r="E257" s="69">
        <v>502</v>
      </c>
      <c r="F257" s="69">
        <v>5</v>
      </c>
      <c r="G257" s="69">
        <v>3</v>
      </c>
      <c r="H257" s="69">
        <v>9013</v>
      </c>
      <c r="I257" s="69">
        <v>130</v>
      </c>
      <c r="J257" s="69" t="s">
        <v>1660</v>
      </c>
      <c r="K257" s="69" t="s">
        <v>1680</v>
      </c>
      <c r="L257" s="69" t="s">
        <v>1526</v>
      </c>
      <c r="M257" s="71">
        <v>43668</v>
      </c>
      <c r="N257" s="69" t="s">
        <v>70</v>
      </c>
      <c r="O257" s="71">
        <v>43685</v>
      </c>
      <c r="P257" s="69" t="s">
        <v>170</v>
      </c>
      <c r="Q257" s="92" t="s">
        <v>77</v>
      </c>
      <c r="R257" s="73" t="s">
        <v>1527</v>
      </c>
      <c r="S257" s="69">
        <v>955037</v>
      </c>
      <c r="T257" s="69"/>
      <c r="U257" s="69" t="s">
        <v>1675</v>
      </c>
      <c r="V257" s="69" t="s">
        <v>53</v>
      </c>
      <c r="W257" s="70">
        <f>IFERROR(VLOOKUP(factures[[#This Row],[DT Prestation Amiante 1]],presta_amiante1[#Data],2,0),0)</f>
        <v>60.11</v>
      </c>
      <c r="X257" s="69"/>
      <c r="Y257" s="70">
        <f>IFERROR(VLOOKUP(factures[[#This Row],[DT Prestation Amiante 2]],presta_amiante2[#Data],2,0),0)</f>
        <v>0</v>
      </c>
      <c r="Z257" s="69"/>
      <c r="AA257" s="70">
        <f>IFERROR(VLOOKUP(factures[[#This Row],[DT Prestation Gaz]],presta_gaz[#Data],2,0),0)</f>
        <v>0</v>
      </c>
      <c r="AB257" s="69">
        <v>3</v>
      </c>
      <c r="AC257" s="69" t="s">
        <v>73</v>
      </c>
      <c r="AD257" s="70">
        <f>IFERROR(VLOOKUP(factures[[#This Row],[DT Analyses]],DT_analyses[#Data],2,0),0)</f>
        <v>36.99</v>
      </c>
      <c r="AE257" s="70">
        <f>IFERROR(factures[[#This Row],[Plvts ]]*factures[[#This Row],[Prix Analyses]],0)</f>
        <v>110.97</v>
      </c>
      <c r="AF257" s="70">
        <f>factures[[#This Row],[Prix Prestation Amiante 1]]+factures[[#This Row],[Prix Prestation Amiante 2]]+factures[[#This Row],[Prix Prestation Gaz]]+factures[[#This Row],[Prix analyses HT]]</f>
        <v>171.07999999999998</v>
      </c>
      <c r="AG257" s="69" t="s">
        <v>1828</v>
      </c>
      <c r="AH257" s="86" t="s">
        <v>1822</v>
      </c>
      <c r="AI257" s="69"/>
    </row>
    <row r="258" spans="1:35" ht="24" x14ac:dyDescent="0.3">
      <c r="A258" s="69" t="s">
        <v>1538</v>
      </c>
      <c r="B258" s="72">
        <v>92500</v>
      </c>
      <c r="C258" s="69" t="s">
        <v>265</v>
      </c>
      <c r="D258" s="69" t="s">
        <v>266</v>
      </c>
      <c r="E258" s="69">
        <v>403</v>
      </c>
      <c r="F258" s="69">
        <v>4</v>
      </c>
      <c r="G258" s="69">
        <v>2</v>
      </c>
      <c r="H258" s="69">
        <v>62863</v>
      </c>
      <c r="I258" s="69">
        <v>9210</v>
      </c>
      <c r="J258" s="69" t="s">
        <v>547</v>
      </c>
      <c r="K258" s="69"/>
      <c r="L258" s="69" t="s">
        <v>1539</v>
      </c>
      <c r="M258" s="71">
        <v>43670</v>
      </c>
      <c r="N258" s="69" t="s">
        <v>72</v>
      </c>
      <c r="O258" s="71">
        <v>43676</v>
      </c>
      <c r="P258" s="69">
        <v>15</v>
      </c>
      <c r="Q258" s="69" t="s">
        <v>77</v>
      </c>
      <c r="R258" s="73"/>
      <c r="S258" s="69">
        <v>955492</v>
      </c>
      <c r="T258" s="69"/>
      <c r="U258" s="69"/>
      <c r="V258" s="69"/>
      <c r="W258" s="70">
        <f>IFERROR(VLOOKUP(factures[[#This Row],[DT Prestation Amiante 1]],presta_amiante1[#Data],2,0),0)</f>
        <v>0</v>
      </c>
      <c r="X258" s="69"/>
      <c r="Y258" s="70">
        <f>IFERROR(VLOOKUP(factures[[#This Row],[DT Prestation Amiante 2]],presta_amiante2[#Data],2,0),0)</f>
        <v>0</v>
      </c>
      <c r="Z258" s="69" t="s">
        <v>61</v>
      </c>
      <c r="AA258" s="70">
        <f>IFERROR(VLOOKUP(factures[[#This Row],[DT Prestation Gaz]],presta_gaz[#Data],2,0),0)</f>
        <v>41.62</v>
      </c>
      <c r="AB258" s="69"/>
      <c r="AC258" s="69"/>
      <c r="AD258" s="70">
        <f>IFERROR(VLOOKUP(factures[[#This Row],[DT Analyses]],DT_analyses[#Data],2,0),0)</f>
        <v>0</v>
      </c>
      <c r="AE258" s="70">
        <f>IFERROR(factures[[#This Row],[Plvts ]]*factures[[#This Row],[Prix Analyses]],0)</f>
        <v>0</v>
      </c>
      <c r="AF258" s="70">
        <f>factures[[#This Row],[Prix Prestation Amiante 1]]+factures[[#This Row],[Prix Prestation Amiante 2]]+factures[[#This Row],[Prix Prestation Gaz]]+factures[[#This Row],[Prix analyses HT]]</f>
        <v>41.62</v>
      </c>
      <c r="AG258" s="69" t="s">
        <v>1674</v>
      </c>
      <c r="AH258" s="86" t="s">
        <v>1663</v>
      </c>
      <c r="AI258" s="69"/>
    </row>
    <row r="259" spans="1:35" ht="36" x14ac:dyDescent="0.3">
      <c r="A259" s="92" t="s">
        <v>1540</v>
      </c>
      <c r="B259" s="72">
        <v>78800</v>
      </c>
      <c r="C259" s="69" t="s">
        <v>123</v>
      </c>
      <c r="D259" s="69" t="s">
        <v>1541</v>
      </c>
      <c r="E259" s="69">
        <v>303</v>
      </c>
      <c r="F259" s="69">
        <v>3</v>
      </c>
      <c r="G259" s="69">
        <v>1</v>
      </c>
      <c r="H259" s="69">
        <v>4812</v>
      </c>
      <c r="I259" s="69">
        <v>77</v>
      </c>
      <c r="J259" s="69" t="s">
        <v>1052</v>
      </c>
      <c r="K259" s="69"/>
      <c r="L259" s="69" t="s">
        <v>1542</v>
      </c>
      <c r="M259" s="71">
        <v>43670</v>
      </c>
      <c r="N259" s="69" t="s">
        <v>83</v>
      </c>
      <c r="O259" s="71">
        <v>43678</v>
      </c>
      <c r="P259" s="69"/>
      <c r="Q259" s="69" t="s">
        <v>77</v>
      </c>
      <c r="R259" s="73" t="s">
        <v>1543</v>
      </c>
      <c r="S259" s="69">
        <v>951594</v>
      </c>
      <c r="T259" s="69"/>
      <c r="U259" s="69" t="s">
        <v>1589</v>
      </c>
      <c r="V259" s="69" t="s">
        <v>55</v>
      </c>
      <c r="W259" s="70">
        <f>IFERROR(VLOOKUP(factures[[#This Row],[DT Prestation Amiante 1]],presta_amiante1[#Data],2,0),0)</f>
        <v>55.49</v>
      </c>
      <c r="X259" s="69" t="s">
        <v>53</v>
      </c>
      <c r="Y259" s="70">
        <f>IFERROR(VLOOKUP(factures[[#This Row],[DT Prestation Amiante 2]],presta_amiante2[#Data],2,0),0)</f>
        <v>60.11</v>
      </c>
      <c r="Z259" s="69"/>
      <c r="AA259" s="70">
        <f>IFERROR(VLOOKUP(factures[[#This Row],[DT Prestation Gaz]],presta_gaz[#Data],2,0),0)</f>
        <v>0</v>
      </c>
      <c r="AB259" s="69">
        <v>8</v>
      </c>
      <c r="AC259" s="69" t="s">
        <v>73</v>
      </c>
      <c r="AD259" s="70">
        <f>IFERROR(VLOOKUP(factures[[#This Row],[DT Analyses]],DT_analyses[#Data],2,0),0)</f>
        <v>36.99</v>
      </c>
      <c r="AE259" s="70">
        <f>IFERROR(factures[[#This Row],[Plvts ]]*factures[[#This Row],[Prix Analyses]],0)</f>
        <v>295.92</v>
      </c>
      <c r="AF259" s="70">
        <f>factures[[#This Row],[Prix Prestation Amiante 1]]+factures[[#This Row],[Prix Prestation Amiante 2]]+factures[[#This Row],[Prix Prestation Gaz]]+factures[[#This Row],[Prix analyses HT]]</f>
        <v>411.52</v>
      </c>
      <c r="AG259" s="69" t="s">
        <v>2080</v>
      </c>
      <c r="AH259" s="86" t="s">
        <v>2070</v>
      </c>
      <c r="AI259" s="69"/>
    </row>
    <row r="260" spans="1:35" ht="36" x14ac:dyDescent="0.3">
      <c r="A260" s="92" t="s">
        <v>1546</v>
      </c>
      <c r="B260" s="72">
        <v>94460</v>
      </c>
      <c r="C260" s="69" t="s">
        <v>100</v>
      </c>
      <c r="D260" s="69" t="s">
        <v>183</v>
      </c>
      <c r="E260" s="69">
        <v>301</v>
      </c>
      <c r="F260" s="69">
        <v>3</v>
      </c>
      <c r="G260" s="69">
        <v>3</v>
      </c>
      <c r="H260" s="69">
        <v>49197</v>
      </c>
      <c r="I260" s="69">
        <v>9124</v>
      </c>
      <c r="J260" s="69" t="s">
        <v>1577</v>
      </c>
      <c r="K260" s="69" t="s">
        <v>1578</v>
      </c>
      <c r="L260" s="69" t="s">
        <v>1547</v>
      </c>
      <c r="M260" s="71">
        <v>43672</v>
      </c>
      <c r="N260" s="69" t="s">
        <v>71</v>
      </c>
      <c r="O260" s="71">
        <v>43678</v>
      </c>
      <c r="P260" s="69" t="s">
        <v>1576</v>
      </c>
      <c r="Q260" s="92" t="s">
        <v>77</v>
      </c>
      <c r="R260" s="73" t="s">
        <v>1548</v>
      </c>
      <c r="S260" s="69">
        <v>955899</v>
      </c>
      <c r="T260" s="69"/>
      <c r="U260" s="69" t="s">
        <v>1606</v>
      </c>
      <c r="V260" s="69" t="s">
        <v>53</v>
      </c>
      <c r="W260" s="70">
        <f>IFERROR(VLOOKUP(factures[[#This Row],[DT Prestation Amiante 1]],presta_amiante1[#Data],2,0),0)</f>
        <v>60.11</v>
      </c>
      <c r="X260" s="69"/>
      <c r="Y260" s="70">
        <f>IFERROR(VLOOKUP(factures[[#This Row],[DT Prestation Amiante 2]],presta_amiante2[#Data],2,0),0)</f>
        <v>0</v>
      </c>
      <c r="Z260" s="69" t="s">
        <v>61</v>
      </c>
      <c r="AA260" s="70">
        <f>IFERROR(VLOOKUP(factures[[#This Row],[DT Prestation Gaz]],presta_gaz[#Data],2,0),0)</f>
        <v>41.62</v>
      </c>
      <c r="AB260" s="69">
        <v>3</v>
      </c>
      <c r="AC260" s="69" t="s">
        <v>73</v>
      </c>
      <c r="AD260" s="70">
        <f>IFERROR(VLOOKUP(factures[[#This Row],[DT Analyses]],DT_analyses[#Data],2,0),0)</f>
        <v>36.99</v>
      </c>
      <c r="AE260" s="70">
        <f>IFERROR(factures[[#This Row],[Plvts ]]*factures[[#This Row],[Prix Analyses]],0)</f>
        <v>110.97</v>
      </c>
      <c r="AF260" s="70">
        <f>factures[[#This Row],[Prix Prestation Amiante 1]]+factures[[#This Row],[Prix Prestation Amiante 2]]+factures[[#This Row],[Prix Prestation Gaz]]+factures[[#This Row],[Prix analyses HT]]</f>
        <v>212.7</v>
      </c>
      <c r="AG260" s="69" t="s">
        <v>1764</v>
      </c>
      <c r="AH260" s="86" t="s">
        <v>1765</v>
      </c>
      <c r="AI260" s="69"/>
    </row>
    <row r="261" spans="1:35" ht="36" x14ac:dyDescent="0.3">
      <c r="A261" s="92" t="s">
        <v>1549</v>
      </c>
      <c r="B261" s="72">
        <v>78800</v>
      </c>
      <c r="C261" s="69" t="s">
        <v>123</v>
      </c>
      <c r="D261" s="69" t="s">
        <v>347</v>
      </c>
      <c r="E261" s="69">
        <v>303</v>
      </c>
      <c r="F261" s="69">
        <v>3</v>
      </c>
      <c r="G261" s="69">
        <v>3</v>
      </c>
      <c r="H261" s="69">
        <v>8477</v>
      </c>
      <c r="I261" s="69">
        <v>122</v>
      </c>
      <c r="J261" s="88" t="s">
        <v>125</v>
      </c>
      <c r="K261" s="69"/>
      <c r="L261" s="69" t="s">
        <v>1550</v>
      </c>
      <c r="M261" s="71">
        <v>43672</v>
      </c>
      <c r="N261" s="69" t="s">
        <v>83</v>
      </c>
      <c r="O261" s="71">
        <v>43678</v>
      </c>
      <c r="P261" s="69"/>
      <c r="Q261" s="69" t="s">
        <v>77</v>
      </c>
      <c r="R261" s="73" t="s">
        <v>1551</v>
      </c>
      <c r="S261" s="69">
        <v>955881</v>
      </c>
      <c r="T261" s="69"/>
      <c r="U261" s="69" t="s">
        <v>1588</v>
      </c>
      <c r="V261" s="69" t="s">
        <v>53</v>
      </c>
      <c r="W261" s="70">
        <f>IFERROR(VLOOKUP(factures[[#This Row],[DT Prestation Amiante 1]],presta_amiante1[#Data],2,0),0)</f>
        <v>60.11</v>
      </c>
      <c r="X261" s="69" t="s">
        <v>55</v>
      </c>
      <c r="Y261" s="70">
        <f>IFERROR(VLOOKUP(factures[[#This Row],[DT Prestation Amiante 2]],presta_amiante2[#Data],2,0),0)</f>
        <v>55.49</v>
      </c>
      <c r="Z261" s="69"/>
      <c r="AA261" s="70">
        <f>IFERROR(VLOOKUP(factures[[#This Row],[DT Prestation Gaz]],presta_gaz[#Data],2,0),0)</f>
        <v>0</v>
      </c>
      <c r="AB261" s="69">
        <v>2</v>
      </c>
      <c r="AC261" s="69" t="s">
        <v>73</v>
      </c>
      <c r="AD261" s="70">
        <f>IFERROR(VLOOKUP(factures[[#This Row],[DT Analyses]],DT_analyses[#Data],2,0),0)</f>
        <v>36.99</v>
      </c>
      <c r="AE261" s="70">
        <f>IFERROR(factures[[#This Row],[Plvts ]]*factures[[#This Row],[Prix Analyses]],0)</f>
        <v>73.98</v>
      </c>
      <c r="AF261" s="70">
        <f>factures[[#This Row],[Prix Prestation Amiante 1]]+factures[[#This Row],[Prix Prestation Amiante 2]]+factures[[#This Row],[Prix Prestation Gaz]]+factures[[#This Row],[Prix analyses HT]]</f>
        <v>189.57999999999998</v>
      </c>
      <c r="AG261" s="69" t="s">
        <v>2081</v>
      </c>
      <c r="AH261" s="86" t="s">
        <v>2070</v>
      </c>
      <c r="AI261" s="69"/>
    </row>
    <row r="262" spans="1:35" ht="108" x14ac:dyDescent="0.3">
      <c r="A262" s="92" t="s">
        <v>375</v>
      </c>
      <c r="B262" s="72">
        <v>78540</v>
      </c>
      <c r="C262" s="69" t="s">
        <v>351</v>
      </c>
      <c r="D262" s="69" t="s">
        <v>639</v>
      </c>
      <c r="E262" s="69">
        <v>401</v>
      </c>
      <c r="F262" s="69">
        <v>4</v>
      </c>
      <c r="G262" s="69">
        <v>3</v>
      </c>
      <c r="H262" s="69">
        <v>53026</v>
      </c>
      <c r="I262" s="69">
        <v>9700</v>
      </c>
      <c r="J262" s="69" t="s">
        <v>1463</v>
      </c>
      <c r="K262" s="69"/>
      <c r="L262" s="69" t="s">
        <v>1557</v>
      </c>
      <c r="M262" s="71">
        <v>43675</v>
      </c>
      <c r="N262" s="69" t="s">
        <v>84</v>
      </c>
      <c r="O262" s="71">
        <v>43685</v>
      </c>
      <c r="P262" s="69"/>
      <c r="Q262" s="92" t="s">
        <v>77</v>
      </c>
      <c r="R262" s="73" t="s">
        <v>1558</v>
      </c>
      <c r="S262" s="69">
        <v>955616</v>
      </c>
      <c r="T262" s="69"/>
      <c r="U262" s="69" t="s">
        <v>1652</v>
      </c>
      <c r="V262" s="69" t="s">
        <v>53</v>
      </c>
      <c r="W262" s="70">
        <f>IFERROR(VLOOKUP(factures[[#This Row],[DT Prestation Amiante 1]],presta_amiante1[#Data],2,0),0)</f>
        <v>60.11</v>
      </c>
      <c r="X262" s="69" t="s">
        <v>55</v>
      </c>
      <c r="Y262" s="70">
        <f>IFERROR(VLOOKUP(factures[[#This Row],[DT Prestation Amiante 2]],presta_amiante2[#Data],2,0),0)</f>
        <v>55.49</v>
      </c>
      <c r="Z262" s="69" t="s">
        <v>61</v>
      </c>
      <c r="AA262" s="70">
        <f>IFERROR(VLOOKUP(factures[[#This Row],[DT Prestation Gaz]],presta_gaz[#Data],2,0),0)</f>
        <v>41.62</v>
      </c>
      <c r="AB262" s="69">
        <v>11</v>
      </c>
      <c r="AC262" s="69" t="s">
        <v>73</v>
      </c>
      <c r="AD262" s="70">
        <f>IFERROR(VLOOKUP(factures[[#This Row],[DT Analyses]],DT_analyses[#Data],2,0),0)</f>
        <v>36.99</v>
      </c>
      <c r="AE262" s="70">
        <f>IFERROR(factures[[#This Row],[Plvts ]]*factures[[#This Row],[Prix Analyses]],0)</f>
        <v>406.89000000000004</v>
      </c>
      <c r="AF262" s="70">
        <f>factures[[#This Row],[Prix Prestation Amiante 1]]+factures[[#This Row],[Prix Prestation Amiante 2]]+factures[[#This Row],[Prix Prestation Gaz]]+factures[[#This Row],[Prix analyses HT]]</f>
        <v>564.11</v>
      </c>
      <c r="AG262" s="69" t="s">
        <v>1755</v>
      </c>
      <c r="AH262" s="86" t="s">
        <v>1751</v>
      </c>
      <c r="AI262" s="69"/>
    </row>
    <row r="263" spans="1:35" ht="72" x14ac:dyDescent="0.3">
      <c r="A263" s="92" t="s">
        <v>1561</v>
      </c>
      <c r="B263" s="72">
        <v>78540</v>
      </c>
      <c r="C263" s="69" t="s">
        <v>351</v>
      </c>
      <c r="D263" s="69" t="s">
        <v>410</v>
      </c>
      <c r="E263" s="69">
        <v>2</v>
      </c>
      <c r="F263" s="69" t="s">
        <v>816</v>
      </c>
      <c r="G263" s="69">
        <v>2</v>
      </c>
      <c r="H263" s="69">
        <v>38714</v>
      </c>
      <c r="I263" s="69">
        <v>767</v>
      </c>
      <c r="J263" s="69" t="s">
        <v>1562</v>
      </c>
      <c r="K263" s="69"/>
      <c r="L263" s="69" t="s">
        <v>1563</v>
      </c>
      <c r="M263" s="71">
        <v>43676</v>
      </c>
      <c r="N263" s="69" t="s">
        <v>84</v>
      </c>
      <c r="O263" s="71"/>
      <c r="P263" s="69"/>
      <c r="Q263" s="69" t="s">
        <v>77</v>
      </c>
      <c r="R263" s="73" t="s">
        <v>1564</v>
      </c>
      <c r="S263" s="69">
        <v>955622</v>
      </c>
      <c r="T263" s="69"/>
      <c r="U263" s="69" t="s">
        <v>1653</v>
      </c>
      <c r="V263" s="69" t="s">
        <v>55</v>
      </c>
      <c r="W263" s="70">
        <f>IFERROR(VLOOKUP(factures[[#This Row],[DT Prestation Amiante 1]],presta_amiante1[#Data],2,0),0)</f>
        <v>55.49</v>
      </c>
      <c r="X263" s="69" t="s">
        <v>53</v>
      </c>
      <c r="Y263" s="70">
        <f>IFERROR(VLOOKUP(factures[[#This Row],[DT Prestation Amiante 2]],presta_amiante2[#Data],2,0),0)</f>
        <v>60.11</v>
      </c>
      <c r="Z263" s="69" t="s">
        <v>61</v>
      </c>
      <c r="AA263" s="70">
        <f>IFERROR(VLOOKUP(factures[[#This Row],[DT Prestation Gaz]],presta_gaz[#Data],2,0),0)</f>
        <v>41.62</v>
      </c>
      <c r="AB263" s="69">
        <v>10</v>
      </c>
      <c r="AC263" s="69" t="s">
        <v>73</v>
      </c>
      <c r="AD263" s="70">
        <f>IFERROR(VLOOKUP(factures[[#This Row],[DT Analyses]],DT_analyses[#Data],2,0),0)</f>
        <v>36.99</v>
      </c>
      <c r="AE263" s="70">
        <f>IFERROR(factures[[#This Row],[Plvts ]]*factures[[#This Row],[Prix Analyses]],0)</f>
        <v>369.90000000000003</v>
      </c>
      <c r="AF263" s="70">
        <f>factures[[#This Row],[Prix Prestation Amiante 1]]+factures[[#This Row],[Prix Prestation Amiante 2]]+factures[[#This Row],[Prix Prestation Gaz]]+factures[[#This Row],[Prix analyses HT]]</f>
        <v>527.12</v>
      </c>
      <c r="AG263" s="69" t="s">
        <v>2071</v>
      </c>
      <c r="AH263" s="86" t="s">
        <v>2070</v>
      </c>
      <c r="AI263" s="69"/>
    </row>
    <row r="264" spans="1:35" ht="48" x14ac:dyDescent="0.3">
      <c r="A264" s="92" t="s">
        <v>1565</v>
      </c>
      <c r="B264" s="72">
        <v>92110</v>
      </c>
      <c r="C264" s="69" t="s">
        <v>1026</v>
      </c>
      <c r="D264" s="69" t="s">
        <v>765</v>
      </c>
      <c r="E264" s="69">
        <v>201</v>
      </c>
      <c r="F264" s="69">
        <v>2</v>
      </c>
      <c r="G264" s="69">
        <v>3</v>
      </c>
      <c r="H264" s="69">
        <v>41553</v>
      </c>
      <c r="I264" s="69">
        <v>838</v>
      </c>
      <c r="J264" s="69" t="s">
        <v>771</v>
      </c>
      <c r="K264" s="69"/>
      <c r="L264" s="69" t="s">
        <v>1566</v>
      </c>
      <c r="M264" s="71">
        <v>43676</v>
      </c>
      <c r="N264" s="69" t="s">
        <v>70</v>
      </c>
      <c r="O264" s="71">
        <v>43683</v>
      </c>
      <c r="P264" s="69" t="s">
        <v>131</v>
      </c>
      <c r="Q264" s="92" t="s">
        <v>77</v>
      </c>
      <c r="R264" s="73" t="s">
        <v>1567</v>
      </c>
      <c r="S264" s="69">
        <v>956391</v>
      </c>
      <c r="T264" s="69"/>
      <c r="U264" s="69" t="s">
        <v>1646</v>
      </c>
      <c r="V264" s="69" t="s">
        <v>53</v>
      </c>
      <c r="W264" s="70">
        <v>60.11</v>
      </c>
      <c r="X264" s="69"/>
      <c r="Y264" s="70">
        <f>IFERROR(VLOOKUP(factures[[#This Row],[DT Prestation Amiante 2]],presta_amiante2[#Data],2,0),0)</f>
        <v>0</v>
      </c>
      <c r="Z264" s="69"/>
      <c r="AA264" s="70">
        <f>IFERROR(VLOOKUP(factures[[#This Row],[DT Prestation Gaz]],presta_gaz[#Data],2,0),0)</f>
        <v>0</v>
      </c>
      <c r="AB264" s="69">
        <v>5</v>
      </c>
      <c r="AC264" s="69" t="s">
        <v>73</v>
      </c>
      <c r="AD264" s="70">
        <v>36.99</v>
      </c>
      <c r="AE264" s="70">
        <f>IFERROR(factures[[#This Row],[Plvts ]]*factures[[#This Row],[Prix Analyses]],0)</f>
        <v>184.95000000000002</v>
      </c>
      <c r="AF264" s="70">
        <f>factures[[#This Row],[Prix Prestation Amiante 1]]+factures[[#This Row],[Prix Prestation Amiante 2]]+factures[[#This Row],[Prix Prestation Gaz]]+factures[[#This Row],[Prix analyses HT]]</f>
        <v>245.06</v>
      </c>
      <c r="AG264" s="69" t="s">
        <v>1781</v>
      </c>
      <c r="AH264" s="86" t="s">
        <v>1765</v>
      </c>
      <c r="AI264" s="69"/>
    </row>
    <row r="265" spans="1:35" ht="48" x14ac:dyDescent="0.3">
      <c r="A265" s="69" t="s">
        <v>1568</v>
      </c>
      <c r="B265" s="72">
        <v>92100</v>
      </c>
      <c r="C265" s="69" t="s">
        <v>133</v>
      </c>
      <c r="D265" s="69" t="s">
        <v>849</v>
      </c>
      <c r="E265" s="69">
        <v>14</v>
      </c>
      <c r="F265" s="69">
        <v>1</v>
      </c>
      <c r="G265" s="69">
        <v>5</v>
      </c>
      <c r="H265" s="69">
        <v>60773</v>
      </c>
      <c r="I265" s="69">
        <v>753</v>
      </c>
      <c r="J265" s="69" t="s">
        <v>1731</v>
      </c>
      <c r="K265" s="69"/>
      <c r="L265" s="69" t="s">
        <v>1569</v>
      </c>
      <c r="M265" s="71">
        <v>43676</v>
      </c>
      <c r="N265" s="69" t="s">
        <v>551</v>
      </c>
      <c r="O265" s="71">
        <v>43705</v>
      </c>
      <c r="P265" s="69">
        <v>9</v>
      </c>
      <c r="Q265" s="69" t="s">
        <v>77</v>
      </c>
      <c r="R265" s="73" t="s">
        <v>1734</v>
      </c>
      <c r="S265" s="69">
        <v>956394</v>
      </c>
      <c r="T265" s="69"/>
      <c r="U265" s="69"/>
      <c r="V265" s="69" t="s">
        <v>177</v>
      </c>
      <c r="W265" s="70">
        <v>98.95</v>
      </c>
      <c r="X265" s="69"/>
      <c r="Y265" s="70">
        <f>IFERROR(VLOOKUP(factures[[#This Row],[DT Prestation Amiante 2]],presta_amiante2[#Data],2,0),0)</f>
        <v>0</v>
      </c>
      <c r="Z265" s="69"/>
      <c r="AA265" s="70">
        <f>IFERROR(VLOOKUP(factures[[#This Row],[DT Prestation Gaz]],presta_gaz[#Data],2,0),0)</f>
        <v>0</v>
      </c>
      <c r="AB265" s="69"/>
      <c r="AC265" s="69"/>
      <c r="AD265" s="70">
        <f>IFERROR(VLOOKUP(factures[[#This Row],[DT Analyses]],DT_analyses[#Data],2,0),0)</f>
        <v>0</v>
      </c>
      <c r="AE265" s="70">
        <f>IFERROR(factures[[#This Row],[Plvts ]]*factures[[#This Row],[Prix Analyses]],0)</f>
        <v>0</v>
      </c>
      <c r="AF265" s="70">
        <f>factures[[#This Row],[Prix Prestation Amiante 1]]+factures[[#This Row],[Prix Prestation Amiante 2]]+factures[[#This Row],[Prix Prestation Gaz]]+factures[[#This Row],[Prix analyses HT]]</f>
        <v>98.95</v>
      </c>
      <c r="AG265" s="69" t="s">
        <v>1905</v>
      </c>
      <c r="AH265" s="86" t="s">
        <v>1902</v>
      </c>
      <c r="AI265" s="69"/>
    </row>
    <row r="266" spans="1:35" ht="36" x14ac:dyDescent="0.3">
      <c r="A266" s="92" t="s">
        <v>1579</v>
      </c>
      <c r="B266" s="72">
        <v>94460</v>
      </c>
      <c r="C266" s="69" t="s">
        <v>100</v>
      </c>
      <c r="D266" s="69" t="s">
        <v>101</v>
      </c>
      <c r="E266" s="69">
        <v>1</v>
      </c>
      <c r="F266" s="69" t="s">
        <v>816</v>
      </c>
      <c r="G266" s="69">
        <v>2</v>
      </c>
      <c r="H266" s="69">
        <v>49119</v>
      </c>
      <c r="I266" s="69">
        <v>9124</v>
      </c>
      <c r="J266" s="69" t="s">
        <v>1661</v>
      </c>
      <c r="K266" s="69"/>
      <c r="L266" s="69" t="s">
        <v>1580</v>
      </c>
      <c r="M266" s="71">
        <v>43677</v>
      </c>
      <c r="N266" s="69" t="s">
        <v>71</v>
      </c>
      <c r="O266" s="71">
        <v>43685</v>
      </c>
      <c r="P266" s="69" t="s">
        <v>131</v>
      </c>
      <c r="Q266" s="92" t="s">
        <v>77</v>
      </c>
      <c r="R266" s="73" t="s">
        <v>1585</v>
      </c>
      <c r="S266" s="69">
        <v>956646</v>
      </c>
      <c r="T266" s="69"/>
      <c r="U266" s="69" t="s">
        <v>1676</v>
      </c>
      <c r="V266" s="69" t="s">
        <v>53</v>
      </c>
      <c r="W266" s="70">
        <v>60.11</v>
      </c>
      <c r="X266" s="69"/>
      <c r="Y266" s="70">
        <f>IFERROR(VLOOKUP(factures[[#This Row],[DT Prestation Amiante 2]],presta_amiante2[#Data],2,0),0)</f>
        <v>0</v>
      </c>
      <c r="Z266" s="69" t="s">
        <v>61</v>
      </c>
      <c r="AA266" s="70">
        <v>41.62</v>
      </c>
      <c r="AB266" s="69">
        <v>4</v>
      </c>
      <c r="AC266" s="69" t="s">
        <v>73</v>
      </c>
      <c r="AD266" s="70">
        <v>36.99</v>
      </c>
      <c r="AE266" s="70">
        <f>IFERROR(factures[[#This Row],[Plvts ]]*factures[[#This Row],[Prix Analyses]],0)</f>
        <v>147.96</v>
      </c>
      <c r="AF266" s="70">
        <f>factures[[#This Row],[Prix Prestation Amiante 1]]+factures[[#This Row],[Prix Prestation Amiante 2]]+factures[[#This Row],[Prix Prestation Gaz]]+factures[[#This Row],[Prix analyses HT]]</f>
        <v>249.69</v>
      </c>
      <c r="AG266" s="69" t="s">
        <v>1787</v>
      </c>
      <c r="AH266" s="86" t="s">
        <v>1786</v>
      </c>
      <c r="AI266" s="69"/>
    </row>
    <row r="267" spans="1:35" ht="84" x14ac:dyDescent="0.3">
      <c r="A267" s="92" t="s">
        <v>1581</v>
      </c>
      <c r="B267" s="72">
        <v>92600</v>
      </c>
      <c r="C267" s="69" t="s">
        <v>609</v>
      </c>
      <c r="D267" s="69" t="s">
        <v>1582</v>
      </c>
      <c r="E267" s="69">
        <v>2</v>
      </c>
      <c r="F267" s="69" t="s">
        <v>816</v>
      </c>
      <c r="G267" s="69">
        <v>3</v>
      </c>
      <c r="H267" s="69">
        <v>42046</v>
      </c>
      <c r="I267" s="69">
        <v>842</v>
      </c>
      <c r="J267" s="69" t="s">
        <v>621</v>
      </c>
      <c r="K267" s="69"/>
      <c r="L267" s="69" t="s">
        <v>1584</v>
      </c>
      <c r="M267" s="71">
        <v>43677</v>
      </c>
      <c r="N267" s="69" t="s">
        <v>71</v>
      </c>
      <c r="O267" s="71"/>
      <c r="P267" s="69"/>
      <c r="Q267" s="69" t="s">
        <v>77</v>
      </c>
      <c r="R267" s="73" t="s">
        <v>1586</v>
      </c>
      <c r="S267" s="69">
        <v>956641</v>
      </c>
      <c r="T267" s="92" t="s">
        <v>1738</v>
      </c>
      <c r="U267" s="69" t="s">
        <v>1788</v>
      </c>
      <c r="V267" s="69" t="s">
        <v>53</v>
      </c>
      <c r="W267" s="70">
        <v>60.11</v>
      </c>
      <c r="X267" s="69"/>
      <c r="Y267" s="70">
        <f>IFERROR(VLOOKUP(factures[[#This Row],[DT Prestation Amiante 2]],presta_amiante2[#Data],2,0),0)</f>
        <v>0</v>
      </c>
      <c r="Z267" s="69" t="s">
        <v>61</v>
      </c>
      <c r="AA267" s="70">
        <v>41.62</v>
      </c>
      <c r="AB267" s="69">
        <v>5</v>
      </c>
      <c r="AC267" s="69" t="s">
        <v>73</v>
      </c>
      <c r="AD267" s="70">
        <v>36.99</v>
      </c>
      <c r="AE267" s="70">
        <f>IFERROR(factures[[#This Row],[Plvts ]]*factures[[#This Row],[Prix Analyses]],0)</f>
        <v>184.95000000000002</v>
      </c>
      <c r="AF267" s="70">
        <f>factures[[#This Row],[Prix Prestation Amiante 1]]+factures[[#This Row],[Prix Prestation Amiante 2]]+factures[[#This Row],[Prix Prestation Gaz]]+factures[[#This Row],[Prix analyses HT]]</f>
        <v>286.68</v>
      </c>
      <c r="AG267" s="69" t="s">
        <v>1906</v>
      </c>
      <c r="AH267" s="86" t="s">
        <v>1902</v>
      </c>
      <c r="AI267" s="69"/>
    </row>
    <row r="268" spans="1:35" ht="36" x14ac:dyDescent="0.3">
      <c r="A268" s="92" t="s">
        <v>1185</v>
      </c>
      <c r="B268" s="72">
        <v>92500</v>
      </c>
      <c r="C268" s="69" t="s">
        <v>265</v>
      </c>
      <c r="D268" s="69" t="s">
        <v>464</v>
      </c>
      <c r="E268" s="69">
        <v>45</v>
      </c>
      <c r="F268" s="69">
        <v>1</v>
      </c>
      <c r="G268" s="69">
        <v>4</v>
      </c>
      <c r="H268" s="69">
        <v>84521</v>
      </c>
      <c r="I268" s="69">
        <v>9212</v>
      </c>
      <c r="J268" s="69" t="s">
        <v>1678</v>
      </c>
      <c r="K268" s="69"/>
      <c r="L268" s="69" t="s">
        <v>1609</v>
      </c>
      <c r="M268" s="71">
        <v>43679</v>
      </c>
      <c r="N268" s="69" t="s">
        <v>71</v>
      </c>
      <c r="O268" s="71"/>
      <c r="P268" s="69"/>
      <c r="Q268" s="69" t="s">
        <v>77</v>
      </c>
      <c r="R268" s="73" t="s">
        <v>1610</v>
      </c>
      <c r="S268" s="69">
        <v>957265</v>
      </c>
      <c r="T268" s="92" t="s">
        <v>1679</v>
      </c>
      <c r="U268" s="69" t="s">
        <v>1789</v>
      </c>
      <c r="V268" s="69" t="s">
        <v>54</v>
      </c>
      <c r="W268" s="70">
        <v>69.36</v>
      </c>
      <c r="X268" s="69"/>
      <c r="Y268" s="70">
        <f>IFERROR(VLOOKUP(factures[[#This Row],[DT Prestation Amiante 2]],presta_amiante2[#Data],2,0),0)</f>
        <v>0</v>
      </c>
      <c r="Z268" s="69" t="s">
        <v>61</v>
      </c>
      <c r="AA268" s="70">
        <v>41.62</v>
      </c>
      <c r="AB268" s="69">
        <v>2</v>
      </c>
      <c r="AC268" s="69" t="s">
        <v>73</v>
      </c>
      <c r="AD268" s="70">
        <v>36.99</v>
      </c>
      <c r="AE268" s="70">
        <f>IFERROR(factures[[#This Row],[Plvts ]]*factures[[#This Row],[Prix Analyses]],0)</f>
        <v>73.98</v>
      </c>
      <c r="AF268" s="70">
        <f>factures[[#This Row],[Prix Prestation Amiante 1]]+factures[[#This Row],[Prix Prestation Amiante 2]]+factures[[#This Row],[Prix Prestation Gaz]]+factures[[#This Row],[Prix analyses HT]]</f>
        <v>184.95999999999998</v>
      </c>
      <c r="AG268" s="69" t="s">
        <v>1907</v>
      </c>
      <c r="AH268" s="86" t="s">
        <v>1902</v>
      </c>
      <c r="AI268" s="69"/>
    </row>
    <row r="269" spans="1:35" ht="48" customHeight="1" x14ac:dyDescent="0.3">
      <c r="A269" s="113" t="s">
        <v>463</v>
      </c>
      <c r="B269" s="114">
        <v>92500</v>
      </c>
      <c r="C269" s="115" t="s">
        <v>265</v>
      </c>
      <c r="D269" s="88" t="s">
        <v>464</v>
      </c>
      <c r="E269" s="110">
        <v>73</v>
      </c>
      <c r="F269" s="88" t="s">
        <v>816</v>
      </c>
      <c r="G269" s="110">
        <v>1</v>
      </c>
      <c r="H269" s="110">
        <v>84549</v>
      </c>
      <c r="I269" s="110">
        <v>9212</v>
      </c>
      <c r="J269" s="88" t="s">
        <v>1608</v>
      </c>
      <c r="K269" s="110"/>
      <c r="L269" s="88" t="s">
        <v>1611</v>
      </c>
      <c r="M269" s="116">
        <v>43679</v>
      </c>
      <c r="N269" s="88" t="s">
        <v>72</v>
      </c>
      <c r="O269" s="116">
        <v>43684</v>
      </c>
      <c r="P269" s="110"/>
      <c r="Q269" s="92" t="s">
        <v>77</v>
      </c>
      <c r="R269" s="117"/>
      <c r="S269" s="110">
        <v>957255</v>
      </c>
      <c r="T269" s="110"/>
      <c r="U269" s="110"/>
      <c r="V269" s="110"/>
      <c r="W269" s="118">
        <f>IFERROR(VLOOKUP(factures[[#This Row],[DT Prestation Amiante 1]],presta_amiante1[#Data],2,0),0)</f>
        <v>0</v>
      </c>
      <c r="X269" s="111"/>
      <c r="Y269" s="112">
        <f>IFERROR(VLOOKUP(factures[[#This Row],[DT Prestation Amiante 2]],presta_amiante2[#Data],2,0),0)</f>
        <v>0</v>
      </c>
      <c r="Z269" s="110" t="s">
        <v>61</v>
      </c>
      <c r="AA269" s="118">
        <v>41.62</v>
      </c>
      <c r="AB269" s="69"/>
      <c r="AC269" s="69"/>
      <c r="AD269" s="70">
        <f>IFERROR(VLOOKUP(factures[[#This Row],[DT Analyses]],DT_analyses[#Data],2,0),0)</f>
        <v>0</v>
      </c>
      <c r="AE269" s="70">
        <f>IFERROR(factures[[#This Row],[Plvts ]]*factures[[#This Row],[Prix Analyses]],0)</f>
        <v>0</v>
      </c>
      <c r="AF269" s="70">
        <f>factures[[#This Row],[Prix Prestation Amiante 1]]+factures[[#This Row],[Prix Prestation Amiante 2]]+factures[[#This Row],[Prix Prestation Gaz]]+factures[[#This Row],[Prix analyses HT]]</f>
        <v>41.62</v>
      </c>
      <c r="AG269" s="69" t="s">
        <v>1766</v>
      </c>
      <c r="AH269" s="86" t="s">
        <v>1765</v>
      </c>
      <c r="AI269" s="69"/>
    </row>
    <row r="270" spans="1:35" ht="40.799999999999997" x14ac:dyDescent="0.3">
      <c r="A270" s="131" t="s">
        <v>1612</v>
      </c>
      <c r="B270" s="72">
        <v>92110</v>
      </c>
      <c r="C270" s="115" t="s">
        <v>764</v>
      </c>
      <c r="D270" s="88" t="s">
        <v>1613</v>
      </c>
      <c r="E270" s="110">
        <v>128</v>
      </c>
      <c r="F270" s="110">
        <v>1</v>
      </c>
      <c r="G270" s="110">
        <v>3</v>
      </c>
      <c r="H270" s="110">
        <v>45384</v>
      </c>
      <c r="I270" s="110">
        <v>894</v>
      </c>
      <c r="J270" s="88" t="s">
        <v>1623</v>
      </c>
      <c r="K270" s="110"/>
      <c r="L270" s="88" t="s">
        <v>1614</v>
      </c>
      <c r="M270" s="116">
        <v>43679</v>
      </c>
      <c r="N270" s="110" t="s">
        <v>70</v>
      </c>
      <c r="O270" s="116">
        <v>43684</v>
      </c>
      <c r="P270" s="110"/>
      <c r="Q270" s="69" t="s">
        <v>77</v>
      </c>
      <c r="R270" s="119" t="s">
        <v>1943</v>
      </c>
      <c r="S270" s="110">
        <v>957246</v>
      </c>
      <c r="T270" s="110"/>
      <c r="U270" s="88" t="s">
        <v>1955</v>
      </c>
      <c r="V270" s="110" t="s">
        <v>53</v>
      </c>
      <c r="W270" s="118">
        <f>IFERROR(VLOOKUP(factures[[#This Row],[DT Prestation Amiante 1]],presta_amiante1[#Data],2,0),0)</f>
        <v>60.11</v>
      </c>
      <c r="X270" s="111"/>
      <c r="Y270" s="112">
        <f>IFERROR(VLOOKUP(factures[[#This Row],[DT Prestation Amiante 2]],presta_amiante2[#Data],2,0),0)</f>
        <v>0</v>
      </c>
      <c r="Z270" s="110"/>
      <c r="AA270" s="118">
        <f>IFERROR(VLOOKUP(factures[[#This Row],[DT Prestation Gaz]],presta_gaz[#Data],2,0),0)</f>
        <v>0</v>
      </c>
      <c r="AB270" s="69">
        <v>5</v>
      </c>
      <c r="AC270" s="69" t="s">
        <v>73</v>
      </c>
      <c r="AD270" s="70">
        <f>IFERROR(VLOOKUP(factures[[#This Row],[DT Analyses]],DT_analyses[#Data],2,0),0)</f>
        <v>36.99</v>
      </c>
      <c r="AE270" s="70">
        <f>IFERROR(factures[[#This Row],[Plvts ]]*factures[[#This Row],[Prix Analyses]],0)</f>
        <v>184.95000000000002</v>
      </c>
      <c r="AF270" s="70">
        <f>factures[[#This Row],[Prix Prestation Amiante 1]]+factures[[#This Row],[Prix Prestation Amiante 2]]+factures[[#This Row],[Prix Prestation Gaz]]+factures[[#This Row],[Prix analyses HT]]</f>
        <v>245.06</v>
      </c>
      <c r="AG270" s="69" t="s">
        <v>2097</v>
      </c>
      <c r="AH270" s="86" t="s">
        <v>2098</v>
      </c>
      <c r="AI270" s="69"/>
    </row>
    <row r="271" spans="1:35" ht="69" x14ac:dyDescent="0.3">
      <c r="A271" s="69" t="s">
        <v>434</v>
      </c>
      <c r="B271" s="72">
        <v>92170</v>
      </c>
      <c r="C271" s="69" t="s">
        <v>1031</v>
      </c>
      <c r="D271" s="69" t="s">
        <v>436</v>
      </c>
      <c r="E271" s="69">
        <v>305</v>
      </c>
      <c r="F271" s="69">
        <v>3</v>
      </c>
      <c r="G271" s="69">
        <v>2</v>
      </c>
      <c r="H271" s="69">
        <v>22380</v>
      </c>
      <c r="I271" s="69">
        <v>315</v>
      </c>
      <c r="J271" s="84" t="s">
        <v>1070</v>
      </c>
      <c r="K271" s="69"/>
      <c r="L271" s="69" t="s">
        <v>1615</v>
      </c>
      <c r="M271" s="71"/>
      <c r="N271" s="69" t="s">
        <v>1616</v>
      </c>
      <c r="O271" s="71">
        <v>43690</v>
      </c>
      <c r="P271" s="69" t="s">
        <v>294</v>
      </c>
      <c r="Q271" s="92" t="s">
        <v>77</v>
      </c>
      <c r="R271" s="73"/>
      <c r="S271" s="69">
        <v>957236</v>
      </c>
      <c r="T271" s="69"/>
      <c r="U271" s="69"/>
      <c r="V271" s="69" t="s">
        <v>93</v>
      </c>
      <c r="W271" s="70">
        <v>80.459999999999994</v>
      </c>
      <c r="X271" s="69"/>
      <c r="Y271" s="70">
        <f>IFERROR(VLOOKUP(factures[[#This Row],[DT Prestation Amiante 2]],presta_amiante2[#Data],2,0),0)</f>
        <v>0</v>
      </c>
      <c r="Z271" s="69" t="s">
        <v>61</v>
      </c>
      <c r="AA271" s="70">
        <v>41.62</v>
      </c>
      <c r="AB271" s="69"/>
      <c r="AC271" s="69"/>
      <c r="AD271" s="70">
        <f>IFERROR(VLOOKUP(factures[[#This Row],[DT Analyses]],DT_analyses[#Data],2,0),0)</f>
        <v>0</v>
      </c>
      <c r="AE271" s="70">
        <f>IFERROR(factures[[#This Row],[Plvts ]]*factures[[#This Row],[Prix Analyses]],0)</f>
        <v>0</v>
      </c>
      <c r="AF271" s="70">
        <f>factures[[#This Row],[Prix Prestation Amiante 1]]+factures[[#This Row],[Prix Prestation Amiante 2]]+factures[[#This Row],[Prix Prestation Gaz]]+factures[[#This Row],[Prix analyses HT]]</f>
        <v>122.07999999999998</v>
      </c>
      <c r="AG271" s="69" t="s">
        <v>1767</v>
      </c>
      <c r="AH271" s="86" t="s">
        <v>1765</v>
      </c>
      <c r="AI271" s="69"/>
    </row>
    <row r="272" spans="1:35" ht="48" x14ac:dyDescent="0.3">
      <c r="A272" s="92" t="s">
        <v>1470</v>
      </c>
      <c r="B272" s="72">
        <v>92100</v>
      </c>
      <c r="C272" s="69" t="s">
        <v>133</v>
      </c>
      <c r="D272" s="69" t="s">
        <v>849</v>
      </c>
      <c r="E272" s="69">
        <v>48</v>
      </c>
      <c r="F272" s="69">
        <v>4</v>
      </c>
      <c r="G272" s="69">
        <v>2</v>
      </c>
      <c r="H272" s="69">
        <v>60753</v>
      </c>
      <c r="I272" s="69">
        <v>753</v>
      </c>
      <c r="J272" s="69" t="s">
        <v>1731</v>
      </c>
      <c r="K272" s="69" t="s">
        <v>1732</v>
      </c>
      <c r="L272" s="69" t="s">
        <v>1617</v>
      </c>
      <c r="M272" s="71"/>
      <c r="N272" s="69" t="s">
        <v>227</v>
      </c>
      <c r="O272" s="71">
        <v>43691</v>
      </c>
      <c r="P272" s="69">
        <v>16</v>
      </c>
      <c r="Q272" s="69" t="s">
        <v>77</v>
      </c>
      <c r="R272" s="73" t="s">
        <v>1618</v>
      </c>
      <c r="S272" s="69">
        <v>957270</v>
      </c>
      <c r="T272" s="69"/>
      <c r="U272" s="69" t="s">
        <v>1769</v>
      </c>
      <c r="V272" s="69" t="s">
        <v>53</v>
      </c>
      <c r="W272" s="70">
        <v>60.11</v>
      </c>
      <c r="X272" s="69" t="s">
        <v>93</v>
      </c>
      <c r="Y272" s="70">
        <v>80.459999999999994</v>
      </c>
      <c r="Z272" s="69"/>
      <c r="AA272" s="70">
        <f>IFERROR(VLOOKUP(factures[[#This Row],[DT Prestation Gaz]],presta_gaz[#Data],2,0),0)</f>
        <v>0</v>
      </c>
      <c r="AB272" s="69">
        <v>2</v>
      </c>
      <c r="AC272" s="69" t="s">
        <v>73</v>
      </c>
      <c r="AD272" s="70">
        <v>36.99</v>
      </c>
      <c r="AE272" s="70">
        <f>IFERROR(factures[[#This Row],[Plvts ]]*factures[[#This Row],[Prix Analyses]],0)</f>
        <v>73.98</v>
      </c>
      <c r="AF272" s="70">
        <f>factures[[#This Row],[Prix Prestation Amiante 1]]+factures[[#This Row],[Prix Prestation Amiante 2]]+factures[[#This Row],[Prix Prestation Gaz]]+factures[[#This Row],[Prix analyses HT]]</f>
        <v>214.55</v>
      </c>
      <c r="AG272" s="69" t="s">
        <v>1908</v>
      </c>
      <c r="AH272" s="86" t="s">
        <v>1902</v>
      </c>
      <c r="AI272" s="69"/>
    </row>
    <row r="273" spans="1:35" ht="51" x14ac:dyDescent="0.3">
      <c r="A273" s="92" t="s">
        <v>1619</v>
      </c>
      <c r="B273" s="72">
        <v>94130</v>
      </c>
      <c r="C273" s="69" t="s">
        <v>251</v>
      </c>
      <c r="D273" s="69" t="s">
        <v>1620</v>
      </c>
      <c r="E273" s="69">
        <v>2</v>
      </c>
      <c r="F273" s="69" t="s">
        <v>816</v>
      </c>
      <c r="G273" s="69">
        <v>1</v>
      </c>
      <c r="H273" s="69">
        <v>26137</v>
      </c>
      <c r="I273" s="69">
        <v>364</v>
      </c>
      <c r="J273" s="69" t="s">
        <v>1621</v>
      </c>
      <c r="K273" s="69" t="s">
        <v>1836</v>
      </c>
      <c r="L273" s="69" t="s">
        <v>1622</v>
      </c>
      <c r="M273" s="71">
        <v>43679</v>
      </c>
      <c r="N273" s="69" t="s">
        <v>1808</v>
      </c>
      <c r="O273" s="71">
        <v>43705</v>
      </c>
      <c r="P273" s="69" t="s">
        <v>614</v>
      </c>
      <c r="Q273" s="69" t="s">
        <v>77</v>
      </c>
      <c r="R273" s="73" t="s">
        <v>1792</v>
      </c>
      <c r="S273" s="69">
        <v>957285</v>
      </c>
      <c r="T273" s="69"/>
      <c r="U273" s="69" t="s">
        <v>1855</v>
      </c>
      <c r="V273" s="69" t="s">
        <v>53</v>
      </c>
      <c r="W273" s="70">
        <v>60.11</v>
      </c>
      <c r="X273" s="69"/>
      <c r="Y273" s="70">
        <f>IFERROR(VLOOKUP(factures[[#This Row],[DT Prestation Amiante 2]],presta_amiante2[#Data],2,0),0)</f>
        <v>0</v>
      </c>
      <c r="Z273" s="69"/>
      <c r="AA273" s="70">
        <f>IFERROR(VLOOKUP(factures[[#This Row],[DT Prestation Gaz]],presta_gaz[#Data],2,0),0)</f>
        <v>0</v>
      </c>
      <c r="AB273" s="69">
        <v>6</v>
      </c>
      <c r="AC273" s="69" t="s">
        <v>73</v>
      </c>
      <c r="AD273" s="70">
        <v>36.99</v>
      </c>
      <c r="AE273" s="70">
        <f>IFERROR(factures[[#This Row],[Plvts ]]*factures[[#This Row],[Prix Analyses]],0)</f>
        <v>221.94</v>
      </c>
      <c r="AF273" s="70">
        <f>factures[[#This Row],[Prix Prestation Amiante 1]]+factures[[#This Row],[Prix Prestation Amiante 2]]+factures[[#This Row],[Prix Prestation Gaz]]+factures[[#This Row],[Prix analyses HT]]</f>
        <v>282.05</v>
      </c>
      <c r="AG273" s="69" t="s">
        <v>1953</v>
      </c>
      <c r="AH273" s="86" t="s">
        <v>1945</v>
      </c>
      <c r="AI273" s="69"/>
    </row>
    <row r="274" spans="1:35" ht="36" x14ac:dyDescent="0.3">
      <c r="A274" s="92" t="s">
        <v>1612</v>
      </c>
      <c r="B274" s="72">
        <v>92110</v>
      </c>
      <c r="C274" s="69" t="s">
        <v>1026</v>
      </c>
      <c r="D274" s="69" t="s">
        <v>1613</v>
      </c>
      <c r="E274" s="69">
        <v>333</v>
      </c>
      <c r="F274" s="69">
        <v>3</v>
      </c>
      <c r="G274" s="69">
        <v>3</v>
      </c>
      <c r="H274" s="69">
        <v>45389</v>
      </c>
      <c r="I274" s="69">
        <v>894</v>
      </c>
      <c r="J274" s="69" t="s">
        <v>1625</v>
      </c>
      <c r="K274" s="69"/>
      <c r="L274" s="69" t="s">
        <v>1624</v>
      </c>
      <c r="M274" s="71"/>
      <c r="N274" s="69" t="s">
        <v>70</v>
      </c>
      <c r="O274" s="71">
        <v>43684</v>
      </c>
      <c r="P274" s="69" t="s">
        <v>129</v>
      </c>
      <c r="Q274" s="92" t="s">
        <v>77</v>
      </c>
      <c r="R274" s="73" t="s">
        <v>1626</v>
      </c>
      <c r="S274" s="69">
        <v>957296</v>
      </c>
      <c r="T274" s="69"/>
      <c r="U274" s="69" t="s">
        <v>1654</v>
      </c>
      <c r="V274" s="69" t="s">
        <v>53</v>
      </c>
      <c r="W274" s="70">
        <v>60.11</v>
      </c>
      <c r="X274" s="69"/>
      <c r="Y274" s="70">
        <f>IFERROR(VLOOKUP(factures[[#This Row],[DT Prestation Amiante 2]],presta_amiante2[#Data],2,0),0)</f>
        <v>0</v>
      </c>
      <c r="Z274" s="69"/>
      <c r="AA274" s="70">
        <f>IFERROR(VLOOKUP(factures[[#This Row],[DT Prestation Gaz]],presta_gaz[#Data],2,0),0)</f>
        <v>0</v>
      </c>
      <c r="AB274" s="69">
        <v>4</v>
      </c>
      <c r="AC274" s="69" t="s">
        <v>73</v>
      </c>
      <c r="AD274" s="70">
        <v>36.99</v>
      </c>
      <c r="AE274" s="70">
        <f>IFERROR(factures[[#This Row],[Plvts ]]*factures[[#This Row],[Prix Analyses]],0)</f>
        <v>147.96</v>
      </c>
      <c r="AF274" s="70">
        <f>factures[[#This Row],[Prix Prestation Amiante 1]]+factures[[#This Row],[Prix Prestation Amiante 2]]+factures[[#This Row],[Prix Prestation Gaz]]+factures[[#This Row],[Prix analyses HT]]</f>
        <v>208.07</v>
      </c>
      <c r="AG274" s="69" t="s">
        <v>1782</v>
      </c>
      <c r="AH274" s="86" t="s">
        <v>1765</v>
      </c>
      <c r="AI274" s="69"/>
    </row>
    <row r="275" spans="1:35" ht="40.799999999999997" x14ac:dyDescent="0.3">
      <c r="A275" s="92" t="s">
        <v>1627</v>
      </c>
      <c r="B275" s="72">
        <v>92220</v>
      </c>
      <c r="C275" s="69" t="s">
        <v>418</v>
      </c>
      <c r="D275" s="69" t="s">
        <v>142</v>
      </c>
      <c r="E275" s="69">
        <v>501</v>
      </c>
      <c r="F275" s="69">
        <v>5</v>
      </c>
      <c r="G275" s="69">
        <v>3</v>
      </c>
      <c r="H275" s="69">
        <v>40907</v>
      </c>
      <c r="I275" s="69">
        <v>831</v>
      </c>
      <c r="J275" s="69" t="s">
        <v>1724</v>
      </c>
      <c r="K275" s="69"/>
      <c r="L275" s="69" t="s">
        <v>1628</v>
      </c>
      <c r="M275" s="71">
        <v>43682</v>
      </c>
      <c r="N275" s="69" t="s">
        <v>71</v>
      </c>
      <c r="O275" s="71">
        <v>43690</v>
      </c>
      <c r="P275" s="69"/>
      <c r="Q275" s="92" t="s">
        <v>77</v>
      </c>
      <c r="R275" s="73" t="s">
        <v>1629</v>
      </c>
      <c r="S275" s="69">
        <v>957377</v>
      </c>
      <c r="T275" s="69"/>
      <c r="U275" s="69" t="s">
        <v>1735</v>
      </c>
      <c r="V275" s="69" t="s">
        <v>53</v>
      </c>
      <c r="W275" s="70">
        <v>60.11</v>
      </c>
      <c r="X275" s="69"/>
      <c r="Y275" s="70">
        <f>IFERROR(VLOOKUP(factures[[#This Row],[DT Prestation Amiante 2]],presta_amiante2[#Data],2,0),0)</f>
        <v>0</v>
      </c>
      <c r="Z275" s="69" t="s">
        <v>61</v>
      </c>
      <c r="AA275" s="70">
        <v>41.62</v>
      </c>
      <c r="AB275" s="69">
        <v>4</v>
      </c>
      <c r="AC275" s="69" t="s">
        <v>73</v>
      </c>
      <c r="AD275" s="70">
        <v>36.99</v>
      </c>
      <c r="AE275" s="70">
        <f>IFERROR(factures[[#This Row],[Plvts ]]*factures[[#This Row],[Prix Analyses]],0)</f>
        <v>147.96</v>
      </c>
      <c r="AF275" s="70">
        <f>factures[[#This Row],[Prix Prestation Amiante 1]]+factures[[#This Row],[Prix Prestation Amiante 2]]+factures[[#This Row],[Prix Prestation Gaz]]+factures[[#This Row],[Prix analyses HT]]</f>
        <v>249.69</v>
      </c>
      <c r="AG275" s="69" t="s">
        <v>1829</v>
      </c>
      <c r="AH275" s="86" t="s">
        <v>1822</v>
      </c>
      <c r="AI275" s="69"/>
    </row>
    <row r="276" spans="1:35" ht="60" x14ac:dyDescent="0.3">
      <c r="A276" s="92" t="s">
        <v>1630</v>
      </c>
      <c r="B276" s="72">
        <v>78800</v>
      </c>
      <c r="C276" s="69" t="s">
        <v>123</v>
      </c>
      <c r="D276" s="69" t="s">
        <v>1541</v>
      </c>
      <c r="E276" s="69">
        <v>104</v>
      </c>
      <c r="F276" s="69">
        <v>1</v>
      </c>
      <c r="G276" s="69">
        <v>3</v>
      </c>
      <c r="H276" s="69">
        <v>4857</v>
      </c>
      <c r="I276" s="69">
        <v>77</v>
      </c>
      <c r="J276" s="69" t="s">
        <v>1052</v>
      </c>
      <c r="K276" s="69" t="s">
        <v>1687</v>
      </c>
      <c r="L276" s="69" t="s">
        <v>1631</v>
      </c>
      <c r="M276" s="71">
        <v>43682</v>
      </c>
      <c r="N276" s="69" t="s">
        <v>83</v>
      </c>
      <c r="O276" s="71">
        <v>43705</v>
      </c>
      <c r="P276" s="69"/>
      <c r="Q276" s="69" t="s">
        <v>77</v>
      </c>
      <c r="R276" s="73" t="s">
        <v>1632</v>
      </c>
      <c r="S276" s="69">
        <v>957325</v>
      </c>
      <c r="T276" s="92" t="s">
        <v>1809</v>
      </c>
      <c r="U276" s="69" t="s">
        <v>1844</v>
      </c>
      <c r="V276" s="69" t="s">
        <v>55</v>
      </c>
      <c r="W276" s="70">
        <v>55.49</v>
      </c>
      <c r="X276" s="69"/>
      <c r="Y276" s="70">
        <f>IFERROR(VLOOKUP(factures[[#This Row],[DT Prestation Amiante 2]],presta_amiante2[#Data],2,0),0)</f>
        <v>0</v>
      </c>
      <c r="Z276" s="69" t="s">
        <v>53</v>
      </c>
      <c r="AA276" s="70">
        <v>60.11</v>
      </c>
      <c r="AB276" s="69">
        <v>10</v>
      </c>
      <c r="AC276" s="69" t="s">
        <v>73</v>
      </c>
      <c r="AD276" s="70">
        <v>36.99</v>
      </c>
      <c r="AE276" s="70">
        <f>IFERROR(factures[[#This Row],[Plvts ]]*factures[[#This Row],[Prix Analyses]],0)</f>
        <v>369.90000000000003</v>
      </c>
      <c r="AF276" s="70">
        <f>factures[[#This Row],[Prix Prestation Amiante 1]]+factures[[#This Row],[Prix Prestation Amiante 2]]+factures[[#This Row],[Prix Prestation Gaz]]+factures[[#This Row],[Prix analyses HT]]</f>
        <v>485.5</v>
      </c>
      <c r="AG276" s="69" t="s">
        <v>2082</v>
      </c>
      <c r="AH276" s="86" t="s">
        <v>2070</v>
      </c>
      <c r="AI276" s="69"/>
    </row>
    <row r="277" spans="1:35" ht="40.799999999999997" x14ac:dyDescent="0.3">
      <c r="A277" s="92" t="s">
        <v>315</v>
      </c>
      <c r="B277" s="72">
        <v>78200</v>
      </c>
      <c r="C277" s="69" t="s">
        <v>189</v>
      </c>
      <c r="D277" s="69" t="s">
        <v>1397</v>
      </c>
      <c r="E277" s="69">
        <v>1302</v>
      </c>
      <c r="F277" s="69">
        <v>13</v>
      </c>
      <c r="G277" s="69">
        <v>2</v>
      </c>
      <c r="H277" s="69">
        <v>43538</v>
      </c>
      <c r="I277" s="69">
        <v>862</v>
      </c>
      <c r="J277" s="69" t="s">
        <v>1633</v>
      </c>
      <c r="K277" s="69"/>
      <c r="L277" s="69" t="s">
        <v>1634</v>
      </c>
      <c r="M277" s="71">
        <v>43683</v>
      </c>
      <c r="N277" s="69" t="s">
        <v>83</v>
      </c>
      <c r="O277" s="71">
        <v>43691</v>
      </c>
      <c r="P277" s="69" t="s">
        <v>131</v>
      </c>
      <c r="Q277" s="69" t="s">
        <v>77</v>
      </c>
      <c r="R277" s="73" t="s">
        <v>1635</v>
      </c>
      <c r="S277" s="69">
        <v>954873</v>
      </c>
      <c r="T277" s="69"/>
      <c r="U277" s="69" t="s">
        <v>1854</v>
      </c>
      <c r="V277" s="69" t="s">
        <v>55</v>
      </c>
      <c r="W277" s="70">
        <f>IFERROR(VLOOKUP(factures[[#This Row],[DT Prestation Amiante 1]],presta_amiante1[#Data],2,0),0)</f>
        <v>55.49</v>
      </c>
      <c r="X277" s="69"/>
      <c r="Y277" s="70">
        <f>IFERROR(VLOOKUP(factures[[#This Row],[DT Prestation Amiante 2]],presta_amiante2[#Data],2,0),0)</f>
        <v>0</v>
      </c>
      <c r="Z277" s="69" t="s">
        <v>53</v>
      </c>
      <c r="AA277" s="70">
        <f>IFERROR(VLOOKUP(factures[[#This Row],[DT Prestation Gaz]],presta_gaz[#Data],2,0),0)</f>
        <v>60.11</v>
      </c>
      <c r="AB277" s="69">
        <v>14</v>
      </c>
      <c r="AC277" s="69" t="s">
        <v>73</v>
      </c>
      <c r="AD277" s="70">
        <f>IFERROR(VLOOKUP(factures[[#This Row],[DT Analyses]],DT_analyses[#Data],2,0),0)</f>
        <v>36.99</v>
      </c>
      <c r="AE277" s="70">
        <f>IFERROR(factures[[#This Row],[Plvts ]]*factures[[#This Row],[Prix Analyses]],0)</f>
        <v>517.86</v>
      </c>
      <c r="AF277" s="70">
        <f>factures[[#This Row],[Prix Prestation Amiante 1]]+factures[[#This Row],[Prix Prestation Amiante 2]]+factures[[#This Row],[Prix Prestation Gaz]]+factures[[#This Row],[Prix analyses HT]]</f>
        <v>633.46</v>
      </c>
      <c r="AG277" s="69" t="s">
        <v>1962</v>
      </c>
      <c r="AH277" s="86" t="s">
        <v>1959</v>
      </c>
      <c r="AI277" s="69"/>
    </row>
    <row r="278" spans="1:35" ht="36" x14ac:dyDescent="0.3">
      <c r="A278" s="92" t="s">
        <v>975</v>
      </c>
      <c r="B278" s="72">
        <v>78130</v>
      </c>
      <c r="C278" s="69" t="s">
        <v>553</v>
      </c>
      <c r="D278" s="69" t="s">
        <v>554</v>
      </c>
      <c r="E278" s="69">
        <v>1</v>
      </c>
      <c r="F278" s="69" t="s">
        <v>816</v>
      </c>
      <c r="G278" s="69">
        <v>3</v>
      </c>
      <c r="H278" s="69">
        <v>50820</v>
      </c>
      <c r="I278" s="69">
        <v>1025</v>
      </c>
      <c r="J278" s="69" t="s">
        <v>1531</v>
      </c>
      <c r="K278" s="69"/>
      <c r="L278" s="69" t="s">
        <v>1636</v>
      </c>
      <c r="M278" s="71">
        <v>43683</v>
      </c>
      <c r="N278" s="69" t="s">
        <v>84</v>
      </c>
      <c r="O278" s="71">
        <v>43686</v>
      </c>
      <c r="P278" s="69"/>
      <c r="Q278" s="69" t="s">
        <v>77</v>
      </c>
      <c r="R278" s="73" t="s">
        <v>1637</v>
      </c>
      <c r="S278" s="69">
        <v>952786</v>
      </c>
      <c r="T278" s="69"/>
      <c r="U278" s="69" t="s">
        <v>1707</v>
      </c>
      <c r="V278" s="69" t="s">
        <v>55</v>
      </c>
      <c r="W278" s="70">
        <f>IFERROR(VLOOKUP(factures[[#This Row],[DT Prestation Amiante 1]],presta_amiante1[#Data],2,0),0)</f>
        <v>55.49</v>
      </c>
      <c r="X278" s="69" t="s">
        <v>53</v>
      </c>
      <c r="Y278" s="70">
        <f>IFERROR(VLOOKUP(factures[[#This Row],[DT Prestation Amiante 2]],presta_amiante2[#Data],2,0),0)</f>
        <v>60.11</v>
      </c>
      <c r="Z278" s="69" t="s">
        <v>61</v>
      </c>
      <c r="AA278" s="70">
        <f>IFERROR(VLOOKUP(factures[[#This Row],[DT Prestation Gaz]],presta_gaz[#Data],2,0),0)</f>
        <v>41.62</v>
      </c>
      <c r="AB278" s="69">
        <v>6</v>
      </c>
      <c r="AC278" s="69" t="s">
        <v>73</v>
      </c>
      <c r="AD278" s="70">
        <f>IFERROR(VLOOKUP(factures[[#This Row],[DT Analyses]],DT_analyses[#Data],2,0),0)</f>
        <v>36.99</v>
      </c>
      <c r="AE278" s="70">
        <f>IFERROR(factures[[#This Row],[Plvts ]]*factures[[#This Row],[Prix Analyses]],0)</f>
        <v>221.94</v>
      </c>
      <c r="AF278" s="70">
        <f>factures[[#This Row],[Prix Prestation Amiante 1]]+factures[[#This Row],[Prix Prestation Amiante 2]]+factures[[#This Row],[Prix Prestation Gaz]]+factures[[#This Row],[Prix analyses HT]]</f>
        <v>379.15999999999997</v>
      </c>
      <c r="AG278" s="69" t="s">
        <v>1830</v>
      </c>
      <c r="AH278" s="86" t="s">
        <v>1822</v>
      </c>
      <c r="AI278" s="69"/>
    </row>
    <row r="279" spans="1:35" ht="36" x14ac:dyDescent="0.3">
      <c r="A279" s="92" t="s">
        <v>1638</v>
      </c>
      <c r="B279" s="72">
        <v>78130</v>
      </c>
      <c r="C279" s="69" t="s">
        <v>553</v>
      </c>
      <c r="D279" s="69" t="s">
        <v>554</v>
      </c>
      <c r="E279" s="69">
        <v>101</v>
      </c>
      <c r="F279" s="69">
        <v>1</v>
      </c>
      <c r="G279" s="69">
        <v>5</v>
      </c>
      <c r="H279" s="69">
        <v>50811</v>
      </c>
      <c r="I279" s="69">
        <v>1025</v>
      </c>
      <c r="J279" s="69" t="s">
        <v>1531</v>
      </c>
      <c r="K279" s="69"/>
      <c r="L279" s="69" t="s">
        <v>1639</v>
      </c>
      <c r="M279" s="71">
        <v>43683</v>
      </c>
      <c r="N279" s="69" t="s">
        <v>84</v>
      </c>
      <c r="O279" s="71">
        <v>43686</v>
      </c>
      <c r="P279" s="69"/>
      <c r="Q279" s="69" t="s">
        <v>77</v>
      </c>
      <c r="R279" s="73" t="s">
        <v>1640</v>
      </c>
      <c r="S279" s="69">
        <v>952790</v>
      </c>
      <c r="T279" s="91" t="s">
        <v>172</v>
      </c>
      <c r="U279" s="69"/>
      <c r="V279" s="69" t="s">
        <v>55</v>
      </c>
      <c r="W279" s="70">
        <v>54</v>
      </c>
      <c r="X279" s="69" t="s">
        <v>54</v>
      </c>
      <c r="Y279" s="70">
        <v>67.5</v>
      </c>
      <c r="Z279" s="69" t="s">
        <v>62</v>
      </c>
      <c r="AA279" s="70">
        <v>47.7</v>
      </c>
      <c r="AB279" s="69">
        <v>5</v>
      </c>
      <c r="AC279" s="69" t="s">
        <v>73</v>
      </c>
      <c r="AD279" s="70">
        <v>36</v>
      </c>
      <c r="AE279" s="70">
        <f>IFERROR(factures[[#This Row],[Plvts ]]*factures[[#This Row],[Prix Analyses]],0)</f>
        <v>180</v>
      </c>
      <c r="AF279" s="70">
        <f>factures[[#This Row],[Prix Prestation Amiante 1]]+factures[[#This Row],[Prix Prestation Amiante 2]]+factures[[#This Row],[Prix Prestation Gaz]]+factures[[#This Row],[Prix analyses HT]]</f>
        <v>349.2</v>
      </c>
      <c r="AG279" s="69" t="s">
        <v>2381</v>
      </c>
      <c r="AH279" s="86" t="s">
        <v>2382</v>
      </c>
      <c r="AI279" s="69"/>
    </row>
    <row r="280" spans="1:35" ht="36" x14ac:dyDescent="0.3">
      <c r="A280" s="92" t="s">
        <v>842</v>
      </c>
      <c r="B280" s="72">
        <v>78130</v>
      </c>
      <c r="C280" s="69" t="s">
        <v>553</v>
      </c>
      <c r="D280" s="69" t="s">
        <v>554</v>
      </c>
      <c r="E280" s="69">
        <v>301</v>
      </c>
      <c r="F280" s="69">
        <v>3</v>
      </c>
      <c r="G280" s="69">
        <v>4</v>
      </c>
      <c r="H280" s="69">
        <v>51561</v>
      </c>
      <c r="I280" s="69">
        <v>1021</v>
      </c>
      <c r="J280" s="69" t="s">
        <v>1531</v>
      </c>
      <c r="K280" s="69"/>
      <c r="L280" s="69" t="s">
        <v>1641</v>
      </c>
      <c r="M280" s="71">
        <v>43683</v>
      </c>
      <c r="N280" s="69" t="s">
        <v>84</v>
      </c>
      <c r="O280" s="71">
        <v>43686</v>
      </c>
      <c r="P280" s="69"/>
      <c r="Q280" s="69" t="s">
        <v>77</v>
      </c>
      <c r="R280" s="73" t="s">
        <v>1642</v>
      </c>
      <c r="S280" s="69">
        <v>952793</v>
      </c>
      <c r="T280" s="91" t="s">
        <v>172</v>
      </c>
      <c r="U280" s="69" t="s">
        <v>1708</v>
      </c>
      <c r="V280" s="69" t="s">
        <v>55</v>
      </c>
      <c r="W280" s="70">
        <f>IFERROR(VLOOKUP(factures[[#This Row],[DT Prestation Amiante 1]],presta_amiante1[#Data],2,0),0)</f>
        <v>55.49</v>
      </c>
      <c r="X280" s="69" t="s">
        <v>54</v>
      </c>
      <c r="Y280" s="70">
        <f>IFERROR(VLOOKUP(factures[[#This Row],[DT Prestation Amiante 2]],presta_amiante2[#Data],2,0),0)</f>
        <v>69.36</v>
      </c>
      <c r="Z280" s="69" t="s">
        <v>62</v>
      </c>
      <c r="AA280" s="70">
        <f>IFERROR(VLOOKUP(factures[[#This Row],[DT Prestation Gaz]],presta_gaz[#Data],2,0),0)</f>
        <v>49.01</v>
      </c>
      <c r="AB280" s="69">
        <v>14</v>
      </c>
      <c r="AC280" s="69" t="s">
        <v>73</v>
      </c>
      <c r="AD280" s="70">
        <f>IFERROR(VLOOKUP(factures[[#This Row],[DT Analyses]],DT_analyses[#Data],2,0),0)</f>
        <v>36.99</v>
      </c>
      <c r="AE280" s="70">
        <f>IFERROR(factures[[#This Row],[Plvts ]]*factures[[#This Row],[Prix Analyses]],0)</f>
        <v>517.86</v>
      </c>
      <c r="AF280" s="70">
        <f>factures[[#This Row],[Prix Prestation Amiante 1]]+factures[[#This Row],[Prix Prestation Amiante 2]]+factures[[#This Row],[Prix Prestation Gaz]]+factures[[#This Row],[Prix analyses HT]]</f>
        <v>691.72</v>
      </c>
      <c r="AG280" s="69" t="s">
        <v>2234</v>
      </c>
      <c r="AH280" s="86" t="s">
        <v>2233</v>
      </c>
      <c r="AI280" s="69"/>
    </row>
    <row r="281" spans="1:35" ht="36" x14ac:dyDescent="0.3">
      <c r="A281" s="92" t="s">
        <v>842</v>
      </c>
      <c r="B281" s="72">
        <v>78130</v>
      </c>
      <c r="C281" s="69" t="s">
        <v>553</v>
      </c>
      <c r="D281" s="69" t="s">
        <v>554</v>
      </c>
      <c r="E281" s="69">
        <v>401</v>
      </c>
      <c r="F281" s="69">
        <v>4</v>
      </c>
      <c r="G281" s="69">
        <v>4</v>
      </c>
      <c r="H281" s="69">
        <v>51564</v>
      </c>
      <c r="I281" s="69">
        <v>1021</v>
      </c>
      <c r="J281" s="69" t="s">
        <v>1531</v>
      </c>
      <c r="K281" s="69"/>
      <c r="L281" s="69" t="s">
        <v>1643</v>
      </c>
      <c r="M281" s="71">
        <v>43683</v>
      </c>
      <c r="N281" s="69" t="s">
        <v>84</v>
      </c>
      <c r="O281" s="74">
        <v>43686</v>
      </c>
      <c r="P281" s="69"/>
      <c r="Q281" s="69" t="s">
        <v>77</v>
      </c>
      <c r="R281" s="73" t="s">
        <v>1644</v>
      </c>
      <c r="S281" s="69">
        <v>952796</v>
      </c>
      <c r="T281" s="91" t="s">
        <v>172</v>
      </c>
      <c r="U281" s="69" t="s">
        <v>1709</v>
      </c>
      <c r="V281" s="69" t="s">
        <v>55</v>
      </c>
      <c r="W281" s="70">
        <f>IFERROR(VLOOKUP(factures[[#This Row],[DT Prestation Amiante 1]],presta_amiante1[#Data],2,0),0)</f>
        <v>55.49</v>
      </c>
      <c r="X281" s="69" t="s">
        <v>54</v>
      </c>
      <c r="Y281" s="70">
        <f>IFERROR(VLOOKUP(factures[[#This Row],[DT Prestation Amiante 2]],presta_amiante2[#Data],2,0),0)</f>
        <v>69.36</v>
      </c>
      <c r="Z281" s="69" t="s">
        <v>62</v>
      </c>
      <c r="AA281" s="70">
        <f>IFERROR(VLOOKUP(factures[[#This Row],[DT Prestation Gaz]],presta_gaz[#Data],2,0),0)</f>
        <v>49.01</v>
      </c>
      <c r="AB281" s="69">
        <v>1</v>
      </c>
      <c r="AC281" s="69" t="s">
        <v>73</v>
      </c>
      <c r="AD281" s="70">
        <f>IFERROR(VLOOKUP(factures[[#This Row],[DT Analyses]],DT_analyses[#Data],2,0),0)</f>
        <v>36.99</v>
      </c>
      <c r="AE281" s="70">
        <f>IFERROR(factures[[#This Row],[Plvts ]]*factures[[#This Row],[Prix Analyses]],0)</f>
        <v>36.99</v>
      </c>
      <c r="AF281" s="70">
        <f>factures[[#This Row],[Prix Prestation Amiante 1]]+factures[[#This Row],[Prix Prestation Amiante 2]]+factures[[#This Row],[Prix Prestation Gaz]]+factures[[#This Row],[Prix analyses HT]]</f>
        <v>210.85</v>
      </c>
      <c r="AG281" s="69" t="s">
        <v>1954</v>
      </c>
      <c r="AH281" s="86" t="s">
        <v>1945</v>
      </c>
      <c r="AI281" s="69"/>
    </row>
    <row r="282" spans="1:35" ht="24" x14ac:dyDescent="0.3">
      <c r="A282" s="92" t="s">
        <v>463</v>
      </c>
      <c r="B282" s="72">
        <v>92500</v>
      </c>
      <c r="C282" s="69" t="s">
        <v>265</v>
      </c>
      <c r="D282" s="69" t="s">
        <v>464</v>
      </c>
      <c r="E282" s="69">
        <v>76</v>
      </c>
      <c r="F282" s="69">
        <v>1</v>
      </c>
      <c r="G282" s="69">
        <v>2</v>
      </c>
      <c r="H282" s="69">
        <v>84552</v>
      </c>
      <c r="I282" s="69">
        <v>9212</v>
      </c>
      <c r="J282" s="69" t="s">
        <v>1608</v>
      </c>
      <c r="K282" s="69"/>
      <c r="L282" s="69" t="s">
        <v>1645</v>
      </c>
      <c r="M282" s="71">
        <v>43683</v>
      </c>
      <c r="N282" s="69" t="s">
        <v>72</v>
      </c>
      <c r="O282" s="74">
        <v>43684</v>
      </c>
      <c r="P282" s="69"/>
      <c r="Q282" s="92" t="s">
        <v>77</v>
      </c>
      <c r="R282" s="73"/>
      <c r="S282" s="69">
        <v>957579</v>
      </c>
      <c r="T282" s="69"/>
      <c r="U282" s="69"/>
      <c r="V282" s="69"/>
      <c r="W282" s="70">
        <f>IFERROR(VLOOKUP(factures[[#This Row],[DT Prestation Amiante 1]],presta_amiante1[#Data],2,0),0)</f>
        <v>0</v>
      </c>
      <c r="X282" s="69"/>
      <c r="Y282" s="70">
        <f>IFERROR(VLOOKUP(factures[[#This Row],[DT Prestation Amiante 2]],presta_amiante2[#Data],2,0),0)</f>
        <v>0</v>
      </c>
      <c r="Z282" s="69" t="s">
        <v>61</v>
      </c>
      <c r="AA282" s="70">
        <v>41.62</v>
      </c>
      <c r="AB282" s="69"/>
      <c r="AC282" s="69"/>
      <c r="AD282" s="70">
        <f>IFERROR(VLOOKUP(factures[[#This Row],[DT Analyses]],DT_analyses[#Data],2,0),0)</f>
        <v>0</v>
      </c>
      <c r="AE282" s="70">
        <f>IFERROR(factures[[#This Row],[Plvts ]]*factures[[#This Row],[Prix Analyses]],0)</f>
        <v>0</v>
      </c>
      <c r="AF282" s="70">
        <f>factures[[#This Row],[Prix Prestation Amiante 1]]+factures[[#This Row],[Prix Prestation Amiante 2]]+factures[[#This Row],[Prix Prestation Gaz]]+factures[[#This Row],[Prix analyses HT]]</f>
        <v>41.62</v>
      </c>
      <c r="AG282" s="69" t="s">
        <v>1783</v>
      </c>
      <c r="AH282" s="86" t="s">
        <v>1765</v>
      </c>
      <c r="AI282" s="69"/>
    </row>
    <row r="283" spans="1:35" ht="36" x14ac:dyDescent="0.3">
      <c r="A283" s="92" t="s">
        <v>1647</v>
      </c>
      <c r="B283" s="72">
        <v>92260</v>
      </c>
      <c r="C283" s="69" t="s">
        <v>500</v>
      </c>
      <c r="D283" s="69" t="s">
        <v>159</v>
      </c>
      <c r="E283" s="69">
        <v>103</v>
      </c>
      <c r="F283" s="69">
        <v>1</v>
      </c>
      <c r="G283" s="69">
        <v>4</v>
      </c>
      <c r="H283" s="69">
        <v>63326</v>
      </c>
      <c r="I283" s="69">
        <v>9216</v>
      </c>
      <c r="J283" s="79" t="s">
        <v>512</v>
      </c>
      <c r="K283" s="69"/>
      <c r="L283" s="69" t="s">
        <v>1648</v>
      </c>
      <c r="M283" s="71">
        <v>43683</v>
      </c>
      <c r="N283" s="69" t="s">
        <v>71</v>
      </c>
      <c r="O283" s="71">
        <v>43686</v>
      </c>
      <c r="P283" s="69"/>
      <c r="Q283" s="92" t="s">
        <v>77</v>
      </c>
      <c r="R283" s="73" t="s">
        <v>1649</v>
      </c>
      <c r="S283" s="69">
        <v>957719</v>
      </c>
      <c r="T283" s="69"/>
      <c r="U283" s="69" t="s">
        <v>1712</v>
      </c>
      <c r="V283" s="69" t="s">
        <v>54</v>
      </c>
      <c r="W283" s="70">
        <v>69.36</v>
      </c>
      <c r="X283" s="69"/>
      <c r="Y283" s="70">
        <f>IFERROR(VLOOKUP(factures[[#This Row],[DT Prestation Amiante 2]],presta_amiante2[#Data],2,0),0)</f>
        <v>0</v>
      </c>
      <c r="Z283" s="69" t="s">
        <v>62</v>
      </c>
      <c r="AA283" s="70">
        <v>49.01</v>
      </c>
      <c r="AB283" s="69">
        <v>3</v>
      </c>
      <c r="AC283" s="69" t="s">
        <v>73</v>
      </c>
      <c r="AD283" s="70">
        <v>36.99</v>
      </c>
      <c r="AE283" s="70">
        <f>IFERROR(factures[[#This Row],[Plvts ]]*factures[[#This Row],[Prix Analyses]],0)</f>
        <v>110.97</v>
      </c>
      <c r="AF283" s="70">
        <f>factures[[#This Row],[Prix Prestation Amiante 1]]+factures[[#This Row],[Prix Prestation Amiante 2]]+factures[[#This Row],[Prix Prestation Gaz]]+factures[[#This Row],[Prix analyses HT]]</f>
        <v>229.34</v>
      </c>
      <c r="AG283" s="69" t="s">
        <v>1831</v>
      </c>
      <c r="AH283" s="86" t="s">
        <v>1822</v>
      </c>
      <c r="AI283" s="69"/>
    </row>
    <row r="284" spans="1:35" ht="48" x14ac:dyDescent="0.3">
      <c r="A284" s="92" t="s">
        <v>1470</v>
      </c>
      <c r="B284" s="72">
        <v>92100</v>
      </c>
      <c r="C284" s="69" t="s">
        <v>133</v>
      </c>
      <c r="D284" s="69" t="s">
        <v>849</v>
      </c>
      <c r="E284" s="69">
        <v>67</v>
      </c>
      <c r="F284" s="69">
        <v>6</v>
      </c>
      <c r="G284" s="69">
        <v>2</v>
      </c>
      <c r="H284" s="69">
        <v>60764</v>
      </c>
      <c r="I284" s="69">
        <v>753</v>
      </c>
      <c r="J284" s="69" t="s">
        <v>1731</v>
      </c>
      <c r="K284" s="91" t="s">
        <v>1733</v>
      </c>
      <c r="L284" s="69" t="s">
        <v>1730</v>
      </c>
      <c r="M284" s="71">
        <v>43684</v>
      </c>
      <c r="N284" s="69" t="s">
        <v>1530</v>
      </c>
      <c r="O284" s="71">
        <v>43691</v>
      </c>
      <c r="P284" s="69">
        <v>17</v>
      </c>
      <c r="Q284" s="69" t="s">
        <v>77</v>
      </c>
      <c r="R284" s="73" t="s">
        <v>1655</v>
      </c>
      <c r="S284" s="69">
        <v>957771</v>
      </c>
      <c r="T284" s="69"/>
      <c r="U284" s="69" t="s">
        <v>1768</v>
      </c>
      <c r="V284" s="69" t="s">
        <v>53</v>
      </c>
      <c r="W284" s="70">
        <v>60.11</v>
      </c>
      <c r="X284" s="69" t="s">
        <v>93</v>
      </c>
      <c r="Y284" s="70">
        <v>80.459999999999994</v>
      </c>
      <c r="Z284" s="69"/>
      <c r="AA284" s="70">
        <f>IFERROR(VLOOKUP(factures[[#This Row],[DT Prestation Gaz]],presta_gaz[#Data],2,0),0)</f>
        <v>0</v>
      </c>
      <c r="AB284" s="69">
        <v>4</v>
      </c>
      <c r="AC284" s="69" t="s">
        <v>73</v>
      </c>
      <c r="AD284" s="70">
        <v>36.99</v>
      </c>
      <c r="AE284" s="70">
        <f>IFERROR(factures[[#This Row],[Plvts ]]*factures[[#This Row],[Prix Analyses]],0)</f>
        <v>147.96</v>
      </c>
      <c r="AF284" s="70">
        <f>factures[[#This Row],[Prix Prestation Amiante 1]]+factures[[#This Row],[Prix Prestation Amiante 2]]+factures[[#This Row],[Prix Prestation Gaz]]+factures[[#This Row],[Prix analyses HT]]</f>
        <v>288.52999999999997</v>
      </c>
      <c r="AG284" s="69" t="s">
        <v>1909</v>
      </c>
      <c r="AH284" s="86" t="s">
        <v>1902</v>
      </c>
      <c r="AI284" s="69"/>
    </row>
    <row r="285" spans="1:35" ht="24" x14ac:dyDescent="0.3">
      <c r="A285" s="69" t="s">
        <v>1656</v>
      </c>
      <c r="B285" s="72">
        <v>92500</v>
      </c>
      <c r="C285" s="69" t="s">
        <v>265</v>
      </c>
      <c r="D285" s="69" t="s">
        <v>266</v>
      </c>
      <c r="E285" s="69">
        <v>1</v>
      </c>
      <c r="F285" s="69" t="s">
        <v>816</v>
      </c>
      <c r="G285" s="69">
        <v>3</v>
      </c>
      <c r="H285" s="69">
        <v>62973</v>
      </c>
      <c r="I285" s="69">
        <v>9210</v>
      </c>
      <c r="J285" s="69" t="s">
        <v>547</v>
      </c>
      <c r="K285" s="69"/>
      <c r="L285" s="69" t="s">
        <v>1657</v>
      </c>
      <c r="M285" s="71">
        <v>43684</v>
      </c>
      <c r="N285" s="69" t="s">
        <v>72</v>
      </c>
      <c r="O285" s="71">
        <v>43690</v>
      </c>
      <c r="P285" s="69" t="s">
        <v>129</v>
      </c>
      <c r="Q285" s="92" t="s">
        <v>77</v>
      </c>
      <c r="R285" s="73"/>
      <c r="S285" s="69">
        <v>957800</v>
      </c>
      <c r="T285" s="69"/>
      <c r="U285" s="69"/>
      <c r="V285" s="69"/>
      <c r="W285" s="70">
        <f>IFERROR(VLOOKUP(factures[[#This Row],[DT Prestation Amiante 1]],presta_amiante1[#Data],2,0),0)</f>
        <v>0</v>
      </c>
      <c r="X285" s="69"/>
      <c r="Y285" s="70">
        <f>IFERROR(VLOOKUP(factures[[#This Row],[DT Prestation Amiante 2]],presta_amiante2[#Data],2,0),0)</f>
        <v>0</v>
      </c>
      <c r="Z285" s="69" t="s">
        <v>61</v>
      </c>
      <c r="AA285" s="70">
        <v>41.62</v>
      </c>
      <c r="AB285" s="69"/>
      <c r="AC285" s="69"/>
      <c r="AD285" s="70">
        <f>IFERROR(VLOOKUP(factures[[#This Row],[DT Analyses]],DT_analyses[#Data],2,0),0)</f>
        <v>0</v>
      </c>
      <c r="AE285" s="70">
        <f>IFERROR(factures[[#This Row],[Plvts ]]*factures[[#This Row],[Prix Analyses]],0)</f>
        <v>0</v>
      </c>
      <c r="AF285" s="70">
        <f>factures[[#This Row],[Prix Prestation Amiante 1]]+factures[[#This Row],[Prix Prestation Amiante 2]]+factures[[#This Row],[Prix Prestation Gaz]]+factures[[#This Row],[Prix analyses HT]]</f>
        <v>41.62</v>
      </c>
      <c r="AG285" s="69" t="s">
        <v>1784</v>
      </c>
      <c r="AH285" s="86" t="s">
        <v>1765</v>
      </c>
      <c r="AI285" s="69"/>
    </row>
    <row r="286" spans="1:35" ht="40.799999999999997" x14ac:dyDescent="0.3">
      <c r="A286" s="92" t="s">
        <v>1426</v>
      </c>
      <c r="B286" s="72">
        <v>78130</v>
      </c>
      <c r="C286" s="69" t="s">
        <v>553</v>
      </c>
      <c r="D286" s="69" t="s">
        <v>554</v>
      </c>
      <c r="E286" s="69">
        <v>301</v>
      </c>
      <c r="F286" s="69">
        <v>3</v>
      </c>
      <c r="G286" s="69">
        <v>3</v>
      </c>
      <c r="H286" s="69">
        <v>50990</v>
      </c>
      <c r="I286" s="69">
        <v>1026</v>
      </c>
      <c r="J286" s="69" t="s">
        <v>1531</v>
      </c>
      <c r="K286" s="69"/>
      <c r="L286" s="69" t="s">
        <v>1658</v>
      </c>
      <c r="M286" s="71">
        <v>43684</v>
      </c>
      <c r="N286" s="69" t="s">
        <v>84</v>
      </c>
      <c r="O286" s="71">
        <v>43686</v>
      </c>
      <c r="P286" s="69"/>
      <c r="Q286" s="92" t="s">
        <v>77</v>
      </c>
      <c r="R286" s="73" t="s">
        <v>1659</v>
      </c>
      <c r="S286" s="69">
        <v>957792</v>
      </c>
      <c r="T286" s="69"/>
      <c r="U286" s="69" t="s">
        <v>1710</v>
      </c>
      <c r="V286" s="69" t="s">
        <v>55</v>
      </c>
      <c r="W286" s="70">
        <v>55.49</v>
      </c>
      <c r="X286" s="69" t="s">
        <v>53</v>
      </c>
      <c r="Y286" s="70">
        <v>60.11</v>
      </c>
      <c r="Z286" s="69" t="s">
        <v>61</v>
      </c>
      <c r="AA286" s="70">
        <v>41.62</v>
      </c>
      <c r="AB286" s="69">
        <v>5</v>
      </c>
      <c r="AC286" s="69" t="s">
        <v>73</v>
      </c>
      <c r="AD286" s="70">
        <v>36.99</v>
      </c>
      <c r="AE286" s="70">
        <f>IFERROR(factures[[#This Row],[Plvts ]]*factures[[#This Row],[Prix Analyses]],0)</f>
        <v>184.95000000000002</v>
      </c>
      <c r="AF286" s="70">
        <f>factures[[#This Row],[Prix Prestation Amiante 1]]+factures[[#This Row],[Prix Prestation Amiante 2]]+factures[[#This Row],[Prix Prestation Gaz]]+factures[[#This Row],[Prix analyses HT]]</f>
        <v>342.17</v>
      </c>
      <c r="AG286" s="69" t="s">
        <v>1832</v>
      </c>
      <c r="AH286" s="86" t="s">
        <v>1822</v>
      </c>
      <c r="AI286" s="69"/>
    </row>
    <row r="287" spans="1:35" ht="36" x14ac:dyDescent="0.3">
      <c r="A287" s="92" t="s">
        <v>1102</v>
      </c>
      <c r="B287" s="72">
        <v>94450</v>
      </c>
      <c r="C287" s="69" t="s">
        <v>1103</v>
      </c>
      <c r="D287" s="69" t="s">
        <v>1104</v>
      </c>
      <c r="E287" s="69">
        <v>103</v>
      </c>
      <c r="F287" s="69">
        <v>1</v>
      </c>
      <c r="G287" s="69">
        <v>3</v>
      </c>
      <c r="H287" s="69">
        <v>38886</v>
      </c>
      <c r="I287" s="69">
        <v>769</v>
      </c>
      <c r="J287" s="69" t="s">
        <v>300</v>
      </c>
      <c r="K287" s="69"/>
      <c r="L287" s="69" t="s">
        <v>1681</v>
      </c>
      <c r="M287" s="71">
        <v>43685</v>
      </c>
      <c r="N287" s="69" t="s">
        <v>1682</v>
      </c>
      <c r="O287" s="71">
        <v>43691</v>
      </c>
      <c r="P287" s="69"/>
      <c r="Q287" s="69" t="s">
        <v>77</v>
      </c>
      <c r="R287" s="73" t="s">
        <v>1683</v>
      </c>
      <c r="S287" s="69">
        <v>957545</v>
      </c>
      <c r="T287" s="69"/>
      <c r="U287" s="69" t="s">
        <v>1746</v>
      </c>
      <c r="V287" s="69" t="s">
        <v>73</v>
      </c>
      <c r="W287" s="70">
        <v>36.99</v>
      </c>
      <c r="X287" s="69"/>
      <c r="Y287" s="70">
        <f>IFERROR(VLOOKUP(factures[[#This Row],[DT Prestation Amiante 2]],presta_amiante2[#Data],2,0),0)</f>
        <v>0</v>
      </c>
      <c r="Z287" s="69"/>
      <c r="AA287" s="70">
        <f>IFERROR(VLOOKUP(factures[[#This Row],[DT Prestation Gaz]],presta_gaz[#Data],2,0),0)</f>
        <v>0</v>
      </c>
      <c r="AB287" s="69"/>
      <c r="AC287" s="69" t="s">
        <v>73</v>
      </c>
      <c r="AD287" s="70">
        <v>36.99</v>
      </c>
      <c r="AE287" s="70">
        <f>IFERROR(factures[[#This Row],[Plvts ]]*factures[[#This Row],[Prix Analyses]],0)</f>
        <v>0</v>
      </c>
      <c r="AF287" s="70">
        <f>factures[[#This Row],[Prix Prestation Amiante 1]]+factures[[#This Row],[Prix Prestation Amiante 2]]+factures[[#This Row],[Prix Prestation Gaz]]+factures[[#This Row],[Prix analyses HT]]</f>
        <v>36.99</v>
      </c>
      <c r="AG287" s="69" t="s">
        <v>1841</v>
      </c>
      <c r="AH287" s="86" t="s">
        <v>1842</v>
      </c>
      <c r="AI287" s="69"/>
    </row>
    <row r="288" spans="1:35" ht="51" x14ac:dyDescent="0.3">
      <c r="A288" s="92" t="s">
        <v>1684</v>
      </c>
      <c r="B288" s="72">
        <v>78130</v>
      </c>
      <c r="C288" s="69" t="s">
        <v>553</v>
      </c>
      <c r="D288" s="69" t="s">
        <v>554</v>
      </c>
      <c r="E288" s="69">
        <v>402</v>
      </c>
      <c r="F288" s="69">
        <v>4</v>
      </c>
      <c r="G288" s="69">
        <v>2</v>
      </c>
      <c r="H288" s="69">
        <v>51545</v>
      </c>
      <c r="I288" s="69">
        <v>1021</v>
      </c>
      <c r="J288" s="69" t="s">
        <v>1531</v>
      </c>
      <c r="K288" s="69"/>
      <c r="L288" s="69" t="s">
        <v>1685</v>
      </c>
      <c r="M288" s="71">
        <v>43685</v>
      </c>
      <c r="N288" s="69" t="s">
        <v>84</v>
      </c>
      <c r="O288" s="71">
        <v>43686</v>
      </c>
      <c r="P288" s="69"/>
      <c r="Q288" s="69" t="s">
        <v>77</v>
      </c>
      <c r="R288" s="73" t="s">
        <v>1686</v>
      </c>
      <c r="S288" s="69">
        <v>958053</v>
      </c>
      <c r="T288" s="69"/>
      <c r="U288" s="69" t="s">
        <v>1711</v>
      </c>
      <c r="V288" s="69" t="s">
        <v>55</v>
      </c>
      <c r="W288" s="70">
        <v>55.49</v>
      </c>
      <c r="X288" s="69" t="s">
        <v>53</v>
      </c>
      <c r="Y288" s="70">
        <v>60.11</v>
      </c>
      <c r="Z288" s="69" t="s">
        <v>61</v>
      </c>
      <c r="AA288" s="70">
        <v>41.62</v>
      </c>
      <c r="AB288" s="69">
        <v>10</v>
      </c>
      <c r="AC288" s="69" t="s">
        <v>73</v>
      </c>
      <c r="AD288" s="70">
        <v>36.99</v>
      </c>
      <c r="AE288" s="70">
        <f>IFERROR(factures[[#This Row],[Plvts ]]*factures[[#This Row],[Prix Analyses]],0)</f>
        <v>369.90000000000003</v>
      </c>
      <c r="AF288" s="70">
        <f>factures[[#This Row],[Prix Prestation Amiante 1]]+factures[[#This Row],[Prix Prestation Amiante 2]]+factures[[#This Row],[Prix Prestation Gaz]]+factures[[#This Row],[Prix analyses HT]]</f>
        <v>527.12</v>
      </c>
      <c r="AG288" s="69" t="s">
        <v>2072</v>
      </c>
      <c r="AH288" s="86" t="s">
        <v>2070</v>
      </c>
      <c r="AI288" s="69"/>
    </row>
    <row r="289" spans="1:35" ht="91.8" x14ac:dyDescent="0.3">
      <c r="A289" s="92" t="s">
        <v>1688</v>
      </c>
      <c r="B289" s="72">
        <v>78570</v>
      </c>
      <c r="C289" s="69" t="s">
        <v>568</v>
      </c>
      <c r="D289" s="69" t="s">
        <v>805</v>
      </c>
      <c r="E289" s="69">
        <v>304</v>
      </c>
      <c r="F289" s="69">
        <v>3</v>
      </c>
      <c r="G289" s="69">
        <v>5</v>
      </c>
      <c r="H289" s="69">
        <v>52383</v>
      </c>
      <c r="I289" s="69">
        <v>9288</v>
      </c>
      <c r="J289" s="69" t="s">
        <v>1689</v>
      </c>
      <c r="K289" s="69"/>
      <c r="L289" s="69" t="s">
        <v>1690</v>
      </c>
      <c r="M289" s="71">
        <v>43686</v>
      </c>
      <c r="N289" s="69" t="s">
        <v>84</v>
      </c>
      <c r="O289" s="71">
        <v>43689</v>
      </c>
      <c r="P289" s="69"/>
      <c r="Q289" s="69" t="s">
        <v>77</v>
      </c>
      <c r="R289" s="73" t="s">
        <v>1691</v>
      </c>
      <c r="S289" s="69">
        <v>958244</v>
      </c>
      <c r="T289" s="69"/>
      <c r="U289" s="69" t="s">
        <v>1777</v>
      </c>
      <c r="V289" s="69" t="s">
        <v>55</v>
      </c>
      <c r="W289" s="70">
        <v>55.49</v>
      </c>
      <c r="X289" s="69" t="s">
        <v>54</v>
      </c>
      <c r="Y289" s="70">
        <v>69.36</v>
      </c>
      <c r="Z289" s="69" t="s">
        <v>62</v>
      </c>
      <c r="AA289" s="70">
        <v>49.01</v>
      </c>
      <c r="AB289" s="69">
        <v>13</v>
      </c>
      <c r="AC289" s="69" t="s">
        <v>73</v>
      </c>
      <c r="AD289" s="70">
        <v>36.99</v>
      </c>
      <c r="AE289" s="70">
        <f>IFERROR(factures[[#This Row],[Plvts ]]*factures[[#This Row],[Prix Analyses]],0)</f>
        <v>480.87</v>
      </c>
      <c r="AF289" s="70">
        <f>factures[[#This Row],[Prix Prestation Amiante 1]]+factures[[#This Row],[Prix Prestation Amiante 2]]+factures[[#This Row],[Prix Prestation Gaz]]+factures[[#This Row],[Prix analyses HT]]</f>
        <v>654.73</v>
      </c>
      <c r="AG289" s="69" t="s">
        <v>2083</v>
      </c>
      <c r="AH289" s="86" t="s">
        <v>2070</v>
      </c>
      <c r="AI289" s="69"/>
    </row>
    <row r="290" spans="1:35" ht="108" x14ac:dyDescent="0.3">
      <c r="A290" s="92" t="s">
        <v>1692</v>
      </c>
      <c r="B290" s="72">
        <v>78540</v>
      </c>
      <c r="C290" s="69" t="s">
        <v>351</v>
      </c>
      <c r="D290" s="69" t="s">
        <v>1693</v>
      </c>
      <c r="E290" s="69">
        <v>102</v>
      </c>
      <c r="F290" s="69">
        <v>1</v>
      </c>
      <c r="G290" s="69">
        <v>3</v>
      </c>
      <c r="H290" s="69">
        <v>52911</v>
      </c>
      <c r="I290" s="69">
        <v>9700</v>
      </c>
      <c r="J290" s="69" t="s">
        <v>1463</v>
      </c>
      <c r="K290" s="69"/>
      <c r="L290" s="69" t="s">
        <v>1694</v>
      </c>
      <c r="M290" s="71">
        <v>43686</v>
      </c>
      <c r="N290" s="69" t="s">
        <v>84</v>
      </c>
      <c r="O290" s="71">
        <v>43704</v>
      </c>
      <c r="P290" s="69"/>
      <c r="Q290" s="69" t="s">
        <v>77</v>
      </c>
      <c r="R290" s="73" t="s">
        <v>1695</v>
      </c>
      <c r="S290" s="69">
        <v>958246</v>
      </c>
      <c r="T290" s="92" t="s">
        <v>1807</v>
      </c>
      <c r="U290" s="69" t="s">
        <v>1837</v>
      </c>
      <c r="V290" s="69" t="s">
        <v>55</v>
      </c>
      <c r="W290" s="70">
        <v>55.49</v>
      </c>
      <c r="X290" s="69" t="s">
        <v>53</v>
      </c>
      <c r="Y290" s="70">
        <v>60.11</v>
      </c>
      <c r="Z290" s="69" t="s">
        <v>61</v>
      </c>
      <c r="AA290" s="70">
        <v>41.62</v>
      </c>
      <c r="AB290" s="69">
        <v>6</v>
      </c>
      <c r="AC290" s="69" t="s">
        <v>73</v>
      </c>
      <c r="AD290" s="70">
        <v>36.99</v>
      </c>
      <c r="AE290" s="70">
        <f>IFERROR(factures[[#This Row],[Plvts ]]*factures[[#This Row],[Prix Analyses]],0)</f>
        <v>221.94</v>
      </c>
      <c r="AF290" s="70">
        <f>factures[[#This Row],[Prix Prestation Amiante 1]]+factures[[#This Row],[Prix Prestation Amiante 2]]+factures[[#This Row],[Prix Prestation Gaz]]+factures[[#This Row],[Prix analyses HT]]</f>
        <v>379.15999999999997</v>
      </c>
      <c r="AG290" s="69" t="s">
        <v>1910</v>
      </c>
      <c r="AH290" s="86" t="s">
        <v>1902</v>
      </c>
      <c r="AI290" s="69"/>
    </row>
    <row r="291" spans="1:35" ht="36" x14ac:dyDescent="0.3">
      <c r="A291" s="92" t="s">
        <v>1696</v>
      </c>
      <c r="B291" s="72">
        <v>92110</v>
      </c>
      <c r="C291" s="69" t="s">
        <v>1026</v>
      </c>
      <c r="D291" s="69" t="s">
        <v>1613</v>
      </c>
      <c r="E291" s="69">
        <v>522</v>
      </c>
      <c r="F291" s="69">
        <v>5</v>
      </c>
      <c r="G291" s="69">
        <v>4</v>
      </c>
      <c r="H291" s="69">
        <v>45378</v>
      </c>
      <c r="I291" s="69">
        <v>894</v>
      </c>
      <c r="J291" s="69" t="s">
        <v>1697</v>
      </c>
      <c r="K291" s="69"/>
      <c r="L291" s="69" t="s">
        <v>1698</v>
      </c>
      <c r="M291" s="71">
        <v>43686</v>
      </c>
      <c r="N291" s="69" t="s">
        <v>70</v>
      </c>
      <c r="O291" s="71">
        <v>43690</v>
      </c>
      <c r="P291" s="69" t="s">
        <v>170</v>
      </c>
      <c r="Q291" s="92" t="s">
        <v>77</v>
      </c>
      <c r="R291" s="73" t="s">
        <v>1699</v>
      </c>
      <c r="S291" s="69">
        <v>958304</v>
      </c>
      <c r="T291" s="69"/>
      <c r="U291" s="69" t="s">
        <v>1736</v>
      </c>
      <c r="V291" s="69" t="s">
        <v>54</v>
      </c>
      <c r="W291" s="70">
        <v>69.36</v>
      </c>
      <c r="X291" s="69"/>
      <c r="Y291" s="70">
        <f>IFERROR(VLOOKUP(factures[[#This Row],[DT Prestation Amiante 2]],presta_amiante2[#Data],2,0),0)</f>
        <v>0</v>
      </c>
      <c r="Z291" s="69"/>
      <c r="AA291" s="70">
        <f>IFERROR(VLOOKUP(factures[[#This Row],[DT Prestation Gaz]],presta_gaz[#Data],2,0),0)</f>
        <v>0</v>
      </c>
      <c r="AB291" s="69">
        <v>5</v>
      </c>
      <c r="AC291" s="69" t="s">
        <v>73</v>
      </c>
      <c r="AD291" s="70">
        <v>36.99</v>
      </c>
      <c r="AE291" s="70">
        <f>IFERROR(factures[[#This Row],[Plvts ]]*factures[[#This Row],[Prix Analyses]],0)</f>
        <v>184.95000000000002</v>
      </c>
      <c r="AF291" s="70">
        <f>factures[[#This Row],[Prix Prestation Amiante 1]]+factures[[#This Row],[Prix Prestation Amiante 2]]+factures[[#This Row],[Prix Prestation Gaz]]+factures[[#This Row],[Prix analyses HT]]</f>
        <v>254.31</v>
      </c>
      <c r="AG291" s="69" t="s">
        <v>1843</v>
      </c>
      <c r="AH291" s="86" t="s">
        <v>1842</v>
      </c>
      <c r="AI291" s="69"/>
    </row>
    <row r="292" spans="1:35" ht="48" x14ac:dyDescent="0.3">
      <c r="A292" s="92" t="s">
        <v>1700</v>
      </c>
      <c r="B292" s="72">
        <v>92100</v>
      </c>
      <c r="C292" s="69" t="s">
        <v>133</v>
      </c>
      <c r="D292" s="69" t="s">
        <v>134</v>
      </c>
      <c r="E292" s="69">
        <v>43</v>
      </c>
      <c r="F292" s="69">
        <v>4</v>
      </c>
      <c r="G292" s="69">
        <v>2</v>
      </c>
      <c r="H292" s="69">
        <v>60784</v>
      </c>
      <c r="I292" s="69">
        <v>753</v>
      </c>
      <c r="J292" s="88" t="s">
        <v>1729</v>
      </c>
      <c r="K292" s="69"/>
      <c r="L292" s="69" t="s">
        <v>1701</v>
      </c>
      <c r="M292" s="71">
        <v>43686</v>
      </c>
      <c r="N292" s="69" t="s">
        <v>1808</v>
      </c>
      <c r="O292" s="71">
        <v>43710</v>
      </c>
      <c r="P292" s="69"/>
      <c r="Q292" s="69" t="s">
        <v>77</v>
      </c>
      <c r="R292" s="73" t="s">
        <v>1861</v>
      </c>
      <c r="S292" s="69">
        <v>958310</v>
      </c>
      <c r="T292" s="69"/>
      <c r="U292" s="69" t="s">
        <v>1883</v>
      </c>
      <c r="V292" s="69" t="s">
        <v>53</v>
      </c>
      <c r="W292" s="70">
        <v>60.11</v>
      </c>
      <c r="X292" s="69" t="s">
        <v>93</v>
      </c>
      <c r="Y292" s="70">
        <v>80.459999999999994</v>
      </c>
      <c r="Z292" s="69"/>
      <c r="AA292" s="70">
        <f>IFERROR(VLOOKUP(factures[[#This Row],[DT Prestation Gaz]],presta_gaz[#Data],2,0),0)</f>
        <v>0</v>
      </c>
      <c r="AB292" s="69">
        <v>5</v>
      </c>
      <c r="AC292" s="69" t="s">
        <v>73</v>
      </c>
      <c r="AD292" s="70">
        <v>36.99</v>
      </c>
      <c r="AE292" s="70">
        <f>IFERROR(factures[[#This Row],[Plvts ]]*factures[[#This Row],[Prix Analyses]],0)</f>
        <v>184.95000000000002</v>
      </c>
      <c r="AF292" s="70">
        <f>factures[[#This Row],[Prix Prestation Amiante 1]]+factures[[#This Row],[Prix Prestation Amiante 2]]+factures[[#This Row],[Prix Prestation Gaz]]+factures[[#This Row],[Prix analyses HT]]</f>
        <v>325.52</v>
      </c>
      <c r="AG292" s="69" t="s">
        <v>1997</v>
      </c>
      <c r="AH292" s="86" t="s">
        <v>1998</v>
      </c>
      <c r="AI292" s="69"/>
    </row>
    <row r="293" spans="1:35" ht="108" x14ac:dyDescent="0.3">
      <c r="A293" s="92" t="s">
        <v>1714</v>
      </c>
      <c r="B293" s="72">
        <v>78540</v>
      </c>
      <c r="C293" s="69" t="s">
        <v>351</v>
      </c>
      <c r="D293" s="69" t="s">
        <v>639</v>
      </c>
      <c r="E293" s="69">
        <v>202</v>
      </c>
      <c r="F293" s="69">
        <v>2</v>
      </c>
      <c r="G293" s="69">
        <v>3</v>
      </c>
      <c r="H293" s="69">
        <v>52943</v>
      </c>
      <c r="I293" s="69">
        <v>970</v>
      </c>
      <c r="J293" s="88" t="s">
        <v>1713</v>
      </c>
      <c r="K293" s="69" t="s">
        <v>1803</v>
      </c>
      <c r="L293" s="69" t="s">
        <v>1715</v>
      </c>
      <c r="M293" s="71">
        <v>43689</v>
      </c>
      <c r="N293" s="69" t="s">
        <v>84</v>
      </c>
      <c r="O293" s="71"/>
      <c r="P293" s="69"/>
      <c r="Q293" s="69" t="s">
        <v>77</v>
      </c>
      <c r="R293" s="73" t="s">
        <v>1716</v>
      </c>
      <c r="S293" s="69">
        <v>958436</v>
      </c>
      <c r="T293" s="69"/>
      <c r="U293" s="69" t="s">
        <v>1804</v>
      </c>
      <c r="V293" s="69" t="s">
        <v>55</v>
      </c>
      <c r="W293" s="70">
        <v>55.49</v>
      </c>
      <c r="X293" s="69" t="s">
        <v>53</v>
      </c>
      <c r="Y293" s="70">
        <v>60.11</v>
      </c>
      <c r="Z293" s="69" t="s">
        <v>61</v>
      </c>
      <c r="AA293" s="70">
        <v>41.62</v>
      </c>
      <c r="AB293" s="69">
        <v>11</v>
      </c>
      <c r="AC293" s="69" t="s">
        <v>73</v>
      </c>
      <c r="AD293" s="70">
        <v>36.99</v>
      </c>
      <c r="AE293" s="70">
        <f>IFERROR(factures[[#This Row],[Plvts ]]*factures[[#This Row],[Prix Analyses]],0)</f>
        <v>406.89000000000004</v>
      </c>
      <c r="AF293" s="70">
        <f>factures[[#This Row],[Prix Prestation Amiante 1]]+factures[[#This Row],[Prix Prestation Amiante 2]]+factures[[#This Row],[Prix Prestation Gaz]]+factures[[#This Row],[Prix analyses HT]]</f>
        <v>564.11</v>
      </c>
      <c r="AG293" s="69" t="s">
        <v>2084</v>
      </c>
      <c r="AH293" s="86" t="s">
        <v>2070</v>
      </c>
      <c r="AI293" s="69"/>
    </row>
    <row r="294" spans="1:35" ht="84" x14ac:dyDescent="0.3">
      <c r="A294" s="92" t="s">
        <v>548</v>
      </c>
      <c r="B294" s="72">
        <v>92600</v>
      </c>
      <c r="C294" s="69" t="s">
        <v>609</v>
      </c>
      <c r="D294" s="69" t="s">
        <v>549</v>
      </c>
      <c r="E294" s="69">
        <v>404</v>
      </c>
      <c r="F294" s="69">
        <v>4</v>
      </c>
      <c r="G294" s="69">
        <v>3</v>
      </c>
      <c r="H294" s="69">
        <v>31368</v>
      </c>
      <c r="I294" s="69">
        <v>440</v>
      </c>
      <c r="J294" s="69" t="s">
        <v>621</v>
      </c>
      <c r="K294" s="69"/>
      <c r="L294" s="69" t="s">
        <v>1717</v>
      </c>
      <c r="M294" s="71">
        <v>43689</v>
      </c>
      <c r="N294" s="69" t="s">
        <v>70</v>
      </c>
      <c r="O294" s="71"/>
      <c r="P294" s="69"/>
      <c r="Q294" s="69" t="s">
        <v>77</v>
      </c>
      <c r="R294" s="73" t="s">
        <v>1718</v>
      </c>
      <c r="S294" s="69">
        <v>958343</v>
      </c>
      <c r="T294" s="92" t="s">
        <v>1738</v>
      </c>
      <c r="U294" s="69" t="s">
        <v>1790</v>
      </c>
      <c r="V294" s="69" t="s">
        <v>53</v>
      </c>
      <c r="W294" s="70">
        <v>60.11</v>
      </c>
      <c r="X294" s="69"/>
      <c r="Y294" s="70">
        <f>IFERROR(VLOOKUP(factures[[#This Row],[DT Prestation Amiante 2]],presta_amiante2[#Data],2,0),0)</f>
        <v>0</v>
      </c>
      <c r="Z294" s="69"/>
      <c r="AA294" s="70">
        <f>IFERROR(VLOOKUP(factures[[#This Row],[DT Prestation Gaz]],presta_gaz[#Data],2,0),0)</f>
        <v>0</v>
      </c>
      <c r="AB294" s="69">
        <v>1</v>
      </c>
      <c r="AC294" s="69" t="s">
        <v>73</v>
      </c>
      <c r="AD294" s="70">
        <v>36.99</v>
      </c>
      <c r="AE294" s="70">
        <f>IFERROR(factures[[#This Row],[Plvts ]]*factures[[#This Row],[Prix Analyses]],0)</f>
        <v>36.99</v>
      </c>
      <c r="AF294" s="70">
        <f>factures[[#This Row],[Prix Prestation Amiante 1]]+factures[[#This Row],[Prix Prestation Amiante 2]]+factures[[#This Row],[Prix Prestation Gaz]]+factures[[#This Row],[Prix analyses HT]]</f>
        <v>97.1</v>
      </c>
      <c r="AG294" s="69" t="s">
        <v>1911</v>
      </c>
      <c r="AH294" s="86" t="s">
        <v>1902</v>
      </c>
      <c r="AI294" s="69"/>
    </row>
    <row r="295" spans="1:35" ht="60" x14ac:dyDescent="0.3">
      <c r="A295" s="92" t="s">
        <v>1719</v>
      </c>
      <c r="B295" s="72">
        <v>78200</v>
      </c>
      <c r="C295" s="69" t="s">
        <v>189</v>
      </c>
      <c r="D295" s="69" t="s">
        <v>1344</v>
      </c>
      <c r="E295" s="69">
        <v>1</v>
      </c>
      <c r="F295" s="69" t="s">
        <v>816</v>
      </c>
      <c r="G295" s="69">
        <v>3</v>
      </c>
      <c r="H295" s="69">
        <v>43458</v>
      </c>
      <c r="I295" s="69">
        <v>861</v>
      </c>
      <c r="J295" s="69" t="s">
        <v>1720</v>
      </c>
      <c r="K295" s="69" t="s">
        <v>1737</v>
      </c>
      <c r="L295" s="69" t="s">
        <v>1721</v>
      </c>
      <c r="M295" s="71">
        <v>43689</v>
      </c>
      <c r="N295" s="69" t="s">
        <v>70</v>
      </c>
      <c r="O295" s="71">
        <v>43691</v>
      </c>
      <c r="P295" s="69" t="s">
        <v>131</v>
      </c>
      <c r="Q295" s="92" t="s">
        <v>77</v>
      </c>
      <c r="R295" s="73" t="s">
        <v>1806</v>
      </c>
      <c r="S295" s="69">
        <v>958449</v>
      </c>
      <c r="T295" s="69"/>
      <c r="U295" s="69" t="s">
        <v>1747</v>
      </c>
      <c r="V295" s="69" t="s">
        <v>53</v>
      </c>
      <c r="W295" s="70">
        <v>60.11</v>
      </c>
      <c r="X295" s="69"/>
      <c r="Y295" s="70">
        <f>IFERROR(VLOOKUP(factures[[#This Row],[DT Prestation Amiante 2]],presta_amiante2[#Data],2,0),0)</f>
        <v>0</v>
      </c>
      <c r="Z295" s="69"/>
      <c r="AA295" s="70">
        <f>IFERROR(VLOOKUP(factures[[#This Row],[DT Prestation Gaz]],presta_gaz[#Data],2,0),0)</f>
        <v>0</v>
      </c>
      <c r="AB295" s="69">
        <v>3</v>
      </c>
      <c r="AC295" s="69" t="s">
        <v>73</v>
      </c>
      <c r="AD295" s="70">
        <v>36.99</v>
      </c>
      <c r="AE295" s="70">
        <f>IFERROR(factures[[#This Row],[Plvts ]]*factures[[#This Row],[Prix Analyses]],0)</f>
        <v>110.97</v>
      </c>
      <c r="AF295" s="70">
        <f>factures[[#This Row],[Prix Prestation Amiante 1]]+factures[[#This Row],[Prix Prestation Amiante 2]]+factures[[#This Row],[Prix Prestation Gaz]]+factures[[#This Row],[Prix analyses HT]]</f>
        <v>171.07999999999998</v>
      </c>
      <c r="AG295" s="69" t="s">
        <v>1833</v>
      </c>
      <c r="AH295" s="86" t="s">
        <v>1822</v>
      </c>
      <c r="AI295" s="69"/>
    </row>
    <row r="296" spans="1:35" ht="36" x14ac:dyDescent="0.3">
      <c r="A296" s="92" t="s">
        <v>315</v>
      </c>
      <c r="B296" s="72">
        <v>78200</v>
      </c>
      <c r="C296" s="69" t="s">
        <v>189</v>
      </c>
      <c r="D296" s="69" t="s">
        <v>1397</v>
      </c>
      <c r="E296" s="69">
        <v>1702</v>
      </c>
      <c r="F296" s="69">
        <v>17</v>
      </c>
      <c r="G296" s="69">
        <v>2</v>
      </c>
      <c r="H296" s="69">
        <v>43558</v>
      </c>
      <c r="I296" s="69">
        <v>862</v>
      </c>
      <c r="J296" s="69" t="s">
        <v>1633</v>
      </c>
      <c r="K296" s="69"/>
      <c r="L296" s="69" t="s">
        <v>1722</v>
      </c>
      <c r="M296" s="71">
        <v>43689</v>
      </c>
      <c r="N296" s="69" t="s">
        <v>83</v>
      </c>
      <c r="O296" s="71">
        <v>43691</v>
      </c>
      <c r="P296" s="69" t="s">
        <v>131</v>
      </c>
      <c r="Q296" s="92" t="s">
        <v>77</v>
      </c>
      <c r="R296" s="85" t="s">
        <v>1723</v>
      </c>
      <c r="S296" s="69">
        <v>958097</v>
      </c>
      <c r="T296" s="69"/>
      <c r="U296" s="69" t="s">
        <v>1748</v>
      </c>
      <c r="V296" s="69" t="s">
        <v>55</v>
      </c>
      <c r="W296" s="70">
        <v>55.49</v>
      </c>
      <c r="X296" s="69" t="s">
        <v>53</v>
      </c>
      <c r="Y296" s="70">
        <v>60.11</v>
      </c>
      <c r="Z296" s="69"/>
      <c r="AA296" s="70">
        <f>IFERROR(VLOOKUP(factures[[#This Row],[DT Prestation Gaz]],presta_gaz[#Data],2,0),0)</f>
        <v>0</v>
      </c>
      <c r="AB296" s="69">
        <v>8</v>
      </c>
      <c r="AC296" s="69" t="s">
        <v>73</v>
      </c>
      <c r="AD296" s="70">
        <v>36.99</v>
      </c>
      <c r="AE296" s="70">
        <f>IFERROR(factures[[#This Row],[Plvts ]]*factures[[#This Row],[Prix Analyses]],0)</f>
        <v>295.92</v>
      </c>
      <c r="AF296" s="70">
        <f>factures[[#This Row],[Prix Prestation Amiante 1]]+factures[[#This Row],[Prix Prestation Amiante 2]]+factures[[#This Row],[Prix Prestation Gaz]]+factures[[#This Row],[Prix analyses HT]]</f>
        <v>411.52</v>
      </c>
      <c r="AG296" s="69" t="s">
        <v>1834</v>
      </c>
      <c r="AH296" s="86" t="s">
        <v>1822</v>
      </c>
      <c r="AI296" s="69"/>
    </row>
    <row r="297" spans="1:35" ht="36" x14ac:dyDescent="0.3">
      <c r="A297" s="92" t="s">
        <v>1725</v>
      </c>
      <c r="B297" s="72">
        <v>78180</v>
      </c>
      <c r="C297" s="69" t="s">
        <v>115</v>
      </c>
      <c r="D297" s="69" t="s">
        <v>1726</v>
      </c>
      <c r="E297" s="69">
        <v>303</v>
      </c>
      <c r="F297" s="69">
        <v>3</v>
      </c>
      <c r="G297" s="69">
        <v>2</v>
      </c>
      <c r="H297" s="69">
        <v>31820</v>
      </c>
      <c r="I297" s="69">
        <v>454</v>
      </c>
      <c r="J297" s="69" t="s">
        <v>1362</v>
      </c>
      <c r="K297" s="69"/>
      <c r="L297" s="69" t="s">
        <v>1727</v>
      </c>
      <c r="M297" s="71">
        <v>43689</v>
      </c>
      <c r="N297" s="69" t="s">
        <v>70</v>
      </c>
      <c r="O297" s="71">
        <v>43690</v>
      </c>
      <c r="P297" s="69"/>
      <c r="Q297" s="92" t="s">
        <v>77</v>
      </c>
      <c r="R297" s="73" t="s">
        <v>1728</v>
      </c>
      <c r="S297" s="69">
        <v>958567</v>
      </c>
      <c r="T297" s="69"/>
      <c r="U297" s="69" t="s">
        <v>1742</v>
      </c>
      <c r="V297" s="69" t="s">
        <v>53</v>
      </c>
      <c r="W297" s="70">
        <v>60.11</v>
      </c>
      <c r="X297" s="69"/>
      <c r="Y297" s="70">
        <f>IFERROR(VLOOKUP(factures[[#This Row],[DT Prestation Amiante 2]],presta_amiante2[#Data],2,0),0)</f>
        <v>0</v>
      </c>
      <c r="Z297" s="69"/>
      <c r="AA297" s="70">
        <f>IFERROR(VLOOKUP(factures[[#This Row],[DT Prestation Gaz]],presta_gaz[#Data],2,0),0)</f>
        <v>0</v>
      </c>
      <c r="AB297" s="69">
        <v>2</v>
      </c>
      <c r="AC297" s="69" t="s">
        <v>73</v>
      </c>
      <c r="AD297" s="70">
        <v>36.99</v>
      </c>
      <c r="AE297" s="70">
        <f>IFERROR(factures[[#This Row],[Plvts ]]*factures[[#This Row],[Prix Analyses]],0)</f>
        <v>73.98</v>
      </c>
      <c r="AF297" s="70">
        <f>factures[[#This Row],[Prix Prestation Amiante 1]]+factures[[#This Row],[Prix Prestation Amiante 2]]+factures[[#This Row],[Prix Prestation Gaz]]+factures[[#This Row],[Prix analyses HT]]</f>
        <v>134.09</v>
      </c>
      <c r="AG297" s="69" t="s">
        <v>1835</v>
      </c>
      <c r="AH297" s="86" t="s">
        <v>1822</v>
      </c>
      <c r="AI297" s="69"/>
    </row>
    <row r="298" spans="1:35" ht="36" x14ac:dyDescent="0.3">
      <c r="A298" s="92" t="s">
        <v>383</v>
      </c>
      <c r="B298" s="72">
        <v>78200</v>
      </c>
      <c r="C298" s="69" t="s">
        <v>189</v>
      </c>
      <c r="D298" s="69" t="s">
        <v>190</v>
      </c>
      <c r="E298" s="69">
        <v>201</v>
      </c>
      <c r="F298" s="69">
        <v>2</v>
      </c>
      <c r="G298" s="69">
        <v>3</v>
      </c>
      <c r="H298" s="69">
        <v>10441</v>
      </c>
      <c r="I298" s="69">
        <v>161</v>
      </c>
      <c r="J298" s="69" t="s">
        <v>1866</v>
      </c>
      <c r="K298" s="69"/>
      <c r="L298" s="69" t="s">
        <v>1758</v>
      </c>
      <c r="M298" s="71">
        <v>43696</v>
      </c>
      <c r="N298" s="69" t="s">
        <v>84</v>
      </c>
      <c r="O298" s="71">
        <v>43698</v>
      </c>
      <c r="P298" s="69"/>
      <c r="Q298" s="69" t="s">
        <v>77</v>
      </c>
      <c r="R298" s="73" t="s">
        <v>1867</v>
      </c>
      <c r="S298" s="69">
        <v>954872</v>
      </c>
      <c r="T298" s="69"/>
      <c r="U298" s="69" t="s">
        <v>1939</v>
      </c>
      <c r="V298" s="69" t="s">
        <v>55</v>
      </c>
      <c r="W298" s="70">
        <f>IFERROR(VLOOKUP(factures[[#This Row],[DT Prestation Amiante 1]],presta_amiante1[#Data],2,0),0)</f>
        <v>55.49</v>
      </c>
      <c r="X298" s="69" t="s">
        <v>53</v>
      </c>
      <c r="Y298" s="70">
        <f>IFERROR(VLOOKUP(factures[[#This Row],[DT Prestation Amiante 2]],presta_amiante2[#Data],2,0),0)</f>
        <v>60.11</v>
      </c>
      <c r="Z298" s="69" t="s">
        <v>61</v>
      </c>
      <c r="AA298" s="70">
        <f>IFERROR(VLOOKUP(factures[[#This Row],[DT Prestation Gaz]],presta_gaz[#Data],2,0),0)</f>
        <v>41.62</v>
      </c>
      <c r="AB298" s="69">
        <v>13</v>
      </c>
      <c r="AC298" s="69" t="s">
        <v>73</v>
      </c>
      <c r="AD298" s="70">
        <f>IFERROR(VLOOKUP(factures[[#This Row],[DT Analyses]],DT_analyses[#Data],2,0),0)</f>
        <v>36.99</v>
      </c>
      <c r="AE298" s="70">
        <f>IFERROR(factures[[#This Row],[Plvts ]]*factures[[#This Row],[Prix Analyses]],0)</f>
        <v>480.87</v>
      </c>
      <c r="AF298" s="70">
        <f>factures[[#This Row],[Prix Prestation Amiante 1]]+factures[[#This Row],[Prix Prestation Amiante 2]]+factures[[#This Row],[Prix Prestation Gaz]]+factures[[#This Row],[Prix analyses HT]]</f>
        <v>638.09</v>
      </c>
      <c r="AG298" s="69" t="s">
        <v>1963</v>
      </c>
      <c r="AH298" s="86" t="s">
        <v>1959</v>
      </c>
      <c r="AI298" s="69"/>
    </row>
    <row r="299" spans="1:35" ht="36" x14ac:dyDescent="0.3">
      <c r="A299" s="92" t="s">
        <v>151</v>
      </c>
      <c r="B299" s="72">
        <v>92390</v>
      </c>
      <c r="C299" s="69" t="s">
        <v>152</v>
      </c>
      <c r="D299" s="69" t="s">
        <v>153</v>
      </c>
      <c r="E299" s="69">
        <v>49</v>
      </c>
      <c r="F299" s="69">
        <v>7</v>
      </c>
      <c r="G299" s="69">
        <v>3</v>
      </c>
      <c r="H299" s="69">
        <v>6420</v>
      </c>
      <c r="I299" s="69">
        <v>9213</v>
      </c>
      <c r="J299" s="69" t="s">
        <v>1865</v>
      </c>
      <c r="K299" s="69"/>
      <c r="L299" s="69" t="s">
        <v>1759</v>
      </c>
      <c r="M299" s="71">
        <v>43696</v>
      </c>
      <c r="N299" s="69" t="s">
        <v>70</v>
      </c>
      <c r="O299" s="71"/>
      <c r="P299" s="69"/>
      <c r="Q299" s="69" t="s">
        <v>77</v>
      </c>
      <c r="R299" s="73" t="s">
        <v>1760</v>
      </c>
      <c r="S299" s="69">
        <v>959157</v>
      </c>
      <c r="T299" s="69"/>
      <c r="U299" s="69" t="s">
        <v>1791</v>
      </c>
      <c r="V299" s="69" t="s">
        <v>53</v>
      </c>
      <c r="W299" s="70">
        <v>60.11</v>
      </c>
      <c r="X299" s="69"/>
      <c r="Y299" s="70">
        <f>IFERROR(VLOOKUP(factures[[#This Row],[DT Prestation Amiante 2]],presta_amiante2[#Data],2,0),0)</f>
        <v>0</v>
      </c>
      <c r="Z299" s="69"/>
      <c r="AA299" s="70">
        <f>IFERROR(VLOOKUP(factures[[#This Row],[DT Prestation Gaz]],presta_gaz[#Data],2,0),0)</f>
        <v>0</v>
      </c>
      <c r="AB299" s="69">
        <v>5</v>
      </c>
      <c r="AC299" s="69" t="s">
        <v>73</v>
      </c>
      <c r="AD299" s="70">
        <v>36.99</v>
      </c>
      <c r="AE299" s="70">
        <f>IFERROR(factures[[#This Row],[Plvts ]]*factures[[#This Row],[Prix Analyses]],0)</f>
        <v>184.95000000000002</v>
      </c>
      <c r="AF299" s="70">
        <f>factures[[#This Row],[Prix Prestation Amiante 1]]+factures[[#This Row],[Prix Prestation Amiante 2]]+factures[[#This Row],[Prix Prestation Gaz]]+factures[[#This Row],[Prix analyses HT]]</f>
        <v>245.06</v>
      </c>
      <c r="AG299" s="69" t="s">
        <v>1912</v>
      </c>
      <c r="AH299" s="86" t="s">
        <v>1902</v>
      </c>
      <c r="AI299" s="69"/>
    </row>
    <row r="300" spans="1:35" ht="36" x14ac:dyDescent="0.3">
      <c r="A300" s="92" t="s">
        <v>1761</v>
      </c>
      <c r="B300" s="72">
        <v>92260</v>
      </c>
      <c r="C300" s="69" t="s">
        <v>500</v>
      </c>
      <c r="D300" s="69" t="s">
        <v>159</v>
      </c>
      <c r="E300" s="69">
        <v>401</v>
      </c>
      <c r="F300" s="69">
        <v>4</v>
      </c>
      <c r="G300" s="69">
        <v>4</v>
      </c>
      <c r="H300" s="69">
        <v>63248</v>
      </c>
      <c r="I300" s="69">
        <v>9216</v>
      </c>
      <c r="J300" s="69" t="s">
        <v>512</v>
      </c>
      <c r="K300" s="69"/>
      <c r="L300" s="69" t="s">
        <v>1762</v>
      </c>
      <c r="M300" s="71">
        <v>43696</v>
      </c>
      <c r="N300" s="69" t="s">
        <v>70</v>
      </c>
      <c r="O300" s="69"/>
      <c r="P300" s="69"/>
      <c r="Q300" s="69" t="s">
        <v>77</v>
      </c>
      <c r="R300" s="73" t="s">
        <v>1763</v>
      </c>
      <c r="S300" s="69">
        <v>959190</v>
      </c>
      <c r="T300" s="69"/>
      <c r="U300" s="69" t="s">
        <v>1805</v>
      </c>
      <c r="V300" s="69" t="s">
        <v>54</v>
      </c>
      <c r="W300" s="70">
        <v>69.36</v>
      </c>
      <c r="X300" s="69"/>
      <c r="Y300" s="70">
        <f>IFERROR(VLOOKUP(factures[[#This Row],[DT Prestation Amiante 2]],presta_amiante2[#Data],2,0),0)</f>
        <v>0</v>
      </c>
      <c r="Z300" s="69"/>
      <c r="AA300" s="70">
        <f>IFERROR(VLOOKUP(factures[[#This Row],[DT Prestation Gaz]],presta_gaz[#Data],2,0),0)</f>
        <v>0</v>
      </c>
      <c r="AB300" s="69">
        <v>3</v>
      </c>
      <c r="AC300" s="69" t="s">
        <v>73</v>
      </c>
      <c r="AD300" s="70">
        <v>36.99</v>
      </c>
      <c r="AE300" s="70">
        <f>IFERROR(factures[[#This Row],[Plvts ]]*factures[[#This Row],[Prix Analyses]],0)</f>
        <v>110.97</v>
      </c>
      <c r="AF300" s="70">
        <f>factures[[#This Row],[Prix Prestation Amiante 1]]+factures[[#This Row],[Prix Prestation Amiante 2]]+factures[[#This Row],[Prix Prestation Gaz]]+factures[[#This Row],[Prix analyses HT]]</f>
        <v>180.32999999999998</v>
      </c>
      <c r="AG300" s="69" t="s">
        <v>1913</v>
      </c>
      <c r="AH300" s="86" t="s">
        <v>1902</v>
      </c>
      <c r="AI300" s="69"/>
    </row>
    <row r="301" spans="1:35" ht="108" x14ac:dyDescent="0.3">
      <c r="A301" s="92" t="s">
        <v>461</v>
      </c>
      <c r="B301" s="72">
        <v>78540</v>
      </c>
      <c r="C301" s="69" t="s">
        <v>351</v>
      </c>
      <c r="D301" s="69" t="s">
        <v>639</v>
      </c>
      <c r="E301" s="69">
        <v>101</v>
      </c>
      <c r="F301" s="69">
        <v>1</v>
      </c>
      <c r="G301" s="69">
        <v>4</v>
      </c>
      <c r="H301" s="69">
        <v>53220</v>
      </c>
      <c r="I301" s="69">
        <v>9700</v>
      </c>
      <c r="J301" s="69" t="s">
        <v>1770</v>
      </c>
      <c r="K301" s="69"/>
      <c r="L301" s="69" t="s">
        <v>1771</v>
      </c>
      <c r="M301" s="71">
        <v>43698</v>
      </c>
      <c r="N301" s="69" t="s">
        <v>84</v>
      </c>
      <c r="O301" s="71">
        <v>43711</v>
      </c>
      <c r="P301" s="69"/>
      <c r="Q301" s="69" t="s">
        <v>77</v>
      </c>
      <c r="R301" s="73" t="s">
        <v>1772</v>
      </c>
      <c r="S301" s="69">
        <v>959500</v>
      </c>
      <c r="T301" s="92" t="s">
        <v>1810</v>
      </c>
      <c r="U301" s="69" t="s">
        <v>1897</v>
      </c>
      <c r="V301" s="69" t="s">
        <v>55</v>
      </c>
      <c r="W301" s="70">
        <v>55.49</v>
      </c>
      <c r="X301" s="69" t="s">
        <v>54</v>
      </c>
      <c r="Y301" s="70">
        <v>69.36</v>
      </c>
      <c r="Z301" s="69" t="s">
        <v>62</v>
      </c>
      <c r="AA301" s="70">
        <v>49.01</v>
      </c>
      <c r="AB301" s="69">
        <v>10</v>
      </c>
      <c r="AC301" s="69" t="s">
        <v>73</v>
      </c>
      <c r="AD301" s="70">
        <v>36.99</v>
      </c>
      <c r="AE301" s="70">
        <f>IFERROR(factures[[#This Row],[Plvts ]]*factures[[#This Row],[Prix Analyses]],0)</f>
        <v>369.90000000000003</v>
      </c>
      <c r="AF301" s="70">
        <f>factures[[#This Row],[Prix Prestation Amiante 1]]+factures[[#This Row],[Prix Prestation Amiante 2]]+factures[[#This Row],[Prix Prestation Gaz]]+factures[[#This Row],[Prix analyses HT]]</f>
        <v>543.76</v>
      </c>
      <c r="AG301" s="69" t="s">
        <v>2085</v>
      </c>
      <c r="AH301" s="86" t="s">
        <v>2070</v>
      </c>
      <c r="AI301" s="69"/>
    </row>
    <row r="302" spans="1:35" ht="48" x14ac:dyDescent="0.3">
      <c r="A302" s="69" t="s">
        <v>548</v>
      </c>
      <c r="B302" s="72">
        <v>92600</v>
      </c>
      <c r="C302" s="69" t="s">
        <v>609</v>
      </c>
      <c r="D302" s="69" t="s">
        <v>549</v>
      </c>
      <c r="E302" s="69">
        <v>605</v>
      </c>
      <c r="F302" s="69">
        <v>6</v>
      </c>
      <c r="G302" s="69">
        <v>3</v>
      </c>
      <c r="H302" s="69">
        <v>31381</v>
      </c>
      <c r="I302" s="69">
        <v>440</v>
      </c>
      <c r="J302" s="69" t="s">
        <v>621</v>
      </c>
      <c r="K302" s="69"/>
      <c r="L302" s="69" t="s">
        <v>1773</v>
      </c>
      <c r="M302" s="71">
        <v>43698</v>
      </c>
      <c r="N302" s="69" t="s">
        <v>551</v>
      </c>
      <c r="O302" s="71">
        <v>43706</v>
      </c>
      <c r="P302" s="69"/>
      <c r="Q302" s="69" t="s">
        <v>77</v>
      </c>
      <c r="R302" s="73"/>
      <c r="S302" s="69">
        <v>959343</v>
      </c>
      <c r="T302" s="69"/>
      <c r="U302" s="69"/>
      <c r="V302" s="69" t="s">
        <v>93</v>
      </c>
      <c r="W302" s="70">
        <v>80.459999999999994</v>
      </c>
      <c r="X302" s="69"/>
      <c r="Y302" s="70">
        <f>IFERROR(VLOOKUP(factures[[#This Row],[DT Prestation Amiante 2]],presta_amiante2[#Data],2,0),0)</f>
        <v>0</v>
      </c>
      <c r="Z302" s="69"/>
      <c r="AA302" s="70">
        <f>IFERROR(VLOOKUP(factures[[#This Row],[DT Prestation Gaz]],presta_gaz[#Data],2,0),0)</f>
        <v>0</v>
      </c>
      <c r="AB302" s="69"/>
      <c r="AC302" s="69"/>
      <c r="AD302" s="70">
        <f>IFERROR(VLOOKUP(factures[[#This Row],[DT Analyses]],DT_analyses[#Data],2,0),0)</f>
        <v>0</v>
      </c>
      <c r="AE302" s="70">
        <f>IFERROR(factures[[#This Row],[Plvts ]]*factures[[#This Row],[Prix Analyses]],0)</f>
        <v>0</v>
      </c>
      <c r="AF302" s="70">
        <f>factures[[#This Row],[Prix Prestation Amiante 1]]+factures[[#This Row],[Prix Prestation Amiante 2]]+factures[[#This Row],[Prix Prestation Gaz]]+factures[[#This Row],[Prix analyses HT]]</f>
        <v>80.459999999999994</v>
      </c>
      <c r="AG302" s="69" t="s">
        <v>1914</v>
      </c>
      <c r="AH302" s="86" t="s">
        <v>1902</v>
      </c>
      <c r="AI302" s="69"/>
    </row>
    <row r="303" spans="1:35" ht="48" x14ac:dyDescent="0.3">
      <c r="A303" s="92" t="s">
        <v>221</v>
      </c>
      <c r="B303" s="72">
        <v>94400</v>
      </c>
      <c r="C303" s="69" t="s">
        <v>222</v>
      </c>
      <c r="D303" s="69" t="s">
        <v>223</v>
      </c>
      <c r="E303" s="69">
        <v>203</v>
      </c>
      <c r="F303" s="69">
        <v>2</v>
      </c>
      <c r="G303" s="69">
        <v>4</v>
      </c>
      <c r="H303" s="69">
        <v>33138</v>
      </c>
      <c r="I303" s="69">
        <v>492</v>
      </c>
      <c r="J303" s="69" t="s">
        <v>224</v>
      </c>
      <c r="K303" s="69" t="s">
        <v>1680</v>
      </c>
      <c r="L303" s="69" t="s">
        <v>1774</v>
      </c>
      <c r="M303" s="71">
        <v>43698</v>
      </c>
      <c r="N303" s="69" t="s">
        <v>70</v>
      </c>
      <c r="O303" s="71">
        <v>43703</v>
      </c>
      <c r="P303" s="69"/>
      <c r="Q303" s="69" t="s">
        <v>77</v>
      </c>
      <c r="R303" s="73" t="s">
        <v>1775</v>
      </c>
      <c r="S303" s="69">
        <v>959402</v>
      </c>
      <c r="T303" s="69"/>
      <c r="U303" s="69" t="s">
        <v>1812</v>
      </c>
      <c r="V303" s="69" t="s">
        <v>54</v>
      </c>
      <c r="W303" s="70">
        <v>69.36</v>
      </c>
      <c r="X303" s="69"/>
      <c r="Y303" s="70">
        <f>IFERROR(VLOOKUP(factures[[#This Row],[DT Prestation Amiante 2]],presta_amiante2[#Data],2,0),0)</f>
        <v>0</v>
      </c>
      <c r="Z303" s="69"/>
      <c r="AA303" s="70">
        <f>IFERROR(VLOOKUP(factures[[#This Row],[DT Prestation Gaz]],presta_gaz[#Data],2,0),0)</f>
        <v>0</v>
      </c>
      <c r="AB303" s="69">
        <v>7</v>
      </c>
      <c r="AC303" s="69" t="s">
        <v>73</v>
      </c>
      <c r="AD303" s="70">
        <v>36.99</v>
      </c>
      <c r="AE303" s="70">
        <f>IFERROR(factures[[#This Row],[Plvts ]]*factures[[#This Row],[Prix Analyses]],0)</f>
        <v>258.93</v>
      </c>
      <c r="AF303" s="70">
        <f>factures[[#This Row],[Prix Prestation Amiante 1]]+factures[[#This Row],[Prix Prestation Amiante 2]]+factures[[#This Row],[Prix Prestation Gaz]]+factures[[#This Row],[Prix analyses HT]]</f>
        <v>328.29</v>
      </c>
      <c r="AG303" s="69" t="s">
        <v>1915</v>
      </c>
      <c r="AH303" s="86" t="s">
        <v>1902</v>
      </c>
      <c r="AI303" s="69"/>
    </row>
    <row r="304" spans="1:35" ht="36" x14ac:dyDescent="0.3">
      <c r="A304" s="92" t="s">
        <v>1778</v>
      </c>
      <c r="B304" s="72">
        <v>78200</v>
      </c>
      <c r="C304" s="69" t="s">
        <v>189</v>
      </c>
      <c r="D304" s="69" t="s">
        <v>752</v>
      </c>
      <c r="E304" s="69">
        <v>2</v>
      </c>
      <c r="F304" s="69" t="s">
        <v>102</v>
      </c>
      <c r="G304" s="69">
        <v>3</v>
      </c>
      <c r="H304" s="69">
        <v>10514</v>
      </c>
      <c r="I304" s="69">
        <v>161</v>
      </c>
      <c r="J304" s="69" t="s">
        <v>1757</v>
      </c>
      <c r="K304" s="69"/>
      <c r="L304" s="69" t="s">
        <v>1779</v>
      </c>
      <c r="M304" s="71">
        <v>43698</v>
      </c>
      <c r="N304" s="69" t="s">
        <v>84</v>
      </c>
      <c r="O304" s="71">
        <v>43704</v>
      </c>
      <c r="P304" s="69"/>
      <c r="Q304" s="69" t="s">
        <v>77</v>
      </c>
      <c r="R304" s="73" t="s">
        <v>1780</v>
      </c>
      <c r="S304" s="69">
        <v>959119</v>
      </c>
      <c r="T304" s="69"/>
      <c r="U304" s="69" t="s">
        <v>1838</v>
      </c>
      <c r="V304" s="69" t="s">
        <v>55</v>
      </c>
      <c r="W304" s="70">
        <v>55.49</v>
      </c>
      <c r="X304" s="69" t="s">
        <v>53</v>
      </c>
      <c r="Y304" s="70">
        <v>60.11</v>
      </c>
      <c r="Z304" s="69" t="s">
        <v>61</v>
      </c>
      <c r="AA304" s="70">
        <v>41.62</v>
      </c>
      <c r="AB304" s="69">
        <v>10</v>
      </c>
      <c r="AC304" s="69" t="s">
        <v>73</v>
      </c>
      <c r="AD304" s="70">
        <v>36.99</v>
      </c>
      <c r="AE304" s="70">
        <f>IFERROR(factures[[#This Row],[Plvts ]]*factures[[#This Row],[Prix Analyses]],0)</f>
        <v>369.90000000000003</v>
      </c>
      <c r="AF304" s="70">
        <f>factures[[#This Row],[Prix Prestation Amiante 1]]+factures[[#This Row],[Prix Prestation Amiante 2]]+factures[[#This Row],[Prix Prestation Gaz]]+factures[[#This Row],[Prix analyses HT]]</f>
        <v>527.12</v>
      </c>
      <c r="AG304" s="69" t="s">
        <v>1964</v>
      </c>
      <c r="AH304" s="86" t="s">
        <v>1959</v>
      </c>
      <c r="AI304" s="69"/>
    </row>
    <row r="305" spans="1:35" ht="36" x14ac:dyDescent="0.3">
      <c r="A305" s="92" t="s">
        <v>1793</v>
      </c>
      <c r="B305" s="72">
        <v>92220</v>
      </c>
      <c r="C305" s="69" t="s">
        <v>418</v>
      </c>
      <c r="D305" s="69" t="s">
        <v>419</v>
      </c>
      <c r="E305" s="69">
        <v>2</v>
      </c>
      <c r="F305" s="69" t="s">
        <v>816</v>
      </c>
      <c r="G305" s="69">
        <v>3</v>
      </c>
      <c r="H305" s="69">
        <v>51817</v>
      </c>
      <c r="I305" s="69">
        <v>9152</v>
      </c>
      <c r="J305" s="69" t="s">
        <v>877</v>
      </c>
      <c r="K305" s="69"/>
      <c r="L305" s="69" t="s">
        <v>1794</v>
      </c>
      <c r="M305" s="71">
        <v>43699</v>
      </c>
      <c r="N305" s="69" t="s">
        <v>70</v>
      </c>
      <c r="O305" s="71">
        <v>43706</v>
      </c>
      <c r="P305" s="69"/>
      <c r="Q305" s="69" t="s">
        <v>77</v>
      </c>
      <c r="R305" s="73" t="s">
        <v>1795</v>
      </c>
      <c r="S305" s="69">
        <v>959684</v>
      </c>
      <c r="T305" s="69"/>
      <c r="U305" s="69" t="s">
        <v>1862</v>
      </c>
      <c r="V305" s="69" t="s">
        <v>53</v>
      </c>
      <c r="W305" s="70">
        <v>60.11</v>
      </c>
      <c r="X305" s="69"/>
      <c r="Y305" s="70">
        <f>IFERROR(VLOOKUP(factures[[#This Row],[DT Prestation Amiante 2]],presta_amiante2[#Data],2,0),0)</f>
        <v>0</v>
      </c>
      <c r="Z305" s="69"/>
      <c r="AA305" s="70">
        <f>IFERROR(VLOOKUP(factures[[#This Row],[DT Prestation Gaz]],presta_gaz[#Data],2,0),0)</f>
        <v>0</v>
      </c>
      <c r="AB305" s="69">
        <v>3</v>
      </c>
      <c r="AC305" s="69" t="s">
        <v>73</v>
      </c>
      <c r="AD305" s="70">
        <v>36.99</v>
      </c>
      <c r="AE305" s="70">
        <f>IFERROR(factures[[#This Row],[Plvts ]]*factures[[#This Row],[Prix Analyses]],0)</f>
        <v>110.97</v>
      </c>
      <c r="AF305" s="70">
        <f>factures[[#This Row],[Prix Prestation Amiante 1]]+factures[[#This Row],[Prix Prestation Amiante 2]]+factures[[#This Row],[Prix Prestation Gaz]]+factures[[#This Row],[Prix analyses HT]]</f>
        <v>171.07999999999998</v>
      </c>
      <c r="AG305" s="69" t="s">
        <v>1965</v>
      </c>
      <c r="AH305" s="86" t="s">
        <v>1959</v>
      </c>
      <c r="AI305" s="69"/>
    </row>
    <row r="306" spans="1:35" ht="40.799999999999997" x14ac:dyDescent="0.3">
      <c r="A306" s="92" t="s">
        <v>956</v>
      </c>
      <c r="B306" s="72">
        <v>92800</v>
      </c>
      <c r="C306" s="69" t="s">
        <v>202</v>
      </c>
      <c r="D306" s="69" t="s">
        <v>440</v>
      </c>
      <c r="E306" s="69">
        <v>1</v>
      </c>
      <c r="F306" s="69" t="s">
        <v>816</v>
      </c>
      <c r="G306" s="69">
        <v>3</v>
      </c>
      <c r="H306" s="69">
        <v>13349</v>
      </c>
      <c r="I306" s="69">
        <v>195</v>
      </c>
      <c r="J306" s="69" t="s">
        <v>2261</v>
      </c>
      <c r="K306" s="69"/>
      <c r="L306" s="69" t="s">
        <v>1796</v>
      </c>
      <c r="M306" s="71">
        <v>43699</v>
      </c>
      <c r="N306" s="69" t="s">
        <v>70</v>
      </c>
      <c r="O306" s="71">
        <v>43705</v>
      </c>
      <c r="P306" s="69" t="s">
        <v>1097</v>
      </c>
      <c r="Q306" s="69" t="s">
        <v>77</v>
      </c>
      <c r="R306" s="73" t="s">
        <v>1797</v>
      </c>
      <c r="S306" s="69">
        <v>959669</v>
      </c>
      <c r="T306" s="69"/>
      <c r="U306" s="69" t="s">
        <v>1852</v>
      </c>
      <c r="V306" s="69" t="s">
        <v>53</v>
      </c>
      <c r="W306" s="70">
        <v>60.11</v>
      </c>
      <c r="X306" s="69"/>
      <c r="Y306" s="70">
        <f>IFERROR(VLOOKUP(factures[[#This Row],[DT Prestation Amiante 2]],presta_amiante2[#Data],2,0),0)</f>
        <v>0</v>
      </c>
      <c r="Z306" s="69"/>
      <c r="AA306" s="70">
        <f>IFERROR(VLOOKUP(factures[[#This Row],[DT Prestation Gaz]],presta_gaz[#Data],2,0),0)</f>
        <v>0</v>
      </c>
      <c r="AB306" s="69">
        <v>6</v>
      </c>
      <c r="AC306" s="69" t="s">
        <v>73</v>
      </c>
      <c r="AD306" s="70">
        <v>36.99</v>
      </c>
      <c r="AE306" s="70">
        <f>IFERROR(factures[[#This Row],[Plvts ]]*factures[[#This Row],[Prix Analyses]],0)</f>
        <v>221.94</v>
      </c>
      <c r="AF306" s="70">
        <f>factures[[#This Row],[Prix Prestation Amiante 1]]+factures[[#This Row],[Prix Prestation Amiante 2]]+factures[[#This Row],[Prix Prestation Gaz]]+factures[[#This Row],[Prix analyses HT]]</f>
        <v>282.05</v>
      </c>
      <c r="AG306" s="69" t="s">
        <v>1966</v>
      </c>
      <c r="AH306" s="86" t="s">
        <v>1959</v>
      </c>
      <c r="AI306" s="69"/>
    </row>
    <row r="307" spans="1:35" ht="36" x14ac:dyDescent="0.3">
      <c r="A307" s="92" t="s">
        <v>1798</v>
      </c>
      <c r="B307" s="72">
        <v>78130</v>
      </c>
      <c r="C307" s="69" t="s">
        <v>553</v>
      </c>
      <c r="D307" s="69" t="s">
        <v>554</v>
      </c>
      <c r="E307" s="69">
        <v>101</v>
      </c>
      <c r="F307" s="69">
        <v>1</v>
      </c>
      <c r="G307" s="69">
        <v>5</v>
      </c>
      <c r="H307" s="69">
        <v>50859</v>
      </c>
      <c r="I307" s="69">
        <v>1025</v>
      </c>
      <c r="J307" s="69" t="s">
        <v>1531</v>
      </c>
      <c r="K307" s="69"/>
      <c r="L307" s="69" t="s">
        <v>1799</v>
      </c>
      <c r="M307" s="71">
        <v>43699</v>
      </c>
      <c r="N307" s="69" t="s">
        <v>84</v>
      </c>
      <c r="O307" s="71">
        <v>43704</v>
      </c>
      <c r="P307" s="69"/>
      <c r="Q307" s="69" t="s">
        <v>77</v>
      </c>
      <c r="R307" s="73" t="s">
        <v>1800</v>
      </c>
      <c r="S307" s="69">
        <v>959525</v>
      </c>
      <c r="T307" s="69"/>
      <c r="U307" s="69" t="s">
        <v>1839</v>
      </c>
      <c r="V307" s="69" t="s">
        <v>55</v>
      </c>
      <c r="W307" s="70">
        <v>55.49</v>
      </c>
      <c r="X307" s="69" t="s">
        <v>54</v>
      </c>
      <c r="Y307" s="70">
        <v>69.36</v>
      </c>
      <c r="Z307" s="69" t="s">
        <v>62</v>
      </c>
      <c r="AA307" s="70">
        <v>49.01</v>
      </c>
      <c r="AB307" s="69">
        <v>5</v>
      </c>
      <c r="AC307" s="69" t="s">
        <v>73</v>
      </c>
      <c r="AD307" s="70">
        <v>36.99</v>
      </c>
      <c r="AE307" s="70">
        <f>IFERROR(factures[[#This Row],[Plvts ]]*factures[[#This Row],[Prix Analyses]],0)</f>
        <v>184.95000000000002</v>
      </c>
      <c r="AF307" s="70">
        <f>factures[[#This Row],[Prix Prestation Amiante 1]]+factures[[#This Row],[Prix Prestation Amiante 2]]+factures[[#This Row],[Prix Prestation Gaz]]+factures[[#This Row],[Prix analyses HT]]</f>
        <v>358.81</v>
      </c>
      <c r="AG307" s="69" t="s">
        <v>2073</v>
      </c>
      <c r="AH307" s="86" t="s">
        <v>2070</v>
      </c>
      <c r="AI307" s="69"/>
    </row>
    <row r="308" spans="1:35" ht="122.4" x14ac:dyDescent="0.3">
      <c r="A308" s="92" t="s">
        <v>1462</v>
      </c>
      <c r="B308" s="72">
        <v>78540</v>
      </c>
      <c r="C308" s="69" t="s">
        <v>351</v>
      </c>
      <c r="D308" s="69" t="s">
        <v>639</v>
      </c>
      <c r="E308" s="69">
        <v>401</v>
      </c>
      <c r="F308" s="69">
        <v>4</v>
      </c>
      <c r="G308" s="69">
        <v>3</v>
      </c>
      <c r="H308" s="69">
        <v>53186</v>
      </c>
      <c r="I308" s="69">
        <v>9700</v>
      </c>
      <c r="J308" s="69" t="s">
        <v>1770</v>
      </c>
      <c r="K308" s="69"/>
      <c r="L308" s="69" t="s">
        <v>1801</v>
      </c>
      <c r="M308" s="71">
        <v>43699</v>
      </c>
      <c r="N308" s="69" t="s">
        <v>84</v>
      </c>
      <c r="O308" s="71">
        <v>43711</v>
      </c>
      <c r="P308" s="69"/>
      <c r="Q308" s="69" t="s">
        <v>77</v>
      </c>
      <c r="R308" s="73" t="s">
        <v>1802</v>
      </c>
      <c r="S308" s="69">
        <v>959597</v>
      </c>
      <c r="T308" s="92" t="s">
        <v>1811</v>
      </c>
      <c r="U308" s="69" t="s">
        <v>1898</v>
      </c>
      <c r="V308" s="69" t="s">
        <v>55</v>
      </c>
      <c r="W308" s="70">
        <v>55.49</v>
      </c>
      <c r="X308" s="69" t="s">
        <v>53</v>
      </c>
      <c r="Y308" s="70">
        <v>60.11</v>
      </c>
      <c r="Z308" s="69" t="s">
        <v>61</v>
      </c>
      <c r="AA308" s="70">
        <v>41.62</v>
      </c>
      <c r="AB308" s="69">
        <v>9</v>
      </c>
      <c r="AC308" s="69" t="s">
        <v>73</v>
      </c>
      <c r="AD308" s="70">
        <v>36.99</v>
      </c>
      <c r="AE308" s="70">
        <f>IFERROR(factures[[#This Row],[Plvts ]]*factures[[#This Row],[Prix Analyses]],0)</f>
        <v>332.91</v>
      </c>
      <c r="AF308" s="70">
        <f>factures[[#This Row],[Prix Prestation Amiante 1]]+factures[[#This Row],[Prix Prestation Amiante 2]]+factures[[#This Row],[Prix Prestation Gaz]]+factures[[#This Row],[Prix analyses HT]]</f>
        <v>490.13</v>
      </c>
      <c r="AG308" s="69" t="s">
        <v>2086</v>
      </c>
      <c r="AH308" s="86" t="s">
        <v>2070</v>
      </c>
      <c r="AI308" s="69"/>
    </row>
    <row r="309" spans="1:35" ht="36" x14ac:dyDescent="0.3">
      <c r="A309" s="92" t="s">
        <v>1813</v>
      </c>
      <c r="B309" s="72">
        <v>94380</v>
      </c>
      <c r="C309" s="69" t="s">
        <v>259</v>
      </c>
      <c r="D309" s="69" t="s">
        <v>260</v>
      </c>
      <c r="E309" s="69">
        <v>702</v>
      </c>
      <c r="F309" s="69">
        <v>7</v>
      </c>
      <c r="G309" s="69">
        <v>4</v>
      </c>
      <c r="H309" s="69">
        <v>33572</v>
      </c>
      <c r="I309" s="69">
        <v>511</v>
      </c>
      <c r="J309" s="69" t="s">
        <v>1522</v>
      </c>
      <c r="K309" s="69"/>
      <c r="L309" s="69" t="s">
        <v>1814</v>
      </c>
      <c r="M309" s="71">
        <v>43703</v>
      </c>
      <c r="N309" s="69" t="s">
        <v>71</v>
      </c>
      <c r="O309" s="71">
        <v>43705</v>
      </c>
      <c r="P309" s="69" t="s">
        <v>338</v>
      </c>
      <c r="Q309" s="69" t="s">
        <v>77</v>
      </c>
      <c r="R309" s="73" t="s">
        <v>1815</v>
      </c>
      <c r="S309" s="69">
        <v>959888</v>
      </c>
      <c r="T309" s="69"/>
      <c r="U309" s="69" t="s">
        <v>1853</v>
      </c>
      <c r="V309" s="69" t="s">
        <v>54</v>
      </c>
      <c r="W309" s="70">
        <v>69.36</v>
      </c>
      <c r="X309" s="69"/>
      <c r="Y309" s="70">
        <f>IFERROR(VLOOKUP(factures[[#This Row],[DT Prestation Amiante 2]],presta_amiante2[#Data],2,0),0)</f>
        <v>0</v>
      </c>
      <c r="Z309" s="69" t="s">
        <v>61</v>
      </c>
      <c r="AA309" s="70">
        <v>41.62</v>
      </c>
      <c r="AB309" s="69">
        <v>4</v>
      </c>
      <c r="AC309" s="69" t="s">
        <v>73</v>
      </c>
      <c r="AD309" s="70">
        <v>36.99</v>
      </c>
      <c r="AE309" s="70">
        <f>IFERROR(factures[[#This Row],[Plvts ]]*factures[[#This Row],[Prix Analyses]],0)</f>
        <v>147.96</v>
      </c>
      <c r="AF309" s="70">
        <f>factures[[#This Row],[Prix Prestation Amiante 1]]+factures[[#This Row],[Prix Prestation Amiante 2]]+factures[[#This Row],[Prix Prestation Gaz]]+factures[[#This Row],[Prix analyses HT]]</f>
        <v>258.94</v>
      </c>
      <c r="AG309" s="69" t="s">
        <v>1967</v>
      </c>
      <c r="AH309" s="86" t="s">
        <v>1959</v>
      </c>
      <c r="AI309" s="69"/>
    </row>
    <row r="310" spans="1:35" ht="61.2" x14ac:dyDescent="0.3">
      <c r="A310" s="92" t="s">
        <v>1816</v>
      </c>
      <c r="B310" s="72">
        <v>92220</v>
      </c>
      <c r="C310" s="69" t="s">
        <v>418</v>
      </c>
      <c r="D310" s="69" t="s">
        <v>419</v>
      </c>
      <c r="E310" s="69">
        <v>101</v>
      </c>
      <c r="F310" s="69">
        <v>1</v>
      </c>
      <c r="G310" s="69">
        <v>4</v>
      </c>
      <c r="H310" s="69">
        <v>51756</v>
      </c>
      <c r="I310" s="69">
        <v>9152</v>
      </c>
      <c r="J310" s="69" t="s">
        <v>877</v>
      </c>
      <c r="K310" s="69"/>
      <c r="L310" s="69" t="s">
        <v>1817</v>
      </c>
      <c r="M310" s="71">
        <v>43703</v>
      </c>
      <c r="N310" s="69" t="s">
        <v>71</v>
      </c>
      <c r="O310" s="71">
        <v>43719</v>
      </c>
      <c r="P310" s="69"/>
      <c r="Q310" s="69" t="s">
        <v>77</v>
      </c>
      <c r="R310" s="73" t="s">
        <v>1974</v>
      </c>
      <c r="S310" s="69">
        <v>960014</v>
      </c>
      <c r="T310" s="69"/>
      <c r="U310" s="69" t="s">
        <v>1983</v>
      </c>
      <c r="V310" s="69" t="s">
        <v>54</v>
      </c>
      <c r="W310" s="70">
        <v>69.36</v>
      </c>
      <c r="X310" s="69"/>
      <c r="Y310" s="70">
        <f>IFERROR(VLOOKUP(factures[[#This Row],[DT Prestation Amiante 2]],presta_amiante2[#Data],2,0),0)</f>
        <v>0</v>
      </c>
      <c r="Z310" s="69" t="s">
        <v>62</v>
      </c>
      <c r="AA310" s="70">
        <v>49.01</v>
      </c>
      <c r="AB310" s="69">
        <v>6</v>
      </c>
      <c r="AC310" s="69" t="s">
        <v>73</v>
      </c>
      <c r="AD310" s="70">
        <v>36.99</v>
      </c>
      <c r="AE310" s="70">
        <f>IFERROR(factures[[#This Row],[Plvts ]]*factures[[#This Row],[Prix Analyses]],0)</f>
        <v>221.94</v>
      </c>
      <c r="AF310" s="70">
        <f>factures[[#This Row],[Prix Prestation Amiante 1]]+factures[[#This Row],[Prix Prestation Amiante 2]]+factures[[#This Row],[Prix Prestation Gaz]]+factures[[#This Row],[Prix analyses HT]]</f>
        <v>340.31</v>
      </c>
      <c r="AG310" s="69" t="s">
        <v>2015</v>
      </c>
      <c r="AH310" s="86" t="s">
        <v>2016</v>
      </c>
      <c r="AI310" s="69"/>
    </row>
    <row r="311" spans="1:35" ht="36" x14ac:dyDescent="0.3">
      <c r="A311" s="92" t="s">
        <v>1818</v>
      </c>
      <c r="B311" s="72">
        <v>78130</v>
      </c>
      <c r="C311" s="69" t="s">
        <v>553</v>
      </c>
      <c r="D311" s="69" t="s">
        <v>554</v>
      </c>
      <c r="E311" s="69">
        <v>101</v>
      </c>
      <c r="F311" s="69">
        <v>1</v>
      </c>
      <c r="G311" s="69">
        <v>3</v>
      </c>
      <c r="H311" s="69">
        <v>51394</v>
      </c>
      <c r="I311" s="69">
        <v>1023</v>
      </c>
      <c r="J311" s="69" t="s">
        <v>1531</v>
      </c>
      <c r="K311" s="69"/>
      <c r="L311" s="69" t="s">
        <v>1819</v>
      </c>
      <c r="M311" s="71">
        <v>43703</v>
      </c>
      <c r="N311" s="69" t="s">
        <v>83</v>
      </c>
      <c r="O311" s="71">
        <v>43704</v>
      </c>
      <c r="P311" s="69"/>
      <c r="Q311" s="69" t="s">
        <v>77</v>
      </c>
      <c r="R311" s="73" t="s">
        <v>1820</v>
      </c>
      <c r="S311" s="69">
        <v>959521</v>
      </c>
      <c r="T311" s="69"/>
      <c r="U311" s="69" t="s">
        <v>1840</v>
      </c>
      <c r="V311" s="69" t="s">
        <v>55</v>
      </c>
      <c r="W311" s="70">
        <v>55.49</v>
      </c>
      <c r="X311" s="69"/>
      <c r="Y311" s="70">
        <f>IFERROR(VLOOKUP(factures[[#This Row],[DT Prestation Amiante 2]],presta_amiante2[#Data],2,0),0)</f>
        <v>0</v>
      </c>
      <c r="Z311" s="69" t="s">
        <v>53</v>
      </c>
      <c r="AA311" s="70">
        <v>60.11</v>
      </c>
      <c r="AB311" s="69">
        <v>5</v>
      </c>
      <c r="AC311" s="69" t="s">
        <v>73</v>
      </c>
      <c r="AD311" s="70">
        <v>36.99</v>
      </c>
      <c r="AE311" s="70">
        <f>IFERROR(factures[[#This Row],[Plvts ]]*factures[[#This Row],[Prix Analyses]],0)</f>
        <v>184.95000000000002</v>
      </c>
      <c r="AF311" s="70">
        <f>factures[[#This Row],[Prix Prestation Amiante 1]]+factures[[#This Row],[Prix Prestation Amiante 2]]+factures[[#This Row],[Prix Prestation Gaz]]+factures[[#This Row],[Prix analyses HT]]</f>
        <v>300.55</v>
      </c>
      <c r="AG311" s="69" t="s">
        <v>2074</v>
      </c>
      <c r="AH311" s="86" t="s">
        <v>2070</v>
      </c>
      <c r="AI311" s="69"/>
    </row>
    <row r="312" spans="1:35" ht="60" x14ac:dyDescent="0.3">
      <c r="A312" s="92" t="s">
        <v>1845</v>
      </c>
      <c r="B312" s="72">
        <v>92170</v>
      </c>
      <c r="C312" s="69" t="s">
        <v>1031</v>
      </c>
      <c r="D312" s="69" t="s">
        <v>436</v>
      </c>
      <c r="E312" s="69">
        <v>703</v>
      </c>
      <c r="F312" s="69">
        <v>7</v>
      </c>
      <c r="G312" s="69">
        <v>1</v>
      </c>
      <c r="H312" s="69">
        <v>22464</v>
      </c>
      <c r="I312" s="69">
        <v>315</v>
      </c>
      <c r="J312" s="69" t="s">
        <v>1070</v>
      </c>
      <c r="K312" s="69"/>
      <c r="L312" s="69" t="s">
        <v>1846</v>
      </c>
      <c r="M312" s="71">
        <v>43705</v>
      </c>
      <c r="N312" s="69" t="s">
        <v>1413</v>
      </c>
      <c r="O312" s="71">
        <v>43710</v>
      </c>
      <c r="P312" s="69"/>
      <c r="Q312" s="69" t="s">
        <v>77</v>
      </c>
      <c r="R312" s="73" t="s">
        <v>1847</v>
      </c>
      <c r="S312" s="69">
        <v>960253</v>
      </c>
      <c r="T312" s="69"/>
      <c r="U312" s="69" t="s">
        <v>1884</v>
      </c>
      <c r="V312" s="69" t="s">
        <v>53</v>
      </c>
      <c r="W312" s="70">
        <v>60.11</v>
      </c>
      <c r="X312" s="69" t="s">
        <v>93</v>
      </c>
      <c r="Y312" s="70">
        <v>80.459999999999994</v>
      </c>
      <c r="Z312" s="69" t="s">
        <v>61</v>
      </c>
      <c r="AA312" s="70">
        <v>41.62</v>
      </c>
      <c r="AB312" s="69">
        <v>4</v>
      </c>
      <c r="AC312" s="69" t="s">
        <v>73</v>
      </c>
      <c r="AD312" s="70">
        <v>36.99</v>
      </c>
      <c r="AE312" s="70">
        <f>IFERROR(factures[[#This Row],[Plvts ]]*factures[[#This Row],[Prix Analyses]],0)</f>
        <v>147.96</v>
      </c>
      <c r="AF312" s="70">
        <f>factures[[#This Row],[Prix Prestation Amiante 1]]+factures[[#This Row],[Prix Prestation Amiante 2]]+factures[[#This Row],[Prix Prestation Gaz]]+factures[[#This Row],[Prix analyses HT]]</f>
        <v>330.15</v>
      </c>
      <c r="AG312" s="69" t="s">
        <v>1999</v>
      </c>
      <c r="AH312" s="86" t="s">
        <v>1998</v>
      </c>
      <c r="AI312" s="69"/>
    </row>
    <row r="313" spans="1:35" ht="48" x14ac:dyDescent="0.3">
      <c r="A313" s="92" t="s">
        <v>1581</v>
      </c>
      <c r="B313" s="72">
        <v>92600</v>
      </c>
      <c r="C313" s="69" t="s">
        <v>609</v>
      </c>
      <c r="D313" s="69" t="s">
        <v>1582</v>
      </c>
      <c r="E313" s="69">
        <v>303</v>
      </c>
      <c r="F313" s="69">
        <v>3</v>
      </c>
      <c r="G313" s="69">
        <v>3</v>
      </c>
      <c r="H313" s="69">
        <v>42086</v>
      </c>
      <c r="I313" s="69">
        <v>842</v>
      </c>
      <c r="J313" s="69" t="s">
        <v>1848</v>
      </c>
      <c r="K313" s="69"/>
      <c r="L313" s="69"/>
      <c r="M313" s="71">
        <v>43705</v>
      </c>
      <c r="N313" s="69" t="s">
        <v>71</v>
      </c>
      <c r="O313" s="71">
        <v>43706</v>
      </c>
      <c r="P313" s="69"/>
      <c r="Q313" s="69" t="s">
        <v>77</v>
      </c>
      <c r="R313" s="73" t="s">
        <v>1849</v>
      </c>
      <c r="S313" s="69">
        <v>960272</v>
      </c>
      <c r="T313" s="69"/>
      <c r="U313" s="69" t="s">
        <v>1863</v>
      </c>
      <c r="V313" s="69" t="s">
        <v>53</v>
      </c>
      <c r="W313" s="70">
        <v>60.11</v>
      </c>
      <c r="X313" s="69"/>
      <c r="Y313" s="70">
        <f>IFERROR(VLOOKUP(factures[[#This Row],[DT Prestation Amiante 2]],presta_amiante2[#Data],2,0),0)</f>
        <v>0</v>
      </c>
      <c r="Z313" s="69" t="s">
        <v>61</v>
      </c>
      <c r="AA313" s="70">
        <v>41.62</v>
      </c>
      <c r="AB313" s="69">
        <v>1</v>
      </c>
      <c r="AC313" s="69" t="s">
        <v>73</v>
      </c>
      <c r="AD313" s="70">
        <v>36.99</v>
      </c>
      <c r="AE313" s="70">
        <f>IFERROR(factures[[#This Row],[Plvts ]]*factures[[#This Row],[Prix Analyses]],0)</f>
        <v>36.99</v>
      </c>
      <c r="AF313" s="70">
        <f>factures[[#This Row],[Prix Prestation Amiante 1]]+factures[[#This Row],[Prix Prestation Amiante 2]]+factures[[#This Row],[Prix Prestation Gaz]]+factures[[#This Row],[Prix analyses HT]]</f>
        <v>138.72</v>
      </c>
      <c r="AG313" s="69" t="s">
        <v>1968</v>
      </c>
      <c r="AH313" s="86" t="s">
        <v>1959</v>
      </c>
      <c r="AI313" s="69"/>
    </row>
    <row r="314" spans="1:35" ht="36" x14ac:dyDescent="0.3">
      <c r="A314" s="92" t="s">
        <v>740</v>
      </c>
      <c r="B314" s="72">
        <v>92500</v>
      </c>
      <c r="C314" s="69" t="s">
        <v>265</v>
      </c>
      <c r="D314" s="69" t="s">
        <v>741</v>
      </c>
      <c r="E314" s="69">
        <v>302</v>
      </c>
      <c r="F314" s="69">
        <v>3</v>
      </c>
      <c r="G314" s="69">
        <v>5</v>
      </c>
      <c r="H314" s="69">
        <v>14679</v>
      </c>
      <c r="I314" s="69">
        <v>212</v>
      </c>
      <c r="J314" s="69" t="s">
        <v>742</v>
      </c>
      <c r="K314" s="69"/>
      <c r="L314" s="69" t="s">
        <v>1850</v>
      </c>
      <c r="M314" s="71">
        <v>43705</v>
      </c>
      <c r="N314" s="69" t="s">
        <v>71</v>
      </c>
      <c r="O314" s="71">
        <v>43706</v>
      </c>
      <c r="P314" s="69"/>
      <c r="Q314" s="69" t="s">
        <v>77</v>
      </c>
      <c r="R314" s="73" t="s">
        <v>1851</v>
      </c>
      <c r="S314" s="69">
        <v>960416</v>
      </c>
      <c r="T314" s="69"/>
      <c r="U314" s="69" t="s">
        <v>1864</v>
      </c>
      <c r="V314" s="69" t="s">
        <v>54</v>
      </c>
      <c r="W314" s="70">
        <v>69.36</v>
      </c>
      <c r="X314" s="69"/>
      <c r="Y314" s="70">
        <f>IFERROR(VLOOKUP(factures[[#This Row],[DT Prestation Amiante 2]],presta_amiante2[#Data],2,0),0)</f>
        <v>0</v>
      </c>
      <c r="Z314" s="69" t="s">
        <v>62</v>
      </c>
      <c r="AA314" s="70">
        <v>49.01</v>
      </c>
      <c r="AB314" s="69">
        <v>3</v>
      </c>
      <c r="AC314" s="69" t="s">
        <v>73</v>
      </c>
      <c r="AD314" s="70">
        <v>36.99</v>
      </c>
      <c r="AE314" s="70">
        <f>IFERROR(factures[[#This Row],[Plvts ]]*factures[[#This Row],[Prix Analyses]],0)</f>
        <v>110.97</v>
      </c>
      <c r="AF314" s="70">
        <f>factures[[#This Row],[Prix Prestation Amiante 1]]+factures[[#This Row],[Prix Prestation Amiante 2]]+factures[[#This Row],[Prix Prestation Gaz]]+factures[[#This Row],[Prix analyses HT]]</f>
        <v>229.34</v>
      </c>
      <c r="AG314" s="69" t="s">
        <v>1969</v>
      </c>
      <c r="AH314" s="86" t="s">
        <v>1959</v>
      </c>
      <c r="AI314" s="69"/>
    </row>
    <row r="315" spans="1:35" ht="36" x14ac:dyDescent="0.3">
      <c r="A315" s="92" t="s">
        <v>1856</v>
      </c>
      <c r="B315" s="72">
        <v>92130</v>
      </c>
      <c r="C315" s="69" t="s">
        <v>1857</v>
      </c>
      <c r="D315" s="69" t="s">
        <v>1858</v>
      </c>
      <c r="E315" s="69">
        <v>203</v>
      </c>
      <c r="F315" s="69">
        <v>2</v>
      </c>
      <c r="G315" s="69">
        <v>2</v>
      </c>
      <c r="H315" s="69">
        <v>11284</v>
      </c>
      <c r="I315" s="69">
        <v>171</v>
      </c>
      <c r="J315" s="69" t="s">
        <v>1859</v>
      </c>
      <c r="K315" s="69"/>
      <c r="L315" s="69" t="s">
        <v>1860</v>
      </c>
      <c r="M315" s="71">
        <v>43706</v>
      </c>
      <c r="N315" s="69" t="s">
        <v>70</v>
      </c>
      <c r="O315" s="71">
        <v>43724</v>
      </c>
      <c r="P315" s="69" t="s">
        <v>1988</v>
      </c>
      <c r="Q315" s="69" t="s">
        <v>77</v>
      </c>
      <c r="R315" s="73" t="s">
        <v>1868</v>
      </c>
      <c r="S315" s="69">
        <v>960579</v>
      </c>
      <c r="T315" s="92" t="s">
        <v>1956</v>
      </c>
      <c r="U315" s="69" t="s">
        <v>2003</v>
      </c>
      <c r="V315" s="69" t="s">
        <v>53</v>
      </c>
      <c r="W315" s="70">
        <v>60.11</v>
      </c>
      <c r="X315" s="69"/>
      <c r="Y315" s="70">
        <f>IFERROR(VLOOKUP(factures[[#This Row],[DT Prestation Amiante 2]],presta_amiante2[#Data],2,0),0)</f>
        <v>0</v>
      </c>
      <c r="Z315" s="69"/>
      <c r="AA315" s="70">
        <f>IFERROR(VLOOKUP(factures[[#This Row],[DT Prestation Gaz]],presta_gaz[#Data],2,0),0)</f>
        <v>0</v>
      </c>
      <c r="AB315" s="69">
        <v>3</v>
      </c>
      <c r="AC315" s="69" t="s">
        <v>73</v>
      </c>
      <c r="AD315" s="70">
        <v>36.99</v>
      </c>
      <c r="AE315" s="70">
        <f>IFERROR(factures[[#This Row],[Plvts ]]*factures[[#This Row],[Prix Analyses]],0)</f>
        <v>110.97</v>
      </c>
      <c r="AF315" s="70">
        <f>factures[[#This Row],[Prix Prestation Amiante 1]]+factures[[#This Row],[Prix Prestation Amiante 2]]+factures[[#This Row],[Prix Prestation Gaz]]+factures[[#This Row],[Prix analyses HT]]</f>
        <v>171.07999999999998</v>
      </c>
      <c r="AG315" s="69" t="s">
        <v>2125</v>
      </c>
      <c r="AH315" s="86" t="s">
        <v>2126</v>
      </c>
      <c r="AI315" s="69"/>
    </row>
    <row r="316" spans="1:35" ht="108" x14ac:dyDescent="0.3">
      <c r="A316" s="92" t="s">
        <v>1869</v>
      </c>
      <c r="B316" s="72">
        <v>78540</v>
      </c>
      <c r="C316" s="69" t="s">
        <v>351</v>
      </c>
      <c r="D316" s="69" t="s">
        <v>1693</v>
      </c>
      <c r="E316" s="69">
        <v>2</v>
      </c>
      <c r="F316" s="69" t="s">
        <v>816</v>
      </c>
      <c r="G316" s="69">
        <v>3</v>
      </c>
      <c r="H316" s="69">
        <v>53099</v>
      </c>
      <c r="I316" s="69">
        <v>9700</v>
      </c>
      <c r="J316" s="69" t="s">
        <v>1770</v>
      </c>
      <c r="K316" s="69"/>
      <c r="L316" s="69" t="s">
        <v>1870</v>
      </c>
      <c r="M316" s="71">
        <v>43706</v>
      </c>
      <c r="N316" s="69" t="s">
        <v>84</v>
      </c>
      <c r="O316" s="71">
        <v>43711</v>
      </c>
      <c r="P316" s="69"/>
      <c r="Q316" s="69" t="s">
        <v>77</v>
      </c>
      <c r="R316" s="73" t="s">
        <v>1896</v>
      </c>
      <c r="S316" s="69">
        <v>958878</v>
      </c>
      <c r="T316" s="69"/>
      <c r="U316" s="69" t="s">
        <v>1987</v>
      </c>
      <c r="V316" s="69" t="s">
        <v>55</v>
      </c>
      <c r="W316" s="70">
        <v>55.49</v>
      </c>
      <c r="X316" s="69" t="s">
        <v>53</v>
      </c>
      <c r="Y316" s="70">
        <v>60.11</v>
      </c>
      <c r="Z316" s="69" t="s">
        <v>61</v>
      </c>
      <c r="AA316" s="70">
        <v>41.62</v>
      </c>
      <c r="AB316" s="69">
        <v>8</v>
      </c>
      <c r="AC316" s="69" t="s">
        <v>73</v>
      </c>
      <c r="AD316" s="70">
        <v>36.99</v>
      </c>
      <c r="AE316" s="70">
        <f>IFERROR(factures[[#This Row],[Plvts ]]*factures[[#This Row],[Prix Analyses]],0)</f>
        <v>295.92</v>
      </c>
      <c r="AF316" s="70">
        <f>factures[[#This Row],[Prix Prestation Amiante 1]]+factures[[#This Row],[Prix Prestation Amiante 2]]+factures[[#This Row],[Prix Prestation Gaz]]+factures[[#This Row],[Prix analyses HT]]</f>
        <v>453.14</v>
      </c>
      <c r="AG316" s="69" t="s">
        <v>2087</v>
      </c>
      <c r="AH316" s="86" t="s">
        <v>2070</v>
      </c>
      <c r="AI316" s="69"/>
    </row>
    <row r="317" spans="1:35" ht="48" x14ac:dyDescent="0.3">
      <c r="A317" s="92" t="s">
        <v>1871</v>
      </c>
      <c r="B317" s="72">
        <v>94500</v>
      </c>
      <c r="C317" s="69" t="s">
        <v>479</v>
      </c>
      <c r="D317" s="69" t="s">
        <v>589</v>
      </c>
      <c r="E317" s="69">
        <v>1</v>
      </c>
      <c r="F317" s="69" t="s">
        <v>816</v>
      </c>
      <c r="G317" s="69">
        <v>2</v>
      </c>
      <c r="H317" s="69">
        <v>18503</v>
      </c>
      <c r="I317" s="69">
        <v>259</v>
      </c>
      <c r="J317" s="69" t="s">
        <v>150</v>
      </c>
      <c r="K317" s="69" t="s">
        <v>234</v>
      </c>
      <c r="L317" s="69" t="s">
        <v>1872</v>
      </c>
      <c r="M317" s="71">
        <v>43710</v>
      </c>
      <c r="N317" s="69" t="s">
        <v>70</v>
      </c>
      <c r="O317" s="71">
        <v>43728</v>
      </c>
      <c r="P317" s="69" t="s">
        <v>2036</v>
      </c>
      <c r="Q317" s="69" t="s">
        <v>77</v>
      </c>
      <c r="R317" s="73" t="s">
        <v>1873</v>
      </c>
      <c r="S317" s="69">
        <v>960981</v>
      </c>
      <c r="T317" s="69"/>
      <c r="U317" s="69" t="s">
        <v>2044</v>
      </c>
      <c r="V317" s="69" t="s">
        <v>53</v>
      </c>
      <c r="W317" s="70">
        <v>60.11</v>
      </c>
      <c r="X317" s="69"/>
      <c r="Y317" s="70">
        <f>IFERROR(VLOOKUP(factures[[#This Row],[DT Prestation Amiante 2]],presta_amiante2[#Data],2,0),0)</f>
        <v>0</v>
      </c>
      <c r="Z317" s="69"/>
      <c r="AA317" s="70">
        <f>IFERROR(VLOOKUP(factures[[#This Row],[DT Prestation Gaz]],presta_gaz[#Data],2,0),0)</f>
        <v>0</v>
      </c>
      <c r="AB317" s="69">
        <v>6</v>
      </c>
      <c r="AC317" s="69" t="s">
        <v>73</v>
      </c>
      <c r="AD317" s="70">
        <v>36.99</v>
      </c>
      <c r="AE317" s="70">
        <f>IFERROR(factures[[#This Row],[Plvts ]]*factures[[#This Row],[Prix Analyses]],0)</f>
        <v>221.94</v>
      </c>
      <c r="AF317" s="70">
        <f>factures[[#This Row],[Prix Prestation Amiante 1]]+factures[[#This Row],[Prix Prestation Amiante 2]]+factures[[#This Row],[Prix Prestation Gaz]]+factures[[#This Row],[Prix analyses HT]]</f>
        <v>282.05</v>
      </c>
      <c r="AG317" s="69" t="s">
        <v>2153</v>
      </c>
      <c r="AH317" s="86" t="s">
        <v>2145</v>
      </c>
      <c r="AI317" s="69"/>
    </row>
    <row r="318" spans="1:35" ht="40.799999999999997" x14ac:dyDescent="0.3">
      <c r="A318" s="92" t="s">
        <v>1874</v>
      </c>
      <c r="B318" s="72">
        <v>78190</v>
      </c>
      <c r="C318" s="69" t="s">
        <v>754</v>
      </c>
      <c r="D318" s="69" t="s">
        <v>1160</v>
      </c>
      <c r="E318" s="69">
        <v>302</v>
      </c>
      <c r="F318" s="69">
        <v>3</v>
      </c>
      <c r="G318" s="69">
        <v>4</v>
      </c>
      <c r="H318" s="69">
        <v>22160</v>
      </c>
      <c r="I318" s="69">
        <v>314</v>
      </c>
      <c r="J318" s="69" t="s">
        <v>1046</v>
      </c>
      <c r="K318" s="69"/>
      <c r="L318" s="69" t="s">
        <v>1875</v>
      </c>
      <c r="M318" s="71">
        <v>43710</v>
      </c>
      <c r="N318" s="69" t="s">
        <v>83</v>
      </c>
      <c r="O318" s="71">
        <v>43713</v>
      </c>
      <c r="P318" s="69"/>
      <c r="Q318" s="69" t="s">
        <v>77</v>
      </c>
      <c r="R318" s="73" t="s">
        <v>1876</v>
      </c>
      <c r="S318" s="69">
        <v>960980</v>
      </c>
      <c r="T318" s="69"/>
      <c r="U318" s="69" t="s">
        <v>1916</v>
      </c>
      <c r="V318" s="69" t="s">
        <v>55</v>
      </c>
      <c r="W318" s="70">
        <v>55.49</v>
      </c>
      <c r="X318" s="69" t="s">
        <v>54</v>
      </c>
      <c r="Y318" s="70">
        <v>69.36</v>
      </c>
      <c r="Z318" s="69"/>
      <c r="AA318" s="70">
        <f>IFERROR(VLOOKUP(factures[[#This Row],[DT Prestation Gaz]],presta_gaz[#Data],2,0),0)</f>
        <v>0</v>
      </c>
      <c r="AB318" s="69">
        <v>9</v>
      </c>
      <c r="AC318" s="69" t="s">
        <v>73</v>
      </c>
      <c r="AD318" s="70">
        <v>36.99</v>
      </c>
      <c r="AE318" s="70">
        <f>IFERROR(factures[[#This Row],[Plvts ]]*factures[[#This Row],[Prix Analyses]],0)</f>
        <v>332.91</v>
      </c>
      <c r="AF318" s="70">
        <f>factures[[#This Row],[Prix Prestation Amiante 1]]+factures[[#This Row],[Prix Prestation Amiante 2]]+factures[[#This Row],[Prix Prestation Gaz]]+factures[[#This Row],[Prix analyses HT]]</f>
        <v>457.76</v>
      </c>
      <c r="AG318" s="69" t="s">
        <v>2248</v>
      </c>
      <c r="AH318" s="86" t="s">
        <v>2249</v>
      </c>
      <c r="AI318" s="69"/>
    </row>
    <row r="319" spans="1:35" ht="51" x14ac:dyDescent="0.3">
      <c r="A319" s="92" t="s">
        <v>1877</v>
      </c>
      <c r="B319" s="72">
        <v>78190</v>
      </c>
      <c r="C319" s="69" t="s">
        <v>754</v>
      </c>
      <c r="D319" s="69" t="s">
        <v>1160</v>
      </c>
      <c r="E319" s="69">
        <v>102</v>
      </c>
      <c r="F319" s="69">
        <v>1</v>
      </c>
      <c r="G319" s="69">
        <v>5</v>
      </c>
      <c r="H319" s="69">
        <v>22252</v>
      </c>
      <c r="I319" s="69">
        <v>314</v>
      </c>
      <c r="J319" s="69" t="s">
        <v>1878</v>
      </c>
      <c r="K319" s="69"/>
      <c r="L319" s="69" t="s">
        <v>1879</v>
      </c>
      <c r="M319" s="71">
        <v>43710</v>
      </c>
      <c r="N319" s="69" t="s">
        <v>83</v>
      </c>
      <c r="O319" s="71">
        <v>43713</v>
      </c>
      <c r="P319" s="69"/>
      <c r="Q319" s="69" t="s">
        <v>77</v>
      </c>
      <c r="R319" s="73" t="s">
        <v>1880</v>
      </c>
      <c r="S319" s="69">
        <v>960979</v>
      </c>
      <c r="T319" s="69"/>
      <c r="U319" s="69" t="s">
        <v>1918</v>
      </c>
      <c r="V319" s="69" t="s">
        <v>55</v>
      </c>
      <c r="W319" s="70">
        <v>55.49</v>
      </c>
      <c r="X319" s="69" t="s">
        <v>54</v>
      </c>
      <c r="Y319" s="70">
        <v>69.36</v>
      </c>
      <c r="Z319" s="69"/>
      <c r="AA319" s="70">
        <f>IFERROR(VLOOKUP(factures[[#This Row],[DT Prestation Gaz]],presta_gaz[#Data],2,0),0)</f>
        <v>0</v>
      </c>
      <c r="AB319" s="69">
        <v>14</v>
      </c>
      <c r="AC319" s="69" t="s">
        <v>73</v>
      </c>
      <c r="AD319" s="70">
        <v>36.99</v>
      </c>
      <c r="AE319" s="70">
        <f>IFERROR(factures[[#This Row],[Plvts ]]*factures[[#This Row],[Prix Analyses]],0)</f>
        <v>517.86</v>
      </c>
      <c r="AF319" s="70">
        <f>factures[[#This Row],[Prix Prestation Amiante 1]]+factures[[#This Row],[Prix Prestation Amiante 2]]+factures[[#This Row],[Prix Prestation Gaz]]+factures[[#This Row],[Prix analyses HT]]</f>
        <v>642.71</v>
      </c>
      <c r="AG319" s="69" t="s">
        <v>2357</v>
      </c>
      <c r="AH319" s="86" t="s">
        <v>2358</v>
      </c>
      <c r="AI319" s="69"/>
    </row>
    <row r="320" spans="1:35" ht="36" x14ac:dyDescent="0.3">
      <c r="A320" s="92" t="s">
        <v>827</v>
      </c>
      <c r="B320" s="72">
        <v>92400</v>
      </c>
      <c r="C320" s="69" t="s">
        <v>104</v>
      </c>
      <c r="D320" s="69" t="s">
        <v>578</v>
      </c>
      <c r="E320" s="69">
        <v>417</v>
      </c>
      <c r="F320" s="69">
        <v>4</v>
      </c>
      <c r="G320" s="69">
        <v>3</v>
      </c>
      <c r="H320" s="69">
        <v>44231</v>
      </c>
      <c r="I320" s="69">
        <v>417</v>
      </c>
      <c r="J320" s="69" t="s">
        <v>1934</v>
      </c>
      <c r="K320" s="69"/>
      <c r="L320" s="69" t="s">
        <v>1881</v>
      </c>
      <c r="M320" s="71">
        <v>43710</v>
      </c>
      <c r="N320" s="69" t="s">
        <v>70</v>
      </c>
      <c r="O320" s="71">
        <v>43720</v>
      </c>
      <c r="P320" s="69"/>
      <c r="Q320" s="69" t="s">
        <v>77</v>
      </c>
      <c r="R320" s="73" t="s">
        <v>1882</v>
      </c>
      <c r="S320" s="69">
        <v>960928</v>
      </c>
      <c r="T320" s="69"/>
      <c r="U320" s="69" t="s">
        <v>1984</v>
      </c>
      <c r="V320" s="69" t="s">
        <v>53</v>
      </c>
      <c r="W320" s="70">
        <v>60.11</v>
      </c>
      <c r="X320" s="69"/>
      <c r="Y320" s="70">
        <f>IFERROR(VLOOKUP(factures[[#This Row],[DT Prestation Amiante 2]],presta_amiante2[#Data],2,0),0)</f>
        <v>0</v>
      </c>
      <c r="Z320" s="69"/>
      <c r="AA320" s="70">
        <f>IFERROR(VLOOKUP(factures[[#This Row],[DT Prestation Gaz]],presta_gaz[#Data],2,0),0)</f>
        <v>0</v>
      </c>
      <c r="AB320" s="69">
        <v>4</v>
      </c>
      <c r="AC320" s="69" t="s">
        <v>73</v>
      </c>
      <c r="AD320" s="70">
        <v>36.99</v>
      </c>
      <c r="AE320" s="70">
        <f>IFERROR(factures[[#This Row],[Plvts ]]*factures[[#This Row],[Prix Analyses]],0)</f>
        <v>147.96</v>
      </c>
      <c r="AF320" s="70">
        <f>factures[[#This Row],[Prix Prestation Amiante 1]]+factures[[#This Row],[Prix Prestation Amiante 2]]+factures[[#This Row],[Prix Prestation Gaz]]+factures[[#This Row],[Prix analyses HT]]</f>
        <v>208.07</v>
      </c>
      <c r="AG320" s="69" t="s">
        <v>2099</v>
      </c>
      <c r="AH320" s="86" t="s">
        <v>2098</v>
      </c>
      <c r="AI320" s="69"/>
    </row>
    <row r="321" spans="1:35" ht="108" x14ac:dyDescent="0.3">
      <c r="A321" s="92" t="s">
        <v>1885</v>
      </c>
      <c r="B321" s="72">
        <v>78540</v>
      </c>
      <c r="C321" s="69" t="s">
        <v>351</v>
      </c>
      <c r="D321" s="69" t="s">
        <v>1693</v>
      </c>
      <c r="E321" s="69">
        <v>1202</v>
      </c>
      <c r="F321" s="69">
        <v>12</v>
      </c>
      <c r="G321" s="69">
        <v>3</v>
      </c>
      <c r="H321" s="69">
        <v>53524</v>
      </c>
      <c r="I321" s="69">
        <v>9700</v>
      </c>
      <c r="J321" s="69" t="s">
        <v>1770</v>
      </c>
      <c r="K321" s="69"/>
      <c r="L321" s="69" t="s">
        <v>1989</v>
      </c>
      <c r="M321" s="71">
        <v>43710</v>
      </c>
      <c r="N321" s="69" t="s">
        <v>83</v>
      </c>
      <c r="O321" s="71">
        <v>43724</v>
      </c>
      <c r="P321" s="69"/>
      <c r="Q321" s="69" t="s">
        <v>77</v>
      </c>
      <c r="R321" s="73" t="s">
        <v>1886</v>
      </c>
      <c r="S321" s="69">
        <v>961069</v>
      </c>
      <c r="T321" s="69"/>
      <c r="U321" s="69" t="s">
        <v>2004</v>
      </c>
      <c r="V321" s="69" t="s">
        <v>56</v>
      </c>
      <c r="W321" s="70">
        <v>46.24</v>
      </c>
      <c r="X321" s="69" t="s">
        <v>53</v>
      </c>
      <c r="Y321" s="70">
        <v>60.11</v>
      </c>
      <c r="Z321" s="69" t="s">
        <v>61</v>
      </c>
      <c r="AA321" s="70">
        <v>41.62</v>
      </c>
      <c r="AB321" s="69">
        <v>4</v>
      </c>
      <c r="AC321" s="69" t="s">
        <v>73</v>
      </c>
      <c r="AD321" s="70">
        <v>36.99</v>
      </c>
      <c r="AE321" s="70">
        <f>IFERROR(factures[[#This Row],[Plvts ]]*factures[[#This Row],[Prix Analyses]],0)</f>
        <v>147.96</v>
      </c>
      <c r="AF321" s="70">
        <f>factures[[#This Row],[Prix Prestation Amiante 1]]+factures[[#This Row],[Prix Prestation Amiante 2]]+factures[[#This Row],[Prix Prestation Gaz]]+factures[[#This Row],[Prix analyses HT]]</f>
        <v>295.93</v>
      </c>
      <c r="AG321" s="69" t="s">
        <v>2127</v>
      </c>
      <c r="AH321" s="86" t="s">
        <v>2126</v>
      </c>
      <c r="AI321" s="69"/>
    </row>
    <row r="322" spans="1:35" ht="40.799999999999997" x14ac:dyDescent="0.3">
      <c r="A322" s="92" t="s">
        <v>1887</v>
      </c>
      <c r="B322" s="72">
        <v>78960</v>
      </c>
      <c r="C322" s="69" t="s">
        <v>196</v>
      </c>
      <c r="D322" s="69" t="s">
        <v>832</v>
      </c>
      <c r="E322" s="69">
        <v>2</v>
      </c>
      <c r="F322" s="69" t="s">
        <v>816</v>
      </c>
      <c r="G322" s="69">
        <v>4</v>
      </c>
      <c r="H322" s="69">
        <v>38251</v>
      </c>
      <c r="I322" s="69">
        <v>761</v>
      </c>
      <c r="J322" s="69" t="s">
        <v>198</v>
      </c>
      <c r="K322" s="69"/>
      <c r="L322" s="69" t="s">
        <v>1888</v>
      </c>
      <c r="M322" s="71">
        <v>43710</v>
      </c>
      <c r="N322" s="69" t="s">
        <v>83</v>
      </c>
      <c r="O322" s="71">
        <v>43713</v>
      </c>
      <c r="P322" s="69"/>
      <c r="Q322" s="69" t="s">
        <v>77</v>
      </c>
      <c r="R322" s="73" t="s">
        <v>1889</v>
      </c>
      <c r="S322" s="69">
        <v>961065</v>
      </c>
      <c r="T322" s="69"/>
      <c r="U322" s="69" t="s">
        <v>1917</v>
      </c>
      <c r="V322" s="69" t="s">
        <v>55</v>
      </c>
      <c r="W322" s="70">
        <v>55.49</v>
      </c>
      <c r="X322" s="69" t="s">
        <v>54</v>
      </c>
      <c r="Y322" s="70">
        <v>69.36</v>
      </c>
      <c r="Z322" s="69"/>
      <c r="AA322" s="70">
        <f>IFERROR(VLOOKUP(factures[[#This Row],[DT Prestation Gaz]],presta_gaz[#Data],2,0),0)</f>
        <v>0</v>
      </c>
      <c r="AB322" s="69">
        <v>9</v>
      </c>
      <c r="AC322" s="69" t="s">
        <v>73</v>
      </c>
      <c r="AD322" s="70">
        <v>36.99</v>
      </c>
      <c r="AE322" s="70">
        <f>IFERROR(factures[[#This Row],[Plvts ]]*factures[[#This Row],[Prix Analyses]],0)</f>
        <v>332.91</v>
      </c>
      <c r="AF322" s="70">
        <f>factures[[#This Row],[Prix Prestation Amiante 1]]+factures[[#This Row],[Prix Prestation Amiante 2]]+factures[[#This Row],[Prix Prestation Gaz]]+factures[[#This Row],[Prix analyses HT]]</f>
        <v>457.76</v>
      </c>
      <c r="AG322" s="69" t="s">
        <v>2359</v>
      </c>
      <c r="AH322" s="86" t="s">
        <v>2358</v>
      </c>
      <c r="AI322" s="69"/>
    </row>
    <row r="323" spans="1:35" ht="24" x14ac:dyDescent="0.3">
      <c r="A323" s="69" t="s">
        <v>1890</v>
      </c>
      <c r="B323" s="72">
        <v>78260</v>
      </c>
      <c r="C323" s="69" t="s">
        <v>1082</v>
      </c>
      <c r="D323" s="69" t="s">
        <v>1083</v>
      </c>
      <c r="E323" s="69" t="s">
        <v>1891</v>
      </c>
      <c r="F323" s="69">
        <v>2</v>
      </c>
      <c r="G323" s="69">
        <v>2</v>
      </c>
      <c r="H323" s="69">
        <v>62286</v>
      </c>
      <c r="I323" s="69">
        <v>108</v>
      </c>
      <c r="J323" s="69" t="s">
        <v>1892</v>
      </c>
      <c r="K323" s="69"/>
      <c r="L323" s="69" t="s">
        <v>1893</v>
      </c>
      <c r="M323" s="71">
        <v>43710</v>
      </c>
      <c r="N323" s="69" t="s">
        <v>72</v>
      </c>
      <c r="O323" s="71">
        <v>43714</v>
      </c>
      <c r="P323" s="69"/>
      <c r="Q323" s="69" t="s">
        <v>77</v>
      </c>
      <c r="R323" s="73"/>
      <c r="S323" s="69">
        <v>961126</v>
      </c>
      <c r="T323" s="69"/>
      <c r="U323" s="69"/>
      <c r="V323" s="69"/>
      <c r="W323" s="70">
        <f>IFERROR(VLOOKUP(factures[[#This Row],[DT Prestation Amiante 1]],presta_amiante1[#Data],2,0),0)</f>
        <v>0</v>
      </c>
      <c r="X323" s="69"/>
      <c r="Y323" s="70">
        <f>IFERROR(VLOOKUP(factures[[#This Row],[DT Prestation Amiante 2]],presta_amiante2[#Data],2,0),0)</f>
        <v>0</v>
      </c>
      <c r="Z323" s="69" t="s">
        <v>61</v>
      </c>
      <c r="AA323" s="70">
        <v>41.62</v>
      </c>
      <c r="AB323" s="69"/>
      <c r="AC323" s="69"/>
      <c r="AD323" s="70">
        <f>IFERROR(VLOOKUP(factures[[#This Row],[DT Analyses]],DT_analyses[#Data],2,0),0)</f>
        <v>0</v>
      </c>
      <c r="AE323" s="70">
        <f>IFERROR(factures[[#This Row],[Plvts ]]*factures[[#This Row],[Prix Analyses]],0)</f>
        <v>0</v>
      </c>
      <c r="AF323" s="70">
        <f>factures[[#This Row],[Prix Prestation Amiante 1]]+factures[[#This Row],[Prix Prestation Amiante 2]]+factures[[#This Row],[Prix Prestation Gaz]]+factures[[#This Row],[Prix analyses HT]]</f>
        <v>41.62</v>
      </c>
      <c r="AG323" s="69" t="s">
        <v>2075</v>
      </c>
      <c r="AH323" s="86" t="s">
        <v>2070</v>
      </c>
      <c r="AI323" s="69"/>
    </row>
    <row r="324" spans="1:35" ht="48" x14ac:dyDescent="0.3">
      <c r="A324" s="92" t="s">
        <v>561</v>
      </c>
      <c r="B324" s="72">
        <v>78500</v>
      </c>
      <c r="C324" s="69" t="s">
        <v>214</v>
      </c>
      <c r="D324" s="69" t="s">
        <v>215</v>
      </c>
      <c r="E324" s="69">
        <v>306</v>
      </c>
      <c r="F324" s="69">
        <v>3</v>
      </c>
      <c r="G324" s="69">
        <v>2</v>
      </c>
      <c r="H324" s="69">
        <v>36230</v>
      </c>
      <c r="I324" s="69">
        <v>588</v>
      </c>
      <c r="J324" s="69" t="s">
        <v>216</v>
      </c>
      <c r="K324" s="69"/>
      <c r="L324" s="69" t="s">
        <v>1894</v>
      </c>
      <c r="M324" s="71">
        <v>43710</v>
      </c>
      <c r="N324" s="69" t="s">
        <v>84</v>
      </c>
      <c r="O324" s="71">
        <v>43714</v>
      </c>
      <c r="P324" s="79" t="s">
        <v>131</v>
      </c>
      <c r="Q324" s="69" t="s">
        <v>77</v>
      </c>
      <c r="R324" s="73" t="s">
        <v>1895</v>
      </c>
      <c r="S324" s="69">
        <v>961098</v>
      </c>
      <c r="T324" s="69"/>
      <c r="U324" s="69" t="s">
        <v>1932</v>
      </c>
      <c r="V324" s="69" t="s">
        <v>55</v>
      </c>
      <c r="W324" s="70">
        <v>55.49</v>
      </c>
      <c r="X324" s="69" t="s">
        <v>53</v>
      </c>
      <c r="Y324" s="70">
        <v>60.11</v>
      </c>
      <c r="Z324" s="69" t="s">
        <v>61</v>
      </c>
      <c r="AA324" s="70">
        <v>41.62</v>
      </c>
      <c r="AB324" s="69">
        <v>2</v>
      </c>
      <c r="AC324" s="69" t="s">
        <v>73</v>
      </c>
      <c r="AD324" s="70">
        <v>36.99</v>
      </c>
      <c r="AE324" s="70">
        <f>IFERROR(factures[[#This Row],[Plvts ]]*factures[[#This Row],[Prix Analyses]],0)</f>
        <v>73.98</v>
      </c>
      <c r="AF324" s="70">
        <f>factures[[#This Row],[Prix Prestation Amiante 1]]+factures[[#This Row],[Prix Prestation Amiante 2]]+factures[[#This Row],[Prix Prestation Gaz]]+factures[[#This Row],[Prix analyses HT]]</f>
        <v>231.2</v>
      </c>
      <c r="AG324" s="69" t="s">
        <v>2088</v>
      </c>
      <c r="AH324" s="86" t="s">
        <v>2070</v>
      </c>
      <c r="AI324" s="69"/>
    </row>
    <row r="325" spans="1:35" ht="36" x14ac:dyDescent="0.3">
      <c r="A325" s="92" t="s">
        <v>879</v>
      </c>
      <c r="B325" s="72">
        <v>78260</v>
      </c>
      <c r="C325" s="69" t="s">
        <v>1082</v>
      </c>
      <c r="D325" s="69" t="s">
        <v>438</v>
      </c>
      <c r="E325" s="69">
        <v>203</v>
      </c>
      <c r="F325" s="69">
        <v>2</v>
      </c>
      <c r="G325" s="69">
        <v>2</v>
      </c>
      <c r="H325" s="69">
        <v>39756</v>
      </c>
      <c r="I325" s="69">
        <v>815</v>
      </c>
      <c r="J325" s="69" t="s">
        <v>1892</v>
      </c>
      <c r="K325" s="69"/>
      <c r="L325" s="69" t="s">
        <v>1899</v>
      </c>
      <c r="M325" s="71">
        <v>43711</v>
      </c>
      <c r="N325" s="69" t="s">
        <v>84</v>
      </c>
      <c r="O325" s="71">
        <v>43714</v>
      </c>
      <c r="P325" s="69"/>
      <c r="Q325" s="69" t="s">
        <v>77</v>
      </c>
      <c r="R325" s="73" t="s">
        <v>1900</v>
      </c>
      <c r="S325" s="69">
        <v>961199</v>
      </c>
      <c r="T325" s="69"/>
      <c r="U325" s="69" t="s">
        <v>1933</v>
      </c>
      <c r="V325" s="69" t="s">
        <v>55</v>
      </c>
      <c r="W325" s="70">
        <v>55.49</v>
      </c>
      <c r="X325" s="69" t="s">
        <v>53</v>
      </c>
      <c r="Y325" s="70">
        <v>60.11</v>
      </c>
      <c r="Z325" s="69" t="s">
        <v>61</v>
      </c>
      <c r="AA325" s="70">
        <v>41.62</v>
      </c>
      <c r="AB325" s="69">
        <v>4</v>
      </c>
      <c r="AC325" s="69" t="s">
        <v>73</v>
      </c>
      <c r="AD325" s="70">
        <v>36.99</v>
      </c>
      <c r="AE325" s="70">
        <f>IFERROR(factures[[#This Row],[Plvts ]]*factures[[#This Row],[Prix Analyses]],0)</f>
        <v>147.96</v>
      </c>
      <c r="AF325" s="70">
        <f>factures[[#This Row],[Prix Prestation Amiante 1]]+factures[[#This Row],[Prix Prestation Amiante 2]]+factures[[#This Row],[Prix Prestation Gaz]]+factures[[#This Row],[Prix analyses HT]]</f>
        <v>305.18</v>
      </c>
      <c r="AG325" s="69" t="s">
        <v>2193</v>
      </c>
      <c r="AH325" s="86" t="s">
        <v>2194</v>
      </c>
      <c r="AI325" s="69"/>
    </row>
    <row r="326" spans="1:35" ht="36" x14ac:dyDescent="0.3">
      <c r="A326" s="92" t="s">
        <v>99</v>
      </c>
      <c r="B326" s="72">
        <v>94460</v>
      </c>
      <c r="C326" s="69" t="s">
        <v>100</v>
      </c>
      <c r="D326" s="69" t="s">
        <v>101</v>
      </c>
      <c r="E326" s="69">
        <v>1</v>
      </c>
      <c r="F326" s="69" t="s">
        <v>816</v>
      </c>
      <c r="G326" s="69">
        <v>4</v>
      </c>
      <c r="H326" s="69">
        <v>49029</v>
      </c>
      <c r="I326" s="69">
        <v>9124</v>
      </c>
      <c r="J326" s="69" t="s">
        <v>1577</v>
      </c>
      <c r="K326" s="69"/>
      <c r="L326" s="69" t="s">
        <v>1919</v>
      </c>
      <c r="M326" s="71">
        <v>43713</v>
      </c>
      <c r="N326" s="69" t="s">
        <v>70</v>
      </c>
      <c r="O326" s="71">
        <v>43724</v>
      </c>
      <c r="P326" s="69"/>
      <c r="Q326" s="69" t="s">
        <v>77</v>
      </c>
      <c r="R326" s="73" t="s">
        <v>1920</v>
      </c>
      <c r="S326" s="69">
        <v>961641</v>
      </c>
      <c r="T326" s="69"/>
      <c r="U326" s="69" t="s">
        <v>2000</v>
      </c>
      <c r="V326" s="69" t="s">
        <v>54</v>
      </c>
      <c r="W326" s="70">
        <v>69.36</v>
      </c>
      <c r="X326" s="69"/>
      <c r="Y326" s="70">
        <f>IFERROR(VLOOKUP(factures[[#This Row],[DT Prestation Amiante 2]],presta_amiante2[#Data],2,0),0)</f>
        <v>0</v>
      </c>
      <c r="Z326" s="69"/>
      <c r="AA326" s="70">
        <f>IFERROR(VLOOKUP(factures[[#This Row],[DT Prestation Gaz]],presta_gaz[#Data],2,0),0)</f>
        <v>0</v>
      </c>
      <c r="AB326" s="69">
        <v>2</v>
      </c>
      <c r="AC326" s="69" t="s">
        <v>73</v>
      </c>
      <c r="AD326" s="70">
        <v>36.99</v>
      </c>
      <c r="AE326" s="70">
        <f>IFERROR(factures[[#This Row],[Plvts ]]*factures[[#This Row],[Prix Analyses]],0)</f>
        <v>73.98</v>
      </c>
      <c r="AF326" s="70">
        <f>factures[[#This Row],[Prix Prestation Amiante 1]]+factures[[#This Row],[Prix Prestation Amiante 2]]+factures[[#This Row],[Prix Prestation Gaz]]+factures[[#This Row],[Prix analyses HT]]</f>
        <v>143.34</v>
      </c>
      <c r="AG326" s="69" t="s">
        <v>2128</v>
      </c>
      <c r="AH326" s="86" t="s">
        <v>2126</v>
      </c>
      <c r="AI326" s="69"/>
    </row>
    <row r="327" spans="1:35" ht="36" x14ac:dyDescent="0.3">
      <c r="A327" s="92" t="s">
        <v>1188</v>
      </c>
      <c r="B327" s="72">
        <v>94380</v>
      </c>
      <c r="C327" s="69" t="s">
        <v>259</v>
      </c>
      <c r="D327" s="69" t="s">
        <v>260</v>
      </c>
      <c r="E327" s="69">
        <v>401</v>
      </c>
      <c r="F327" s="69">
        <v>4</v>
      </c>
      <c r="G327" s="69">
        <v>3</v>
      </c>
      <c r="H327" s="69">
        <v>33603</v>
      </c>
      <c r="I327" s="69">
        <v>511</v>
      </c>
      <c r="J327" s="69" t="s">
        <v>300</v>
      </c>
      <c r="K327" s="69" t="s">
        <v>2006</v>
      </c>
      <c r="L327" s="69" t="s">
        <v>1921</v>
      </c>
      <c r="M327" s="71">
        <v>43713</v>
      </c>
      <c r="N327" s="69" t="s">
        <v>71</v>
      </c>
      <c r="O327" s="71">
        <v>43725</v>
      </c>
      <c r="P327" s="69"/>
      <c r="Q327" s="69" t="s">
        <v>77</v>
      </c>
      <c r="R327" s="73" t="s">
        <v>1922</v>
      </c>
      <c r="S327" s="69">
        <v>961623</v>
      </c>
      <c r="T327" s="69"/>
      <c r="U327" s="69" t="s">
        <v>2018</v>
      </c>
      <c r="V327" s="69" t="s">
        <v>53</v>
      </c>
      <c r="W327" s="70">
        <v>60.11</v>
      </c>
      <c r="X327" s="69"/>
      <c r="Y327" s="70">
        <f>IFERROR(VLOOKUP(factures[[#This Row],[DT Prestation Amiante 2]],presta_amiante2[#Data],2,0),0)</f>
        <v>0</v>
      </c>
      <c r="Z327" s="69" t="s">
        <v>61</v>
      </c>
      <c r="AA327" s="70">
        <v>41.62</v>
      </c>
      <c r="AB327" s="69">
        <v>3</v>
      </c>
      <c r="AC327" s="69" t="s">
        <v>73</v>
      </c>
      <c r="AD327" s="70">
        <v>36.99</v>
      </c>
      <c r="AE327" s="70">
        <f>IFERROR(factures[[#This Row],[Plvts ]]*factures[[#This Row],[Prix Analyses]],0)</f>
        <v>110.97</v>
      </c>
      <c r="AF327" s="70">
        <f>factures[[#This Row],[Prix Prestation Amiante 1]]+factures[[#This Row],[Prix Prestation Amiante 2]]+factures[[#This Row],[Prix Prestation Gaz]]+factures[[#This Row],[Prix analyses HT]]</f>
        <v>212.7</v>
      </c>
      <c r="AG327" s="69" t="s">
        <v>2144</v>
      </c>
      <c r="AH327" s="86" t="s">
        <v>2145</v>
      </c>
      <c r="AI327" s="69"/>
    </row>
    <row r="328" spans="1:35" ht="48" x14ac:dyDescent="0.3">
      <c r="A328" s="92" t="s">
        <v>1470</v>
      </c>
      <c r="B328" s="72">
        <v>92100</v>
      </c>
      <c r="C328" s="69" t="s">
        <v>133</v>
      </c>
      <c r="D328" s="69" t="s">
        <v>849</v>
      </c>
      <c r="E328" s="69">
        <v>67</v>
      </c>
      <c r="F328" s="69">
        <v>6</v>
      </c>
      <c r="G328" s="69">
        <v>2</v>
      </c>
      <c r="H328" s="69">
        <v>60764</v>
      </c>
      <c r="I328" s="69">
        <v>753</v>
      </c>
      <c r="J328" s="69" t="s">
        <v>1923</v>
      </c>
      <c r="K328" s="69" t="s">
        <v>1957</v>
      </c>
      <c r="L328" s="69" t="s">
        <v>1924</v>
      </c>
      <c r="M328" s="71">
        <v>43713</v>
      </c>
      <c r="N328" s="69" t="s">
        <v>70</v>
      </c>
      <c r="O328" s="71">
        <v>43720</v>
      </c>
      <c r="P328" s="69"/>
      <c r="Q328" s="69" t="s">
        <v>67</v>
      </c>
      <c r="R328" s="73" t="s">
        <v>1925</v>
      </c>
      <c r="S328" s="69">
        <v>961580</v>
      </c>
      <c r="T328" s="69"/>
      <c r="U328" s="69"/>
      <c r="V328" s="69" t="s">
        <v>53</v>
      </c>
      <c r="W328" s="70">
        <f>IFERROR(VLOOKUP(factures[[#This Row],[DT Prestation Amiante 1]],presta_amiante1[#Data],2,0),0)</f>
        <v>60.11</v>
      </c>
      <c r="X328" s="69"/>
      <c r="Y328" s="70">
        <f>IFERROR(VLOOKUP(factures[[#This Row],[DT Prestation Amiante 2]],presta_amiante2[#Data],2,0),0)</f>
        <v>0</v>
      </c>
      <c r="Z328" s="69"/>
      <c r="AA328" s="70">
        <f>IFERROR(VLOOKUP(factures[[#This Row],[DT Prestation Gaz]],presta_gaz[#Data],2,0),0)</f>
        <v>0</v>
      </c>
      <c r="AB328" s="69"/>
      <c r="AC328" s="69" t="s">
        <v>73</v>
      </c>
      <c r="AD328" s="70">
        <f>IFERROR(VLOOKUP(factures[[#This Row],[DT Analyses]],DT_analyses[#Data],2,0),0)</f>
        <v>36.99</v>
      </c>
      <c r="AE328" s="70">
        <f>IFERROR(factures[[#This Row],[Plvts ]]*factures[[#This Row],[Prix Analyses]],0)</f>
        <v>0</v>
      </c>
      <c r="AF328" s="70">
        <f>factures[[#This Row],[Prix Prestation Amiante 1]]+factures[[#This Row],[Prix Prestation Amiante 2]]+factures[[#This Row],[Prix Prestation Gaz]]+factures[[#This Row],[Prix analyses HT]]</f>
        <v>60.11</v>
      </c>
      <c r="AG328" s="69"/>
      <c r="AH328" s="86"/>
      <c r="AI328" s="69"/>
    </row>
    <row r="329" spans="1:35" ht="24" x14ac:dyDescent="0.3">
      <c r="A329" s="69" t="s">
        <v>1926</v>
      </c>
      <c r="B329" s="72">
        <v>78260</v>
      </c>
      <c r="C329" s="69" t="s">
        <v>1082</v>
      </c>
      <c r="D329" s="69" t="s">
        <v>1083</v>
      </c>
      <c r="E329" s="69" t="s">
        <v>1927</v>
      </c>
      <c r="F329" s="69">
        <v>2</v>
      </c>
      <c r="G329" s="69">
        <v>3</v>
      </c>
      <c r="H329" s="69">
        <v>62301</v>
      </c>
      <c r="I329" s="69">
        <v>108</v>
      </c>
      <c r="J329" s="69" t="s">
        <v>2002</v>
      </c>
      <c r="K329" s="69"/>
      <c r="L329" s="69" t="s">
        <v>1928</v>
      </c>
      <c r="M329" s="71">
        <v>43713</v>
      </c>
      <c r="N329" s="69" t="s">
        <v>72</v>
      </c>
      <c r="O329" s="71">
        <v>43726</v>
      </c>
      <c r="P329" s="69"/>
      <c r="Q329" s="69" t="s">
        <v>77</v>
      </c>
      <c r="R329" s="73"/>
      <c r="S329" s="69">
        <v>961592</v>
      </c>
      <c r="T329" s="69"/>
      <c r="U329" s="69"/>
      <c r="V329" s="69"/>
      <c r="W329" s="70">
        <f>IFERROR(VLOOKUP(factures[[#This Row],[DT Prestation Amiante 1]],presta_amiante1[#Data],2,0),0)</f>
        <v>0</v>
      </c>
      <c r="X329" s="69"/>
      <c r="Y329" s="70">
        <f>IFERROR(VLOOKUP(factures[[#This Row],[DT Prestation Amiante 2]],presta_amiante2[#Data],2,0),0)</f>
        <v>0</v>
      </c>
      <c r="Z329" s="69" t="s">
        <v>61</v>
      </c>
      <c r="AA329" s="70">
        <v>41.62</v>
      </c>
      <c r="AB329" s="69"/>
      <c r="AC329" s="69"/>
      <c r="AD329" s="70">
        <f>IFERROR(VLOOKUP(factures[[#This Row],[DT Analyses]],DT_analyses[#Data],2,0),0)</f>
        <v>0</v>
      </c>
      <c r="AE329" s="70">
        <f>IFERROR(factures[[#This Row],[Plvts ]]*factures[[#This Row],[Prix Analyses]],0)</f>
        <v>0</v>
      </c>
      <c r="AF329" s="70">
        <f>factures[[#This Row],[Prix Prestation Amiante 1]]+factures[[#This Row],[Prix Prestation Amiante 2]]+factures[[#This Row],[Prix Prestation Gaz]]+factures[[#This Row],[Prix analyses HT]]</f>
        <v>41.62</v>
      </c>
      <c r="AG329" s="69" t="s">
        <v>2195</v>
      </c>
      <c r="AH329" s="86" t="s">
        <v>2194</v>
      </c>
      <c r="AI329" s="69"/>
    </row>
    <row r="330" spans="1:35" ht="36" x14ac:dyDescent="0.3">
      <c r="A330" s="92" t="s">
        <v>1929</v>
      </c>
      <c r="B330" s="72">
        <v>78130</v>
      </c>
      <c r="C330" s="69" t="s">
        <v>553</v>
      </c>
      <c r="D330" s="69" t="s">
        <v>554</v>
      </c>
      <c r="E330" s="69">
        <v>401</v>
      </c>
      <c r="F330" s="69">
        <v>4</v>
      </c>
      <c r="G330" s="69">
        <v>3</v>
      </c>
      <c r="H330" s="69">
        <v>50818</v>
      </c>
      <c r="I330" s="69">
        <v>1025</v>
      </c>
      <c r="J330" s="69" t="s">
        <v>1531</v>
      </c>
      <c r="K330" s="69"/>
      <c r="L330" s="69" t="s">
        <v>1930</v>
      </c>
      <c r="M330" s="71">
        <v>43713</v>
      </c>
      <c r="N330" s="69" t="s">
        <v>83</v>
      </c>
      <c r="O330" s="71">
        <v>43720</v>
      </c>
      <c r="P330" s="69"/>
      <c r="Q330" s="69" t="s">
        <v>77</v>
      </c>
      <c r="R330" s="73" t="s">
        <v>1931</v>
      </c>
      <c r="S330" s="69">
        <v>947705</v>
      </c>
      <c r="T330" s="69"/>
      <c r="U330" s="69" t="s">
        <v>1986</v>
      </c>
      <c r="V330" s="69" t="s">
        <v>55</v>
      </c>
      <c r="W330" s="70">
        <v>55.28</v>
      </c>
      <c r="X330" s="69" t="s">
        <v>53</v>
      </c>
      <c r="Y330" s="70">
        <v>59.89</v>
      </c>
      <c r="Z330" s="69"/>
      <c r="AA330" s="70">
        <f>IFERROR(VLOOKUP(factures[[#This Row],[DT Prestation Gaz]],presta_gaz[#Data],2,0),0)</f>
        <v>0</v>
      </c>
      <c r="AB330" s="69">
        <v>9</v>
      </c>
      <c r="AC330" s="69" t="s">
        <v>73</v>
      </c>
      <c r="AD330" s="70">
        <v>36.85</v>
      </c>
      <c r="AE330" s="70">
        <f>IFERROR(factures[[#This Row],[Plvts ]]*factures[[#This Row],[Prix Analyses]],0)</f>
        <v>331.65000000000003</v>
      </c>
      <c r="AF330" s="70">
        <f>factures[[#This Row],[Prix Prestation Amiante 1]]+factures[[#This Row],[Prix Prestation Amiante 2]]+factures[[#This Row],[Prix Prestation Gaz]]+factures[[#This Row],[Prix analyses HT]]</f>
        <v>446.82000000000005</v>
      </c>
      <c r="AG330" s="69" t="s">
        <v>2235</v>
      </c>
      <c r="AH330" s="86" t="s">
        <v>2233</v>
      </c>
      <c r="AI330" s="69"/>
    </row>
    <row r="331" spans="1:35" ht="36" x14ac:dyDescent="0.3">
      <c r="A331" s="92" t="s">
        <v>2118</v>
      </c>
      <c r="B331" s="72">
        <v>94000</v>
      </c>
      <c r="C331" s="69" t="s">
        <v>1497</v>
      </c>
      <c r="D331" s="69" t="s">
        <v>299</v>
      </c>
      <c r="E331" s="69">
        <v>102</v>
      </c>
      <c r="F331" s="69">
        <v>1</v>
      </c>
      <c r="G331" s="69"/>
      <c r="H331" s="69">
        <v>37117</v>
      </c>
      <c r="I331" s="69">
        <v>830</v>
      </c>
      <c r="J331" s="69" t="s">
        <v>300</v>
      </c>
      <c r="K331" s="69"/>
      <c r="L331" s="69" t="s">
        <v>1936</v>
      </c>
      <c r="M331" s="71">
        <v>43714</v>
      </c>
      <c r="N331" s="69" t="s">
        <v>70</v>
      </c>
      <c r="O331" s="71">
        <v>43725</v>
      </c>
      <c r="P331" s="69"/>
      <c r="Q331" s="69" t="s">
        <v>77</v>
      </c>
      <c r="R331" s="73" t="s">
        <v>1935</v>
      </c>
      <c r="S331" s="69">
        <v>961704</v>
      </c>
      <c r="T331" s="92" t="s">
        <v>1990</v>
      </c>
      <c r="U331" s="69" t="s">
        <v>2017</v>
      </c>
      <c r="V331" s="69" t="s">
        <v>53</v>
      </c>
      <c r="W331" s="70">
        <v>60.11</v>
      </c>
      <c r="X331" s="69"/>
      <c r="Y331" s="70">
        <f>IFERROR(VLOOKUP(factures[[#This Row],[DT Prestation Amiante 2]],presta_amiante2[#Data],2,0),0)</f>
        <v>0</v>
      </c>
      <c r="Z331" s="69"/>
      <c r="AA331" s="70">
        <f>IFERROR(VLOOKUP(factures[[#This Row],[DT Prestation Gaz]],presta_gaz[#Data],2,0),0)</f>
        <v>0</v>
      </c>
      <c r="AB331" s="69">
        <v>4</v>
      </c>
      <c r="AC331" s="69" t="s">
        <v>73</v>
      </c>
      <c r="AD331" s="70">
        <v>36.99</v>
      </c>
      <c r="AE331" s="70">
        <f>IFERROR(factures[[#This Row],[Plvts ]]*factures[[#This Row],[Prix Analyses]],0)</f>
        <v>147.96</v>
      </c>
      <c r="AF331" s="70">
        <f>factures[[#This Row],[Prix Prestation Amiante 1]]+factures[[#This Row],[Prix Prestation Amiante 2]]+factures[[#This Row],[Prix Prestation Gaz]]+factures[[#This Row],[Prix analyses HT]]</f>
        <v>208.07</v>
      </c>
      <c r="AG331" s="69" t="s">
        <v>2129</v>
      </c>
      <c r="AH331" s="86" t="s">
        <v>2126</v>
      </c>
      <c r="AI331" s="69"/>
    </row>
    <row r="332" spans="1:35" ht="36" x14ac:dyDescent="0.3">
      <c r="A332" s="92" t="s">
        <v>1937</v>
      </c>
      <c r="B332" s="72">
        <v>92220</v>
      </c>
      <c r="C332" s="69" t="s">
        <v>418</v>
      </c>
      <c r="D332" s="69" t="s">
        <v>419</v>
      </c>
      <c r="E332" s="69">
        <v>401</v>
      </c>
      <c r="F332" s="69">
        <v>4</v>
      </c>
      <c r="G332" s="69"/>
      <c r="H332" s="69">
        <v>44754</v>
      </c>
      <c r="I332" s="69">
        <v>9152</v>
      </c>
      <c r="J332" s="69" t="s">
        <v>877</v>
      </c>
      <c r="K332" s="69"/>
      <c r="L332" s="69" t="s">
        <v>1938</v>
      </c>
      <c r="M332" s="71">
        <v>43714</v>
      </c>
      <c r="N332" s="69" t="s">
        <v>70</v>
      </c>
      <c r="O332" s="71">
        <v>43726</v>
      </c>
      <c r="P332" s="69" t="s">
        <v>131</v>
      </c>
      <c r="Q332" s="69" t="s">
        <v>77</v>
      </c>
      <c r="R332" s="73" t="s">
        <v>1935</v>
      </c>
      <c r="S332" s="69">
        <v>961683</v>
      </c>
      <c r="T332" s="69"/>
      <c r="U332" s="69" t="s">
        <v>2028</v>
      </c>
      <c r="V332" s="69" t="s">
        <v>53</v>
      </c>
      <c r="W332" s="70">
        <v>60.11</v>
      </c>
      <c r="X332" s="69"/>
      <c r="Y332" s="70">
        <f>IFERROR(VLOOKUP(factures[[#This Row],[DT Prestation Amiante 2]],presta_amiante2[#Data],2,0),0)</f>
        <v>0</v>
      </c>
      <c r="Z332" s="69"/>
      <c r="AA332" s="70">
        <f>IFERROR(VLOOKUP(factures[[#This Row],[DT Prestation Gaz]],presta_gaz[#Data],2,0),0)</f>
        <v>0</v>
      </c>
      <c r="AB332" s="69">
        <v>6</v>
      </c>
      <c r="AC332" s="69" t="s">
        <v>73</v>
      </c>
      <c r="AD332" s="70">
        <v>36.99</v>
      </c>
      <c r="AE332" s="70">
        <f>IFERROR(factures[[#This Row],[Plvts ]]*factures[[#This Row],[Prix Analyses]],0)</f>
        <v>221.94</v>
      </c>
      <c r="AF332" s="70">
        <f>factures[[#This Row],[Prix Prestation Amiante 1]]+factures[[#This Row],[Prix Prestation Amiante 2]]+factures[[#This Row],[Prix Prestation Gaz]]+factures[[#This Row],[Prix analyses HT]]</f>
        <v>282.05</v>
      </c>
      <c r="AG332" s="69" t="s">
        <v>2130</v>
      </c>
      <c r="AH332" s="86" t="s">
        <v>2126</v>
      </c>
      <c r="AI332" s="69"/>
    </row>
    <row r="333" spans="1:35" ht="36" x14ac:dyDescent="0.3">
      <c r="A333" s="92" t="s">
        <v>1940</v>
      </c>
      <c r="B333" s="72">
        <v>92220</v>
      </c>
      <c r="C333" s="69" t="s">
        <v>418</v>
      </c>
      <c r="D333" s="69" t="s">
        <v>1941</v>
      </c>
      <c r="E333" s="69">
        <v>603</v>
      </c>
      <c r="F333" s="69">
        <v>6</v>
      </c>
      <c r="G333" s="69">
        <v>2</v>
      </c>
      <c r="H333" s="69">
        <v>40903</v>
      </c>
      <c r="I333" s="69">
        <v>831</v>
      </c>
      <c r="J333" s="69" t="s">
        <v>877</v>
      </c>
      <c r="K333" s="69"/>
      <c r="L333" s="69" t="s">
        <v>1942</v>
      </c>
      <c r="M333" s="71">
        <v>43717</v>
      </c>
      <c r="N333" s="69" t="s">
        <v>71</v>
      </c>
      <c r="O333" s="71">
        <v>43720</v>
      </c>
      <c r="P333" s="69"/>
      <c r="Q333" s="69" t="s">
        <v>77</v>
      </c>
      <c r="R333" s="73" t="s">
        <v>205</v>
      </c>
      <c r="S333" s="69">
        <v>962029</v>
      </c>
      <c r="T333" s="69"/>
      <c r="U333" s="69" t="s">
        <v>1985</v>
      </c>
      <c r="V333" s="69" t="s">
        <v>53</v>
      </c>
      <c r="W333" s="70">
        <v>60.11</v>
      </c>
      <c r="X333" s="69"/>
      <c r="Y333" s="70">
        <f>IFERROR(VLOOKUP(factures[[#This Row],[DT Prestation Amiante 2]],presta_amiante2[#Data],2,0),0)</f>
        <v>0</v>
      </c>
      <c r="Z333" s="69" t="s">
        <v>61</v>
      </c>
      <c r="AA333" s="70">
        <v>41.62</v>
      </c>
      <c r="AB333" s="69">
        <v>1</v>
      </c>
      <c r="AC333" s="69" t="s">
        <v>73</v>
      </c>
      <c r="AD333" s="70">
        <v>36.99</v>
      </c>
      <c r="AE333" s="70">
        <f>IFERROR(factures[[#This Row],[Plvts ]]*factures[[#This Row],[Prix Analyses]],0)</f>
        <v>36.99</v>
      </c>
      <c r="AF333" s="70">
        <f>factures[[#This Row],[Prix Prestation Amiante 1]]+factures[[#This Row],[Prix Prestation Amiante 2]]+factures[[#This Row],[Prix Prestation Gaz]]+factures[[#This Row],[Prix analyses HT]]</f>
        <v>138.72</v>
      </c>
      <c r="AG333" s="69" t="s">
        <v>2131</v>
      </c>
      <c r="AH333" s="86" t="s">
        <v>2126</v>
      </c>
      <c r="AI333" s="69"/>
    </row>
    <row r="334" spans="1:35" ht="108" x14ac:dyDescent="0.3">
      <c r="A334" s="92" t="s">
        <v>1970</v>
      </c>
      <c r="B334" s="72">
        <v>78540</v>
      </c>
      <c r="C334" s="69" t="s">
        <v>351</v>
      </c>
      <c r="D334" s="69" t="s">
        <v>639</v>
      </c>
      <c r="E334" s="69">
        <v>202</v>
      </c>
      <c r="F334" s="69">
        <v>2</v>
      </c>
      <c r="G334" s="69">
        <v>3</v>
      </c>
      <c r="H334" s="69">
        <v>53153</v>
      </c>
      <c r="I334" s="69">
        <v>9700</v>
      </c>
      <c r="J334" s="69" t="s">
        <v>1770</v>
      </c>
      <c r="K334" s="69"/>
      <c r="L334" s="69" t="s">
        <v>1971</v>
      </c>
      <c r="M334" s="71">
        <v>43718</v>
      </c>
      <c r="N334" s="69" t="s">
        <v>84</v>
      </c>
      <c r="O334" s="71">
        <v>43733</v>
      </c>
      <c r="P334" s="69" t="s">
        <v>334</v>
      </c>
      <c r="Q334" s="69" t="s">
        <v>77</v>
      </c>
      <c r="R334" s="73" t="s">
        <v>1972</v>
      </c>
      <c r="S334" s="69">
        <v>962238</v>
      </c>
      <c r="T334" s="69" t="s">
        <v>2119</v>
      </c>
      <c r="U334" s="69" t="s">
        <v>2104</v>
      </c>
      <c r="V334" s="69" t="s">
        <v>55</v>
      </c>
      <c r="W334" s="70">
        <v>55.49</v>
      </c>
      <c r="X334" s="69" t="s">
        <v>53</v>
      </c>
      <c r="Y334" s="70">
        <v>60.11</v>
      </c>
      <c r="Z334" s="69" t="s">
        <v>61</v>
      </c>
      <c r="AA334" s="70">
        <v>41.62</v>
      </c>
      <c r="AB334" s="69">
        <v>14</v>
      </c>
      <c r="AC334" s="69" t="s">
        <v>73</v>
      </c>
      <c r="AD334" s="70">
        <v>36.99</v>
      </c>
      <c r="AE334" s="70">
        <f>IFERROR(factures[[#This Row],[Plvts ]]*factures[[#This Row],[Prix Analyses]],0)</f>
        <v>517.86</v>
      </c>
      <c r="AF334" s="70">
        <f>factures[[#This Row],[Prix Prestation Amiante 1]]+factures[[#This Row],[Prix Prestation Amiante 2]]+factures[[#This Row],[Prix Prestation Gaz]]+factures[[#This Row],[Prix analyses HT]]</f>
        <v>675.08</v>
      </c>
      <c r="AG334" s="69" t="s">
        <v>2200</v>
      </c>
      <c r="AH334" s="86" t="s">
        <v>2201</v>
      </c>
      <c r="AI334" s="69"/>
    </row>
    <row r="335" spans="1:35" ht="84" x14ac:dyDescent="0.3">
      <c r="A335" s="92" t="s">
        <v>1538</v>
      </c>
      <c r="B335" s="72">
        <v>92500</v>
      </c>
      <c r="C335" s="69" t="s">
        <v>265</v>
      </c>
      <c r="D335" s="69" t="s">
        <v>266</v>
      </c>
      <c r="E335" s="69">
        <v>301</v>
      </c>
      <c r="F335" s="69">
        <v>3</v>
      </c>
      <c r="G335" s="69">
        <v>2</v>
      </c>
      <c r="H335" s="69">
        <v>62854</v>
      </c>
      <c r="I335" s="69">
        <v>9210</v>
      </c>
      <c r="J335" s="69" t="s">
        <v>1982</v>
      </c>
      <c r="K335" s="69"/>
      <c r="L335" s="69" t="s">
        <v>1973</v>
      </c>
      <c r="M335" s="71">
        <v>43718</v>
      </c>
      <c r="N335" s="69" t="s">
        <v>70</v>
      </c>
      <c r="O335" s="71">
        <v>43724</v>
      </c>
      <c r="P335" s="69"/>
      <c r="Q335" s="69" t="s">
        <v>77</v>
      </c>
      <c r="R335" s="73" t="s">
        <v>1979</v>
      </c>
      <c r="S335" s="69">
        <v>962259</v>
      </c>
      <c r="T335" s="69"/>
      <c r="U335" s="69" t="s">
        <v>2005</v>
      </c>
      <c r="V335" s="69" t="s">
        <v>53</v>
      </c>
      <c r="W335" s="70">
        <v>60.11</v>
      </c>
      <c r="X335" s="69"/>
      <c r="Y335" s="70">
        <f>IFERROR(VLOOKUP(factures[[#This Row],[DT Prestation Amiante 2]],presta_amiante2[#Data],2,0),0)</f>
        <v>0</v>
      </c>
      <c r="Z335" s="69" t="s">
        <v>61</v>
      </c>
      <c r="AA335" s="70"/>
      <c r="AB335" s="69">
        <v>1</v>
      </c>
      <c r="AC335" s="69" t="s">
        <v>73</v>
      </c>
      <c r="AD335" s="70">
        <v>36.99</v>
      </c>
      <c r="AE335" s="70">
        <f>IFERROR(factures[[#This Row],[Plvts ]]*factures[[#This Row],[Prix Analyses]],0)</f>
        <v>36.99</v>
      </c>
      <c r="AF335" s="70">
        <f>factures[[#This Row],[Prix Prestation Amiante 1]]+factures[[#This Row],[Prix Prestation Amiante 2]]+factures[[#This Row],[Prix Prestation Gaz]]+factures[[#This Row],[Prix analyses HT]]</f>
        <v>97.1</v>
      </c>
      <c r="AG335" s="69" t="s">
        <v>2132</v>
      </c>
      <c r="AH335" s="86" t="s">
        <v>2126</v>
      </c>
      <c r="AI335" s="69"/>
    </row>
    <row r="336" spans="1:35" ht="40.799999999999997" x14ac:dyDescent="0.3">
      <c r="A336" s="92" t="s">
        <v>1331</v>
      </c>
      <c r="B336" s="72">
        <v>92110</v>
      </c>
      <c r="C336" s="69" t="s">
        <v>764</v>
      </c>
      <c r="D336" s="69" t="s">
        <v>765</v>
      </c>
      <c r="E336" s="69">
        <v>602</v>
      </c>
      <c r="F336" s="69">
        <v>6</v>
      </c>
      <c r="G336" s="69">
        <v>4</v>
      </c>
      <c r="H336" s="69">
        <v>41664</v>
      </c>
      <c r="I336" s="69">
        <v>838</v>
      </c>
      <c r="J336" s="69" t="s">
        <v>1697</v>
      </c>
      <c r="K336" s="69"/>
      <c r="L336" s="69" t="s">
        <v>1980</v>
      </c>
      <c r="M336" s="71">
        <v>43718</v>
      </c>
      <c r="N336" s="69" t="s">
        <v>70</v>
      </c>
      <c r="O336" s="71">
        <v>43721</v>
      </c>
      <c r="P336" s="69"/>
      <c r="Q336" s="69" t="s">
        <v>77</v>
      </c>
      <c r="R336" s="73" t="s">
        <v>1981</v>
      </c>
      <c r="S336" s="69">
        <v>962400</v>
      </c>
      <c r="T336" s="69"/>
      <c r="U336" s="69" t="s">
        <v>1991</v>
      </c>
      <c r="V336" s="69" t="s">
        <v>54</v>
      </c>
      <c r="W336" s="70">
        <v>69.36</v>
      </c>
      <c r="X336" s="69"/>
      <c r="Y336" s="70">
        <f>IFERROR(VLOOKUP(factures[[#This Row],[DT Prestation Amiante 2]],presta_amiante2[#Data],2,0),0)</f>
        <v>0</v>
      </c>
      <c r="Z336" s="69"/>
      <c r="AA336" s="70">
        <f>IFERROR(VLOOKUP(factures[[#This Row],[DT Prestation Gaz]],presta_gaz[#Data],2,0),0)</f>
        <v>0</v>
      </c>
      <c r="AB336" s="69">
        <v>4</v>
      </c>
      <c r="AC336" s="69" t="s">
        <v>73</v>
      </c>
      <c r="AD336" s="70">
        <v>36.99</v>
      </c>
      <c r="AE336" s="70">
        <f>IFERROR(factures[[#This Row],[Plvts ]]*factures[[#This Row],[Prix Analyses]],0)</f>
        <v>147.96</v>
      </c>
      <c r="AF336" s="70">
        <f>factures[[#This Row],[Prix Prestation Amiante 1]]+factures[[#This Row],[Prix Prestation Amiante 2]]+factures[[#This Row],[Prix Prestation Gaz]]+factures[[#This Row],[Prix analyses HT]]</f>
        <v>217.32</v>
      </c>
      <c r="AG336" s="69" t="s">
        <v>2133</v>
      </c>
      <c r="AH336" s="86" t="s">
        <v>2126</v>
      </c>
      <c r="AI336" s="69"/>
    </row>
    <row r="337" spans="1:35" ht="36" x14ac:dyDescent="0.3">
      <c r="A337" s="92" t="s">
        <v>1992</v>
      </c>
      <c r="B337" s="72">
        <v>92120</v>
      </c>
      <c r="C337" s="69" t="s">
        <v>1993</v>
      </c>
      <c r="D337" s="69" t="s">
        <v>1994</v>
      </c>
      <c r="E337" s="69">
        <v>3</v>
      </c>
      <c r="F337" s="69" t="s">
        <v>102</v>
      </c>
      <c r="G337" s="69">
        <v>2</v>
      </c>
      <c r="H337" s="69">
        <v>11325</v>
      </c>
      <c r="I337" s="69">
        <v>175</v>
      </c>
      <c r="J337" s="69" t="s">
        <v>2001</v>
      </c>
      <c r="K337" s="69"/>
      <c r="L337" s="69" t="s">
        <v>1995</v>
      </c>
      <c r="M337" s="71">
        <v>43724</v>
      </c>
      <c r="N337" s="69" t="s">
        <v>1341</v>
      </c>
      <c r="O337" s="71">
        <v>43724</v>
      </c>
      <c r="P337" s="69" t="s">
        <v>337</v>
      </c>
      <c r="Q337" s="69" t="s">
        <v>77</v>
      </c>
      <c r="R337" s="73" t="s">
        <v>1996</v>
      </c>
      <c r="S337" s="69">
        <v>962837</v>
      </c>
      <c r="T337" s="69" t="s">
        <v>172</v>
      </c>
      <c r="U337" s="69" t="s">
        <v>2034</v>
      </c>
      <c r="V337" s="69" t="s">
        <v>53</v>
      </c>
      <c r="W337" s="70">
        <v>60.11</v>
      </c>
      <c r="X337" s="69" t="s">
        <v>93</v>
      </c>
      <c r="Y337" s="70">
        <v>80.459999999999994</v>
      </c>
      <c r="Z337" s="69"/>
      <c r="AA337" s="70">
        <f>IFERROR(VLOOKUP(factures[[#This Row],[DT Prestation Gaz]],presta_gaz[#Data],2,0),0)</f>
        <v>0</v>
      </c>
      <c r="AB337" s="69">
        <v>2</v>
      </c>
      <c r="AC337" s="69" t="s">
        <v>73</v>
      </c>
      <c r="AD337" s="70">
        <v>36.99</v>
      </c>
      <c r="AE337" s="70">
        <f>IFERROR(factures[[#This Row],[Plvts ]]*factures[[#This Row],[Prix Analyses]],0)</f>
        <v>73.98</v>
      </c>
      <c r="AF337" s="70">
        <f>factures[[#This Row],[Prix Prestation Amiante 1]]+factures[[#This Row],[Prix Prestation Amiante 2]]+factures[[#This Row],[Prix Prestation Gaz]]+factures[[#This Row],[Prix analyses HT]]</f>
        <v>214.55</v>
      </c>
      <c r="AG337" s="69" t="s">
        <v>2196</v>
      </c>
      <c r="AH337" s="86" t="s">
        <v>2194</v>
      </c>
      <c r="AI337" s="69"/>
    </row>
    <row r="338" spans="1:35" ht="36" x14ac:dyDescent="0.3">
      <c r="A338" s="92" t="s">
        <v>2007</v>
      </c>
      <c r="B338" s="72">
        <v>78200</v>
      </c>
      <c r="C338" s="69" t="s">
        <v>189</v>
      </c>
      <c r="D338" s="69" t="s">
        <v>2008</v>
      </c>
      <c r="E338" s="69">
        <v>2</v>
      </c>
      <c r="F338" s="69" t="s">
        <v>102</v>
      </c>
      <c r="G338" s="69">
        <v>4</v>
      </c>
      <c r="H338" s="69">
        <v>10706</v>
      </c>
      <c r="I338" s="69">
        <v>161</v>
      </c>
      <c r="J338" s="69" t="s">
        <v>1633</v>
      </c>
      <c r="K338" s="69"/>
      <c r="L338" s="69" t="s">
        <v>2009</v>
      </c>
      <c r="M338" s="71">
        <v>43724</v>
      </c>
      <c r="N338" s="69" t="s">
        <v>84</v>
      </c>
      <c r="O338" s="71">
        <v>43728</v>
      </c>
      <c r="P338" s="69" t="s">
        <v>2033</v>
      </c>
      <c r="Q338" s="69" t="s">
        <v>77</v>
      </c>
      <c r="R338" s="73" t="s">
        <v>2010</v>
      </c>
      <c r="S338" s="69">
        <v>962861</v>
      </c>
      <c r="T338" s="69"/>
      <c r="U338" s="69" t="s">
        <v>2041</v>
      </c>
      <c r="V338" s="69" t="s">
        <v>55</v>
      </c>
      <c r="W338" s="70">
        <v>55.49</v>
      </c>
      <c r="X338" s="69" t="s">
        <v>54</v>
      </c>
      <c r="Y338" s="70">
        <v>69.36</v>
      </c>
      <c r="Z338" s="69" t="s">
        <v>62</v>
      </c>
      <c r="AA338" s="70">
        <v>49.01</v>
      </c>
      <c r="AB338" s="69">
        <v>13</v>
      </c>
      <c r="AC338" s="69" t="s">
        <v>73</v>
      </c>
      <c r="AD338" s="70">
        <v>36.99</v>
      </c>
      <c r="AE338" s="70">
        <f>IFERROR(factures[[#This Row],[Plvts ]]*factures[[#This Row],[Prix Analyses]],0)</f>
        <v>480.87</v>
      </c>
      <c r="AF338" s="70">
        <f>factures[[#This Row],[Prix Prestation Amiante 1]]+factures[[#This Row],[Prix Prestation Amiante 2]]+factures[[#This Row],[Prix Prestation Gaz]]+factures[[#This Row],[Prix analyses HT]]</f>
        <v>654.73</v>
      </c>
      <c r="AG338" s="69" t="s">
        <v>2250</v>
      </c>
      <c r="AH338" s="86" t="s">
        <v>2249</v>
      </c>
      <c r="AI338" s="69"/>
    </row>
    <row r="339" spans="1:35" ht="84" x14ac:dyDescent="0.3">
      <c r="A339" s="92" t="s">
        <v>2011</v>
      </c>
      <c r="B339" s="69">
        <v>92500</v>
      </c>
      <c r="C339" s="69" t="s">
        <v>265</v>
      </c>
      <c r="D339" s="69" t="s">
        <v>2012</v>
      </c>
      <c r="E339" s="69">
        <v>401</v>
      </c>
      <c r="F339" s="69">
        <v>4</v>
      </c>
      <c r="G339" s="69">
        <v>4</v>
      </c>
      <c r="H339" s="69">
        <v>62961</v>
      </c>
      <c r="I339" s="69">
        <v>9210</v>
      </c>
      <c r="J339" s="69" t="s">
        <v>1982</v>
      </c>
      <c r="K339" s="69"/>
      <c r="L339" s="69" t="s">
        <v>2013</v>
      </c>
      <c r="M339" s="71">
        <v>43724</v>
      </c>
      <c r="N339" s="69" t="s">
        <v>71</v>
      </c>
      <c r="O339" s="71">
        <v>43726</v>
      </c>
      <c r="P339" s="69"/>
      <c r="Q339" s="69" t="s">
        <v>77</v>
      </c>
      <c r="R339" s="73" t="s">
        <v>2014</v>
      </c>
      <c r="S339" s="69">
        <v>962990</v>
      </c>
      <c r="T339" s="69"/>
      <c r="U339" s="69" t="s">
        <v>2029</v>
      </c>
      <c r="V339" s="69" t="s">
        <v>54</v>
      </c>
      <c r="W339" s="70">
        <v>69.36</v>
      </c>
      <c r="X339" s="69"/>
      <c r="Y339" s="70">
        <f>IFERROR(VLOOKUP(factures[[#This Row],[DT Prestation Amiante 2]],presta_amiante2[#Data],2,0),0)</f>
        <v>0</v>
      </c>
      <c r="Z339" s="69" t="s">
        <v>62</v>
      </c>
      <c r="AA339" s="70">
        <v>49.01</v>
      </c>
      <c r="AB339" s="69">
        <v>5</v>
      </c>
      <c r="AC339" s="69" t="s">
        <v>73</v>
      </c>
      <c r="AD339" s="70">
        <v>36.99</v>
      </c>
      <c r="AE339" s="70">
        <f>IFERROR(factures[[#This Row],[Plvts ]]*factures[[#This Row],[Prix Analyses]],0)</f>
        <v>184.95000000000002</v>
      </c>
      <c r="AF339" s="70">
        <f>factures[[#This Row],[Prix Prestation Amiante 1]]+factures[[#This Row],[Prix Prestation Amiante 2]]+factures[[#This Row],[Prix Prestation Gaz]]+factures[[#This Row],[Prix analyses HT]]</f>
        <v>303.32000000000005</v>
      </c>
      <c r="AG339" s="69" t="s">
        <v>2197</v>
      </c>
      <c r="AH339" s="86" t="s">
        <v>2194</v>
      </c>
      <c r="AI339" s="69"/>
    </row>
    <row r="340" spans="1:35" ht="40.799999999999997" x14ac:dyDescent="0.3">
      <c r="A340" s="92" t="s">
        <v>1581</v>
      </c>
      <c r="B340" s="72">
        <v>92600</v>
      </c>
      <c r="C340" s="69" t="s">
        <v>609</v>
      </c>
      <c r="D340" s="69" t="s">
        <v>1582</v>
      </c>
      <c r="E340" s="69">
        <v>301</v>
      </c>
      <c r="F340" s="69">
        <v>3</v>
      </c>
      <c r="G340" s="69">
        <v>4</v>
      </c>
      <c r="H340" s="69">
        <v>42052</v>
      </c>
      <c r="I340" s="69">
        <v>842</v>
      </c>
      <c r="J340" s="69" t="s">
        <v>785</v>
      </c>
      <c r="K340" s="69"/>
      <c r="L340" s="69" t="s">
        <v>2019</v>
      </c>
      <c r="M340" s="71">
        <v>43725</v>
      </c>
      <c r="N340" s="69" t="s">
        <v>71</v>
      </c>
      <c r="O340" s="71">
        <v>43728</v>
      </c>
      <c r="P340" s="69" t="s">
        <v>614</v>
      </c>
      <c r="Q340" s="69" t="s">
        <v>77</v>
      </c>
      <c r="R340" s="73" t="s">
        <v>2020</v>
      </c>
      <c r="S340" s="69">
        <v>963021</v>
      </c>
      <c r="T340" s="69"/>
      <c r="U340" s="69" t="s">
        <v>2045</v>
      </c>
      <c r="V340" s="69" t="s">
        <v>54</v>
      </c>
      <c r="W340" s="70">
        <v>69.36</v>
      </c>
      <c r="X340" s="69"/>
      <c r="Y340" s="70">
        <f>IFERROR(VLOOKUP(factures[[#This Row],[DT Prestation Amiante 2]],presta_amiante2[#Data],2,0),0)</f>
        <v>0</v>
      </c>
      <c r="Z340" s="69" t="s">
        <v>62</v>
      </c>
      <c r="AA340" s="70">
        <v>49.01</v>
      </c>
      <c r="AB340" s="69">
        <v>5</v>
      </c>
      <c r="AC340" s="69" t="s">
        <v>73</v>
      </c>
      <c r="AD340" s="70">
        <v>36.99</v>
      </c>
      <c r="AE340" s="70">
        <f>IFERROR(factures[[#This Row],[Plvts ]]*factures[[#This Row],[Prix Analyses]],0)</f>
        <v>184.95000000000002</v>
      </c>
      <c r="AF340" s="70">
        <f>factures[[#This Row],[Prix Prestation Amiante 1]]+factures[[#This Row],[Prix Prestation Amiante 2]]+factures[[#This Row],[Prix Prestation Gaz]]+factures[[#This Row],[Prix analyses HT]]</f>
        <v>303.32000000000005</v>
      </c>
      <c r="AG340" s="69" t="s">
        <v>2198</v>
      </c>
      <c r="AH340" s="86" t="s">
        <v>2194</v>
      </c>
      <c r="AI340" s="69"/>
    </row>
    <row r="341" spans="1:35" ht="51" x14ac:dyDescent="0.3">
      <c r="A341" s="92" t="s">
        <v>303</v>
      </c>
      <c r="B341" s="72">
        <v>94550</v>
      </c>
      <c r="C341" s="69" t="s">
        <v>304</v>
      </c>
      <c r="D341" s="69" t="s">
        <v>305</v>
      </c>
      <c r="E341" s="69">
        <v>103</v>
      </c>
      <c r="F341" s="69">
        <v>1</v>
      </c>
      <c r="G341" s="69">
        <v>2</v>
      </c>
      <c r="H341" s="69">
        <v>4534</v>
      </c>
      <c r="I341" s="69">
        <v>74</v>
      </c>
      <c r="J341" s="69" t="s">
        <v>1515</v>
      </c>
      <c r="K341" s="69"/>
      <c r="L341" s="69" t="s">
        <v>2021</v>
      </c>
      <c r="M341" s="71">
        <v>43725</v>
      </c>
      <c r="N341" s="69" t="s">
        <v>71</v>
      </c>
      <c r="O341" s="71">
        <v>43728</v>
      </c>
      <c r="P341" s="69" t="s">
        <v>338</v>
      </c>
      <c r="Q341" s="69" t="s">
        <v>77</v>
      </c>
      <c r="R341" s="73" t="s">
        <v>2022</v>
      </c>
      <c r="S341" s="69">
        <v>963075</v>
      </c>
      <c r="T341" s="69"/>
      <c r="U341" s="69" t="s">
        <v>2046</v>
      </c>
      <c r="V341" s="69" t="s">
        <v>53</v>
      </c>
      <c r="W341" s="70">
        <v>60.11</v>
      </c>
      <c r="X341" s="69"/>
      <c r="Y341" s="70">
        <f>IFERROR(VLOOKUP(factures[[#This Row],[DT Prestation Amiante 2]],presta_amiante2[#Data],2,0),0)</f>
        <v>0</v>
      </c>
      <c r="Z341" s="69" t="s">
        <v>61</v>
      </c>
      <c r="AA341" s="70">
        <v>41.62</v>
      </c>
      <c r="AB341" s="69">
        <v>6</v>
      </c>
      <c r="AC341" s="69" t="s">
        <v>73</v>
      </c>
      <c r="AD341" s="70">
        <v>36.99</v>
      </c>
      <c r="AE341" s="70">
        <f>IFERROR(factures[[#This Row],[Plvts ]]*factures[[#This Row],[Prix Analyses]],0)</f>
        <v>221.94</v>
      </c>
      <c r="AF341" s="70">
        <f>factures[[#This Row],[Prix Prestation Amiante 1]]+factures[[#This Row],[Prix Prestation Amiante 2]]+factures[[#This Row],[Prix Prestation Gaz]]+factures[[#This Row],[Prix analyses HT]]</f>
        <v>323.66999999999996</v>
      </c>
      <c r="AG341" s="69" t="s">
        <v>2199</v>
      </c>
      <c r="AH341" s="86" t="s">
        <v>2194</v>
      </c>
      <c r="AI341" s="69"/>
    </row>
    <row r="342" spans="1:35" ht="36" x14ac:dyDescent="0.3">
      <c r="A342" s="92" t="s">
        <v>2023</v>
      </c>
      <c r="B342" s="72">
        <v>92260</v>
      </c>
      <c r="C342" s="69" t="s">
        <v>500</v>
      </c>
      <c r="D342" s="69" t="s">
        <v>2024</v>
      </c>
      <c r="E342" s="69">
        <v>201</v>
      </c>
      <c r="F342" s="69">
        <v>2</v>
      </c>
      <c r="G342" s="69">
        <v>3</v>
      </c>
      <c r="H342" s="69">
        <v>63642</v>
      </c>
      <c r="I342" s="69">
        <v>9215</v>
      </c>
      <c r="J342" s="69" t="s">
        <v>2035</v>
      </c>
      <c r="K342" s="69"/>
      <c r="L342" s="69" t="s">
        <v>2025</v>
      </c>
      <c r="M342" s="71">
        <v>43725</v>
      </c>
      <c r="N342" s="69" t="s">
        <v>70</v>
      </c>
      <c r="O342" s="71">
        <v>43728</v>
      </c>
      <c r="P342" s="69" t="s">
        <v>2036</v>
      </c>
      <c r="Q342" s="69" t="s">
        <v>77</v>
      </c>
      <c r="R342" s="73" t="s">
        <v>2026</v>
      </c>
      <c r="S342" s="69">
        <v>963059</v>
      </c>
      <c r="T342" s="69"/>
      <c r="U342" s="69" t="s">
        <v>2042</v>
      </c>
      <c r="V342" s="69" t="s">
        <v>53</v>
      </c>
      <c r="W342" s="70">
        <v>60.11</v>
      </c>
      <c r="X342" s="69"/>
      <c r="Y342" s="70">
        <f>IFERROR(VLOOKUP(factures[[#This Row],[DT Prestation Amiante 2]],presta_amiante2[#Data],2,0),0)</f>
        <v>0</v>
      </c>
      <c r="Z342" s="69"/>
      <c r="AA342" s="70">
        <f>IFERROR(VLOOKUP(factures[[#This Row],[DT Prestation Gaz]],presta_gaz[#Data],2,0),0)</f>
        <v>0</v>
      </c>
      <c r="AB342" s="69">
        <v>2</v>
      </c>
      <c r="AC342" s="69" t="s">
        <v>73</v>
      </c>
      <c r="AD342" s="70">
        <v>36.99</v>
      </c>
      <c r="AE342" s="70">
        <f>IFERROR(factures[[#This Row],[Plvts ]]*factures[[#This Row],[Prix Analyses]],0)</f>
        <v>73.98</v>
      </c>
      <c r="AF342" s="70">
        <f>factures[[#This Row],[Prix Prestation Amiante 1]]+factures[[#This Row],[Prix Prestation Amiante 2]]+factures[[#This Row],[Prix Prestation Gaz]]+factures[[#This Row],[Prix analyses HT]]</f>
        <v>134.09</v>
      </c>
      <c r="AG342" s="69" t="s">
        <v>2146</v>
      </c>
      <c r="AH342" s="86" t="s">
        <v>2145</v>
      </c>
      <c r="AI342" s="69"/>
    </row>
    <row r="343" spans="1:35" ht="24" x14ac:dyDescent="0.3">
      <c r="A343" s="69" t="s">
        <v>1647</v>
      </c>
      <c r="B343" s="72">
        <v>92260</v>
      </c>
      <c r="C343" s="69" t="s">
        <v>500</v>
      </c>
      <c r="D343" s="69" t="s">
        <v>159</v>
      </c>
      <c r="E343" s="69">
        <v>403</v>
      </c>
      <c r="F343" s="69">
        <v>4</v>
      </c>
      <c r="G343" s="69">
        <v>4</v>
      </c>
      <c r="H343" s="69">
        <v>63338</v>
      </c>
      <c r="I343" s="69">
        <v>9216</v>
      </c>
      <c r="J343" s="69" t="s">
        <v>512</v>
      </c>
      <c r="K343" s="69"/>
      <c r="L343" s="69" t="s">
        <v>2027</v>
      </c>
      <c r="M343" s="71">
        <v>43725</v>
      </c>
      <c r="N343" s="69" t="s">
        <v>72</v>
      </c>
      <c r="O343" s="71">
        <v>43728</v>
      </c>
      <c r="P343" s="69" t="s">
        <v>2036</v>
      </c>
      <c r="Q343" s="69" t="s">
        <v>77</v>
      </c>
      <c r="R343" s="73"/>
      <c r="S343" s="69">
        <v>963192</v>
      </c>
      <c r="T343" s="69"/>
      <c r="U343" s="69"/>
      <c r="V343" s="69"/>
      <c r="W343" s="70">
        <f>IFERROR(VLOOKUP(factures[[#This Row],[DT Prestation Amiante 1]],presta_amiante1[#Data],2,0),0)</f>
        <v>0</v>
      </c>
      <c r="X343" s="69"/>
      <c r="Y343" s="70">
        <f>IFERROR(VLOOKUP(factures[[#This Row],[DT Prestation Amiante 2]],presta_amiante2[#Data],2,0),0)</f>
        <v>0</v>
      </c>
      <c r="Z343" s="69" t="s">
        <v>62</v>
      </c>
      <c r="AA343" s="70">
        <v>49.01</v>
      </c>
      <c r="AB343" s="69"/>
      <c r="AC343" s="69"/>
      <c r="AD343" s="70">
        <f>IFERROR(VLOOKUP(factures[[#This Row],[DT Analyses]],DT_analyses[#Data],2,0),0)</f>
        <v>0</v>
      </c>
      <c r="AE343" s="70">
        <f>IFERROR(factures[[#This Row],[Plvts ]]*factures[[#This Row],[Prix Analyses]],0)</f>
        <v>0</v>
      </c>
      <c r="AF343" s="70">
        <f>factures[[#This Row],[Prix Prestation Amiante 1]]+factures[[#This Row],[Prix Prestation Amiante 2]]+factures[[#This Row],[Prix Prestation Gaz]]+factures[[#This Row],[Prix analyses HT]]</f>
        <v>49.01</v>
      </c>
      <c r="AG343" s="69" t="s">
        <v>2089</v>
      </c>
      <c r="AH343" s="86" t="s">
        <v>2070</v>
      </c>
      <c r="AI343" s="69"/>
    </row>
    <row r="344" spans="1:35" ht="36" x14ac:dyDescent="0.3">
      <c r="A344" s="92" t="s">
        <v>2030</v>
      </c>
      <c r="B344" s="72">
        <v>94000</v>
      </c>
      <c r="C344" s="69" t="s">
        <v>2031</v>
      </c>
      <c r="D344" s="69" t="s">
        <v>299</v>
      </c>
      <c r="E344" s="69">
        <v>101</v>
      </c>
      <c r="F344" s="69">
        <v>1</v>
      </c>
      <c r="G344" s="69">
        <v>3</v>
      </c>
      <c r="H344" s="69">
        <v>40772</v>
      </c>
      <c r="I344" s="69">
        <v>830</v>
      </c>
      <c r="J344" s="69" t="s">
        <v>300</v>
      </c>
      <c r="K344" s="69" t="s">
        <v>2006</v>
      </c>
      <c r="L344" s="69" t="s">
        <v>2043</v>
      </c>
      <c r="M344" s="71">
        <v>43726</v>
      </c>
      <c r="N344" s="69" t="s">
        <v>71</v>
      </c>
      <c r="O344" s="71">
        <v>43731</v>
      </c>
      <c r="P344" s="69" t="s">
        <v>170</v>
      </c>
      <c r="Q344" s="69" t="s">
        <v>77</v>
      </c>
      <c r="R344" s="73" t="s">
        <v>2032</v>
      </c>
      <c r="S344" s="69">
        <v>963274</v>
      </c>
      <c r="T344" s="69"/>
      <c r="U344" s="69" t="s">
        <v>2062</v>
      </c>
      <c r="V344" s="69" t="s">
        <v>53</v>
      </c>
      <c r="W344" s="70">
        <v>60.11</v>
      </c>
      <c r="X344" s="69"/>
      <c r="Y344" s="70">
        <f>IFERROR(VLOOKUP(factures[[#This Row],[DT Prestation Amiante 2]],presta_amiante2[#Data],2,0),0)</f>
        <v>0</v>
      </c>
      <c r="Z344" s="69" t="s">
        <v>61</v>
      </c>
      <c r="AA344" s="70">
        <v>41.62</v>
      </c>
      <c r="AB344" s="69">
        <v>5</v>
      </c>
      <c r="AC344" s="69" t="s">
        <v>73</v>
      </c>
      <c r="AD344" s="70">
        <v>36.99</v>
      </c>
      <c r="AE344" s="70">
        <f>IFERROR(factures[[#This Row],[Plvts ]]*factures[[#This Row],[Prix Analyses]],0)</f>
        <v>184.95000000000002</v>
      </c>
      <c r="AF344" s="70">
        <f>factures[[#This Row],[Prix Prestation Amiante 1]]+factures[[#This Row],[Prix Prestation Amiante 2]]+factures[[#This Row],[Prix Prestation Gaz]]+factures[[#This Row],[Prix analyses HT]]</f>
        <v>286.68</v>
      </c>
      <c r="AG344" s="69" t="s">
        <v>2202</v>
      </c>
      <c r="AH344" s="86" t="s">
        <v>2201</v>
      </c>
      <c r="AI344" s="69"/>
    </row>
    <row r="345" spans="1:35" ht="108" x14ac:dyDescent="0.3">
      <c r="A345" s="92" t="s">
        <v>989</v>
      </c>
      <c r="B345" s="72">
        <v>78540</v>
      </c>
      <c r="C345" s="69" t="s">
        <v>351</v>
      </c>
      <c r="D345" s="69" t="s">
        <v>639</v>
      </c>
      <c r="E345" s="69">
        <v>1</v>
      </c>
      <c r="F345" s="69" t="s">
        <v>816</v>
      </c>
      <c r="G345" s="69">
        <v>3</v>
      </c>
      <c r="H345" s="69">
        <v>52958</v>
      </c>
      <c r="I345" s="69">
        <v>9700</v>
      </c>
      <c r="J345" s="69" t="s">
        <v>1770</v>
      </c>
      <c r="K345" s="69"/>
      <c r="L345" s="69" t="s">
        <v>2037</v>
      </c>
      <c r="M345" s="71">
        <v>43727</v>
      </c>
      <c r="N345" s="69" t="s">
        <v>84</v>
      </c>
      <c r="O345" s="71">
        <v>43733</v>
      </c>
      <c r="P345" s="69" t="s">
        <v>614</v>
      </c>
      <c r="Q345" s="69" t="s">
        <v>77</v>
      </c>
      <c r="R345" s="73" t="s">
        <v>2038</v>
      </c>
      <c r="S345" s="69">
        <v>963301</v>
      </c>
      <c r="T345" s="69"/>
      <c r="U345" s="69" t="s">
        <v>2105</v>
      </c>
      <c r="V345" s="69" t="s">
        <v>55</v>
      </c>
      <c r="W345" s="70">
        <v>55.49</v>
      </c>
      <c r="X345" s="69" t="s">
        <v>53</v>
      </c>
      <c r="Y345" s="70">
        <v>60.11</v>
      </c>
      <c r="Z345" s="69" t="s">
        <v>61</v>
      </c>
      <c r="AA345" s="70">
        <v>41.62</v>
      </c>
      <c r="AB345" s="69">
        <v>14</v>
      </c>
      <c r="AC345" s="69" t="s">
        <v>73</v>
      </c>
      <c r="AD345" s="70">
        <v>36.99</v>
      </c>
      <c r="AE345" s="70">
        <f>IFERROR(factures[[#This Row],[Plvts ]]*factures[[#This Row],[Prix Analyses]],0)</f>
        <v>517.86</v>
      </c>
      <c r="AF345" s="70">
        <f>factures[[#This Row],[Prix Prestation Amiante 1]]+factures[[#This Row],[Prix Prestation Amiante 2]]+factures[[#This Row],[Prix Prestation Gaz]]+factures[[#This Row],[Prix analyses HT]]</f>
        <v>675.08</v>
      </c>
      <c r="AG345" s="69" t="s">
        <v>2236</v>
      </c>
      <c r="AH345" s="86" t="s">
        <v>2233</v>
      </c>
      <c r="AI345" s="69"/>
    </row>
    <row r="346" spans="1:35" ht="36" x14ac:dyDescent="0.3">
      <c r="A346" s="92" t="s">
        <v>1540</v>
      </c>
      <c r="B346" s="72">
        <v>78800</v>
      </c>
      <c r="C346" s="69" t="s">
        <v>123</v>
      </c>
      <c r="D346" s="69" t="s">
        <v>1541</v>
      </c>
      <c r="E346" s="69">
        <v>302</v>
      </c>
      <c r="F346" s="69">
        <v>3</v>
      </c>
      <c r="G346" s="69">
        <v>3</v>
      </c>
      <c r="H346" s="69">
        <v>4811</v>
      </c>
      <c r="I346" s="69">
        <v>77</v>
      </c>
      <c r="J346" s="69" t="s">
        <v>1052</v>
      </c>
      <c r="K346" s="69"/>
      <c r="L346" s="69" t="s">
        <v>2039</v>
      </c>
      <c r="M346" s="71">
        <v>43727</v>
      </c>
      <c r="N346" s="69" t="s">
        <v>83</v>
      </c>
      <c r="O346" s="71">
        <v>43733</v>
      </c>
      <c r="P346" s="69" t="s">
        <v>337</v>
      </c>
      <c r="Q346" s="69" t="s">
        <v>77</v>
      </c>
      <c r="R346" s="73" t="s">
        <v>2040</v>
      </c>
      <c r="S346" s="69">
        <v>963482</v>
      </c>
      <c r="T346" s="69"/>
      <c r="U346" s="69" t="s">
        <v>2106</v>
      </c>
      <c r="V346" s="69" t="s">
        <v>55</v>
      </c>
      <c r="W346" s="70">
        <v>55.49</v>
      </c>
      <c r="X346" s="69" t="s">
        <v>53</v>
      </c>
      <c r="Y346" s="70">
        <v>60.11</v>
      </c>
      <c r="Z346" s="69"/>
      <c r="AA346" s="70">
        <f>IFERROR(VLOOKUP(factures[[#This Row],[DT Prestation Gaz]],presta_gaz[#Data],2,0),0)</f>
        <v>0</v>
      </c>
      <c r="AB346" s="69">
        <v>2</v>
      </c>
      <c r="AC346" s="69" t="s">
        <v>73</v>
      </c>
      <c r="AD346" s="70">
        <v>36.99</v>
      </c>
      <c r="AE346" s="70">
        <f>IFERROR(factures[[#This Row],[Plvts ]]*factures[[#This Row],[Prix Analyses]],0)</f>
        <v>73.98</v>
      </c>
      <c r="AF346" s="70">
        <f>factures[[#This Row],[Prix Prestation Amiante 1]]+factures[[#This Row],[Prix Prestation Amiante 2]]+factures[[#This Row],[Prix Prestation Gaz]]+factures[[#This Row],[Prix analyses HT]]</f>
        <v>189.57999999999998</v>
      </c>
      <c r="AG346" s="69" t="s">
        <v>2282</v>
      </c>
      <c r="AH346" s="86" t="s">
        <v>2283</v>
      </c>
      <c r="AI346" s="69"/>
    </row>
    <row r="347" spans="1:35" ht="36" x14ac:dyDescent="0.3">
      <c r="A347" s="92" t="s">
        <v>879</v>
      </c>
      <c r="B347" s="72">
        <v>78260</v>
      </c>
      <c r="C347" s="69" t="s">
        <v>1082</v>
      </c>
      <c r="D347" s="69" t="s">
        <v>438</v>
      </c>
      <c r="E347" s="69">
        <v>101</v>
      </c>
      <c r="F347" s="69">
        <v>1</v>
      </c>
      <c r="G347" s="69">
        <v>1</v>
      </c>
      <c r="H347" s="69">
        <v>39749</v>
      </c>
      <c r="I347" s="69">
        <v>815</v>
      </c>
      <c r="J347" s="69" t="s">
        <v>2002</v>
      </c>
      <c r="K347" s="69"/>
      <c r="L347" s="69" t="s">
        <v>2047</v>
      </c>
      <c r="M347" s="71">
        <v>43728</v>
      </c>
      <c r="N347" s="69" t="s">
        <v>84</v>
      </c>
      <c r="O347" s="71">
        <v>43731</v>
      </c>
      <c r="P347" s="69" t="s">
        <v>337</v>
      </c>
      <c r="Q347" s="69" t="s">
        <v>77</v>
      </c>
      <c r="R347" s="73" t="s">
        <v>2048</v>
      </c>
      <c r="S347" s="69">
        <v>963792</v>
      </c>
      <c r="T347" s="69"/>
      <c r="U347" s="69" t="s">
        <v>2054</v>
      </c>
      <c r="V347" s="69" t="s">
        <v>55</v>
      </c>
      <c r="W347" s="70">
        <v>55.49</v>
      </c>
      <c r="X347" s="69" t="s">
        <v>53</v>
      </c>
      <c r="Y347" s="70">
        <v>60.11</v>
      </c>
      <c r="Z347" s="69" t="s">
        <v>61</v>
      </c>
      <c r="AA347" s="70">
        <v>41.62</v>
      </c>
      <c r="AB347" s="69">
        <v>2</v>
      </c>
      <c r="AC347" s="69" t="s">
        <v>73</v>
      </c>
      <c r="AD347" s="70">
        <v>36.99</v>
      </c>
      <c r="AE347" s="70">
        <f>IFERROR(factures[[#This Row],[Plvts ]]*factures[[#This Row],[Prix Analyses]],0)</f>
        <v>73.98</v>
      </c>
      <c r="AF347" s="70">
        <f>factures[[#This Row],[Prix Prestation Amiante 1]]+factures[[#This Row],[Prix Prestation Amiante 2]]+factures[[#This Row],[Prix Prestation Gaz]]+factures[[#This Row],[Prix analyses HT]]</f>
        <v>231.2</v>
      </c>
      <c r="AG347" s="69" t="s">
        <v>2284</v>
      </c>
      <c r="AH347" s="86" t="s">
        <v>2283</v>
      </c>
      <c r="AI347" s="69"/>
    </row>
    <row r="348" spans="1:35" ht="36" x14ac:dyDescent="0.3">
      <c r="A348" s="92" t="s">
        <v>2049</v>
      </c>
      <c r="B348" s="72">
        <v>78800</v>
      </c>
      <c r="C348" s="69" t="s">
        <v>123</v>
      </c>
      <c r="D348" s="69" t="s">
        <v>1541</v>
      </c>
      <c r="E348" s="69">
        <v>201</v>
      </c>
      <c r="F348" s="69">
        <v>2</v>
      </c>
      <c r="G348" s="69">
        <v>4</v>
      </c>
      <c r="H348" s="69">
        <v>4828</v>
      </c>
      <c r="I348" s="69">
        <v>77</v>
      </c>
      <c r="J348" s="69" t="s">
        <v>1052</v>
      </c>
      <c r="K348" s="69"/>
      <c r="L348" s="69" t="s">
        <v>2050</v>
      </c>
      <c r="M348" s="71">
        <v>43728</v>
      </c>
      <c r="N348" s="69" t="s">
        <v>83</v>
      </c>
      <c r="O348" s="71">
        <v>43738</v>
      </c>
      <c r="P348" s="120" t="s">
        <v>2137</v>
      </c>
      <c r="Q348" s="69" t="s">
        <v>77</v>
      </c>
      <c r="R348" s="73" t="s">
        <v>2051</v>
      </c>
      <c r="S348" s="69">
        <v>963861</v>
      </c>
      <c r="T348" s="69"/>
      <c r="U348" s="69" t="s">
        <v>2151</v>
      </c>
      <c r="V348" s="69" t="s">
        <v>55</v>
      </c>
      <c r="W348" s="70">
        <v>55.49</v>
      </c>
      <c r="X348" s="69" t="s">
        <v>53</v>
      </c>
      <c r="Y348" s="70">
        <v>60.11</v>
      </c>
      <c r="Z348" s="69"/>
      <c r="AA348" s="70">
        <f>IFERROR(VLOOKUP(factures[[#This Row],[DT Prestation Gaz]],presta_gaz[#Data],2,0),0)</f>
        <v>0</v>
      </c>
      <c r="AB348" s="69">
        <v>9</v>
      </c>
      <c r="AC348" s="69" t="s">
        <v>73</v>
      </c>
      <c r="AD348" s="70">
        <v>36.99</v>
      </c>
      <c r="AE348" s="70">
        <f>IFERROR(factures[[#This Row],[Plvts ]]*factures[[#This Row],[Prix Analyses]],0)</f>
        <v>332.91</v>
      </c>
      <c r="AF348" s="70">
        <f>factures[[#This Row],[Prix Prestation Amiante 1]]+factures[[#This Row],[Prix Prestation Amiante 2]]+factures[[#This Row],[Prix Prestation Gaz]]+factures[[#This Row],[Prix analyses HT]]</f>
        <v>448.51</v>
      </c>
      <c r="AG348" s="69" t="s">
        <v>2285</v>
      </c>
      <c r="AH348" s="86" t="s">
        <v>2283</v>
      </c>
      <c r="AI348" s="69"/>
    </row>
    <row r="349" spans="1:35" ht="36" x14ac:dyDescent="0.3">
      <c r="A349" s="92" t="s">
        <v>218</v>
      </c>
      <c r="B349" s="72">
        <v>78500</v>
      </c>
      <c r="C349" s="69" t="s">
        <v>214</v>
      </c>
      <c r="D349" s="69" t="s">
        <v>215</v>
      </c>
      <c r="E349" s="69">
        <v>706</v>
      </c>
      <c r="F349" s="69">
        <v>7</v>
      </c>
      <c r="G349" s="69">
        <v>3</v>
      </c>
      <c r="H349" s="69">
        <v>36200</v>
      </c>
      <c r="I349" s="69">
        <v>588</v>
      </c>
      <c r="J349" s="69" t="s">
        <v>2052</v>
      </c>
      <c r="K349" s="69" t="s">
        <v>2094</v>
      </c>
      <c r="L349" s="69" t="s">
        <v>2053</v>
      </c>
      <c r="M349" s="71">
        <v>43728</v>
      </c>
      <c r="N349" s="69" t="s">
        <v>84</v>
      </c>
      <c r="O349" s="71">
        <v>43734</v>
      </c>
      <c r="P349" s="69" t="s">
        <v>294</v>
      </c>
      <c r="Q349" s="69" t="s">
        <v>77</v>
      </c>
      <c r="R349" s="73" t="s">
        <v>2055</v>
      </c>
      <c r="S349" s="69">
        <v>963872</v>
      </c>
      <c r="T349" s="69"/>
      <c r="U349" s="69" t="s">
        <v>2120</v>
      </c>
      <c r="V349" s="69" t="s">
        <v>55</v>
      </c>
      <c r="W349" s="70">
        <v>55.49</v>
      </c>
      <c r="X349" s="69" t="s">
        <v>53</v>
      </c>
      <c r="Y349" s="70">
        <v>60.11</v>
      </c>
      <c r="Z349" s="69" t="s">
        <v>61</v>
      </c>
      <c r="AA349" s="70">
        <v>41.62</v>
      </c>
      <c r="AB349" s="69">
        <v>8</v>
      </c>
      <c r="AC349" s="69" t="s">
        <v>73</v>
      </c>
      <c r="AD349" s="70">
        <v>36.99</v>
      </c>
      <c r="AE349" s="70">
        <f>IFERROR(factures[[#This Row],[Plvts ]]*factures[[#This Row],[Prix Analyses]],0)</f>
        <v>295.92</v>
      </c>
      <c r="AF349" s="70">
        <f>factures[[#This Row],[Prix Prestation Amiante 1]]+factures[[#This Row],[Prix Prestation Amiante 2]]+factures[[#This Row],[Prix Prestation Gaz]]+factures[[#This Row],[Prix analyses HT]]</f>
        <v>453.14</v>
      </c>
      <c r="AG349" s="69" t="s">
        <v>2320</v>
      </c>
      <c r="AH349" s="86" t="s">
        <v>2283</v>
      </c>
      <c r="AI349" s="69"/>
    </row>
    <row r="350" spans="1:35" ht="36" x14ac:dyDescent="0.3">
      <c r="A350" s="92" t="s">
        <v>2056</v>
      </c>
      <c r="B350" s="72">
        <v>94200</v>
      </c>
      <c r="C350" s="69" t="s">
        <v>379</v>
      </c>
      <c r="D350" s="69" t="s">
        <v>209</v>
      </c>
      <c r="E350" s="69">
        <v>1103</v>
      </c>
      <c r="F350" s="69">
        <v>11</v>
      </c>
      <c r="G350" s="69">
        <v>1</v>
      </c>
      <c r="H350" s="69">
        <v>8994</v>
      </c>
      <c r="I350" s="69">
        <v>130</v>
      </c>
      <c r="J350" s="69" t="s">
        <v>1660</v>
      </c>
      <c r="K350" s="69"/>
      <c r="L350" s="69" t="s">
        <v>2057</v>
      </c>
      <c r="M350" s="71">
        <v>43731</v>
      </c>
      <c r="N350" s="69" t="s">
        <v>70</v>
      </c>
      <c r="O350" s="71">
        <v>43732</v>
      </c>
      <c r="P350" s="120" t="s">
        <v>2068</v>
      </c>
      <c r="Q350" s="69" t="s">
        <v>77</v>
      </c>
      <c r="R350" s="73" t="s">
        <v>2058</v>
      </c>
      <c r="S350" s="69">
        <v>963954</v>
      </c>
      <c r="T350" s="69"/>
      <c r="U350" s="69" t="s">
        <v>2090</v>
      </c>
      <c r="V350" s="69" t="s">
        <v>53</v>
      </c>
      <c r="W350" s="70">
        <v>60.11</v>
      </c>
      <c r="X350" s="69"/>
      <c r="Y350" s="70">
        <f>IFERROR(VLOOKUP(factures[[#This Row],[DT Prestation Amiante 2]],presta_amiante2[#Data],2,0),0)</f>
        <v>0</v>
      </c>
      <c r="Z350" s="69"/>
      <c r="AA350" s="70">
        <f>IFERROR(VLOOKUP(factures[[#This Row],[DT Prestation Gaz]],presta_gaz[#Data],2,0),0)</f>
        <v>0</v>
      </c>
      <c r="AB350" s="69">
        <v>6</v>
      </c>
      <c r="AC350" s="69" t="s">
        <v>73</v>
      </c>
      <c r="AD350" s="70">
        <v>36.99</v>
      </c>
      <c r="AE350" s="70">
        <f>IFERROR(factures[[#This Row],[Plvts ]]*factures[[#This Row],[Prix Analyses]],0)</f>
        <v>221.94</v>
      </c>
      <c r="AF350" s="70">
        <f>factures[[#This Row],[Prix Prestation Amiante 1]]+factures[[#This Row],[Prix Prestation Amiante 2]]+factures[[#This Row],[Prix Prestation Gaz]]+factures[[#This Row],[Prix analyses HT]]</f>
        <v>282.05</v>
      </c>
      <c r="AG350" s="69" t="s">
        <v>2203</v>
      </c>
      <c r="AH350" s="86" t="s">
        <v>2201</v>
      </c>
      <c r="AI350" s="69"/>
    </row>
    <row r="351" spans="1:35" ht="84" x14ac:dyDescent="0.3">
      <c r="A351" s="92" t="s">
        <v>2059</v>
      </c>
      <c r="B351" s="72">
        <v>92500</v>
      </c>
      <c r="C351" s="69" t="s">
        <v>265</v>
      </c>
      <c r="D351" s="69" t="s">
        <v>266</v>
      </c>
      <c r="E351" s="69">
        <v>501</v>
      </c>
      <c r="F351" s="69">
        <v>5</v>
      </c>
      <c r="G351" s="69">
        <v>4</v>
      </c>
      <c r="H351" s="69">
        <v>62941</v>
      </c>
      <c r="I351" s="69">
        <v>9210</v>
      </c>
      <c r="J351" s="69" t="s">
        <v>1982</v>
      </c>
      <c r="K351" s="69"/>
      <c r="L351" s="69" t="s">
        <v>2060</v>
      </c>
      <c r="M351" s="71">
        <v>43731</v>
      </c>
      <c r="N351" s="69" t="s">
        <v>71</v>
      </c>
      <c r="O351" s="71">
        <v>43732</v>
      </c>
      <c r="P351" s="69"/>
      <c r="Q351" s="69" t="s">
        <v>77</v>
      </c>
      <c r="R351" s="73" t="s">
        <v>2061</v>
      </c>
      <c r="S351" s="69">
        <v>963932</v>
      </c>
      <c r="T351" s="69"/>
      <c r="U351" s="69" t="s">
        <v>2091</v>
      </c>
      <c r="V351" s="69" t="s">
        <v>53</v>
      </c>
      <c r="W351" s="70">
        <v>69.36</v>
      </c>
      <c r="X351" s="69"/>
      <c r="Y351" s="70">
        <f>IFERROR(VLOOKUP(factures[[#This Row],[DT Prestation Amiante 2]],presta_amiante2[#Data],2,0),0)</f>
        <v>0</v>
      </c>
      <c r="Z351" s="69" t="s">
        <v>62</v>
      </c>
      <c r="AA351" s="70">
        <v>49.01</v>
      </c>
      <c r="AB351" s="69">
        <v>7</v>
      </c>
      <c r="AC351" s="69" t="s">
        <v>73</v>
      </c>
      <c r="AD351" s="70">
        <v>36.99</v>
      </c>
      <c r="AE351" s="70">
        <f>IFERROR(factures[[#This Row],[Plvts ]]*factures[[#This Row],[Prix Analyses]],0)</f>
        <v>258.93</v>
      </c>
      <c r="AF351" s="70">
        <f>factures[[#This Row],[Prix Prestation Amiante 1]]+factures[[#This Row],[Prix Prestation Amiante 2]]+factures[[#This Row],[Prix Prestation Gaz]]+factures[[#This Row],[Prix analyses HT]]</f>
        <v>377.3</v>
      </c>
      <c r="AG351" s="69" t="s">
        <v>2204</v>
      </c>
      <c r="AH351" s="86" t="s">
        <v>2201</v>
      </c>
      <c r="AI351" s="69"/>
    </row>
    <row r="352" spans="1:35" ht="72" x14ac:dyDescent="0.3">
      <c r="A352" s="92" t="s">
        <v>2063</v>
      </c>
      <c r="B352" s="72">
        <v>78800</v>
      </c>
      <c r="C352" s="69" t="s">
        <v>123</v>
      </c>
      <c r="D352" s="69" t="s">
        <v>1541</v>
      </c>
      <c r="E352" s="69">
        <v>103</v>
      </c>
      <c r="F352" s="69">
        <v>1</v>
      </c>
      <c r="G352" s="69">
        <v>4</v>
      </c>
      <c r="H352" s="69">
        <v>4788</v>
      </c>
      <c r="I352" s="69">
        <v>77</v>
      </c>
      <c r="J352" s="69" t="s">
        <v>1052</v>
      </c>
      <c r="K352" s="120" t="s">
        <v>2077</v>
      </c>
      <c r="L352" s="69" t="s">
        <v>2064</v>
      </c>
      <c r="M352" s="71">
        <v>43731</v>
      </c>
      <c r="N352" s="69" t="s">
        <v>83</v>
      </c>
      <c r="O352" s="71">
        <v>43732</v>
      </c>
      <c r="P352" s="120" t="s">
        <v>2076</v>
      </c>
      <c r="Q352" s="69" t="s">
        <v>77</v>
      </c>
      <c r="R352" s="73" t="s">
        <v>2065</v>
      </c>
      <c r="S352" s="69">
        <v>963974</v>
      </c>
      <c r="T352" s="69"/>
      <c r="U352" s="69" t="s">
        <v>2092</v>
      </c>
      <c r="V352" s="69" t="s">
        <v>55</v>
      </c>
      <c r="W352" s="70">
        <v>55.49</v>
      </c>
      <c r="X352" s="69" t="s">
        <v>54</v>
      </c>
      <c r="Y352" s="70">
        <v>69.36</v>
      </c>
      <c r="Z352" s="69"/>
      <c r="AA352" s="70">
        <f>IFERROR(VLOOKUP(factures[[#This Row],[DT Prestation Gaz]],presta_gaz[#Data],2,0),0)</f>
        <v>0</v>
      </c>
      <c r="AB352" s="69">
        <v>11</v>
      </c>
      <c r="AC352" s="69" t="s">
        <v>73</v>
      </c>
      <c r="AD352" s="70">
        <v>36.99</v>
      </c>
      <c r="AE352" s="70">
        <f>IFERROR(factures[[#This Row],[Plvts ]]*factures[[#This Row],[Prix Analyses]],0)</f>
        <v>406.89000000000004</v>
      </c>
      <c r="AF352" s="70">
        <f>factures[[#This Row],[Prix Prestation Amiante 1]]+factures[[#This Row],[Prix Prestation Amiante 2]]+factures[[#This Row],[Prix Prestation Gaz]]+factures[[#This Row],[Prix analyses HT]]</f>
        <v>531.74</v>
      </c>
      <c r="AG352" s="69" t="s">
        <v>2286</v>
      </c>
      <c r="AH352" s="86" t="s">
        <v>2283</v>
      </c>
      <c r="AI352" s="69"/>
    </row>
    <row r="353" spans="1:35" ht="36" x14ac:dyDescent="0.3">
      <c r="A353" s="92" t="s">
        <v>527</v>
      </c>
      <c r="B353" s="72">
        <v>92260</v>
      </c>
      <c r="C353" s="69" t="s">
        <v>500</v>
      </c>
      <c r="D353" s="69" t="s">
        <v>528</v>
      </c>
      <c r="E353" s="69">
        <v>1</v>
      </c>
      <c r="F353" s="69" t="s">
        <v>816</v>
      </c>
      <c r="G353" s="69">
        <v>3</v>
      </c>
      <c r="H353" s="69">
        <v>44940</v>
      </c>
      <c r="I353" s="69">
        <v>885</v>
      </c>
      <c r="J353" s="69" t="s">
        <v>529</v>
      </c>
      <c r="K353" s="69"/>
      <c r="L353" s="69" t="s">
        <v>2066</v>
      </c>
      <c r="M353" s="71">
        <v>43731</v>
      </c>
      <c r="N353" s="69" t="s">
        <v>70</v>
      </c>
      <c r="O353" s="71">
        <v>43732</v>
      </c>
      <c r="P353" s="69"/>
      <c r="Q353" s="69" t="s">
        <v>77</v>
      </c>
      <c r="R353" s="73" t="s">
        <v>2067</v>
      </c>
      <c r="S353" s="69">
        <v>963985</v>
      </c>
      <c r="T353" s="69"/>
      <c r="U353" s="69" t="s">
        <v>2093</v>
      </c>
      <c r="V353" s="69" t="s">
        <v>53</v>
      </c>
      <c r="W353" s="70">
        <v>60.11</v>
      </c>
      <c r="X353" s="69"/>
      <c r="Y353" s="70">
        <f>IFERROR(VLOOKUP(factures[[#This Row],[DT Prestation Amiante 2]],presta_amiante2[#Data],2,0),0)</f>
        <v>0</v>
      </c>
      <c r="Z353" s="69"/>
      <c r="AA353" s="70">
        <f>IFERROR(VLOOKUP(factures[[#This Row],[DT Prestation Gaz]],presta_gaz[#Data],2,0),0)</f>
        <v>0</v>
      </c>
      <c r="AB353" s="69">
        <v>4</v>
      </c>
      <c r="AC353" s="69" t="s">
        <v>73</v>
      </c>
      <c r="AD353" s="70">
        <v>36.99</v>
      </c>
      <c r="AE353" s="70">
        <f>IFERROR(factures[[#This Row],[Plvts ]]*factures[[#This Row],[Prix Analyses]],0)</f>
        <v>147.96</v>
      </c>
      <c r="AF353" s="70">
        <f>factures[[#This Row],[Prix Prestation Amiante 1]]+factures[[#This Row],[Prix Prestation Amiante 2]]+factures[[#This Row],[Prix Prestation Gaz]]+factures[[#This Row],[Prix analyses HT]]</f>
        <v>208.07</v>
      </c>
      <c r="AG353" s="69" t="s">
        <v>2205</v>
      </c>
      <c r="AH353" s="86" t="s">
        <v>2201</v>
      </c>
      <c r="AI353" s="69"/>
    </row>
    <row r="354" spans="1:35" ht="36" x14ac:dyDescent="0.3">
      <c r="A354" s="92" t="s">
        <v>583</v>
      </c>
      <c r="B354" s="72">
        <v>92260</v>
      </c>
      <c r="C354" s="69" t="s">
        <v>500</v>
      </c>
      <c r="D354" s="69" t="s">
        <v>584</v>
      </c>
      <c r="E354" s="69">
        <v>101</v>
      </c>
      <c r="F354" s="69">
        <v>1</v>
      </c>
      <c r="G354" s="69">
        <v>4</v>
      </c>
      <c r="H354" s="69">
        <v>63303</v>
      </c>
      <c r="I354" s="69">
        <v>9216</v>
      </c>
      <c r="J354" s="69" t="s">
        <v>2107</v>
      </c>
      <c r="K354" s="69"/>
      <c r="L354" s="69" t="s">
        <v>2095</v>
      </c>
      <c r="M354" s="71">
        <v>43732</v>
      </c>
      <c r="N354" s="69" t="s">
        <v>71</v>
      </c>
      <c r="O354" s="71">
        <v>43735</v>
      </c>
      <c r="P354" s="69"/>
      <c r="Q354" s="69" t="s">
        <v>77</v>
      </c>
      <c r="R354" s="73" t="s">
        <v>2096</v>
      </c>
      <c r="S354" s="69">
        <v>964220</v>
      </c>
      <c r="T354" s="69"/>
      <c r="U354" s="69" t="s">
        <v>2135</v>
      </c>
      <c r="V354" s="69" t="s">
        <v>54</v>
      </c>
      <c r="W354" s="70">
        <v>69.36</v>
      </c>
      <c r="X354" s="69"/>
      <c r="Y354" s="70">
        <f>IFERROR(VLOOKUP(factures[[#This Row],[DT Prestation Amiante 2]],presta_amiante2[#Data],2,0),0)</f>
        <v>0</v>
      </c>
      <c r="Z354" s="69" t="s">
        <v>62</v>
      </c>
      <c r="AA354" s="70">
        <v>49.01</v>
      </c>
      <c r="AB354" s="69">
        <v>1</v>
      </c>
      <c r="AC354" s="69" t="s">
        <v>73</v>
      </c>
      <c r="AD354" s="70">
        <v>36.99</v>
      </c>
      <c r="AE354" s="70">
        <f>IFERROR(factures[[#This Row],[Plvts ]]*factures[[#This Row],[Prix Analyses]],0)</f>
        <v>36.99</v>
      </c>
      <c r="AF354" s="70">
        <f>factures[[#This Row],[Prix Prestation Amiante 1]]+factures[[#This Row],[Prix Prestation Amiante 2]]+factures[[#This Row],[Prix Prestation Gaz]]+factures[[#This Row],[Prix analyses HT]]</f>
        <v>155.36000000000001</v>
      </c>
      <c r="AG354" s="69" t="s">
        <v>2237</v>
      </c>
      <c r="AH354" s="86" t="s">
        <v>2233</v>
      </c>
      <c r="AI354" s="69"/>
    </row>
    <row r="355" spans="1:35" ht="48" x14ac:dyDescent="0.3">
      <c r="A355" s="92" t="s">
        <v>2100</v>
      </c>
      <c r="B355" s="72">
        <v>78500</v>
      </c>
      <c r="C355" s="69" t="s">
        <v>214</v>
      </c>
      <c r="D355" s="69" t="s">
        <v>2101</v>
      </c>
      <c r="E355" s="69">
        <v>602</v>
      </c>
      <c r="F355" s="69">
        <v>6</v>
      </c>
      <c r="G355" s="69">
        <v>3</v>
      </c>
      <c r="H355" s="69">
        <v>36523</v>
      </c>
      <c r="I355" s="69">
        <v>589</v>
      </c>
      <c r="J355" s="69" t="s">
        <v>2108</v>
      </c>
      <c r="K355" s="120" t="s">
        <v>2114</v>
      </c>
      <c r="L355" s="69" t="s">
        <v>2102</v>
      </c>
      <c r="M355" s="71">
        <v>43733</v>
      </c>
      <c r="N355" s="69" t="s">
        <v>84</v>
      </c>
      <c r="O355" s="71">
        <v>43735</v>
      </c>
      <c r="P355" s="120" t="s">
        <v>2113</v>
      </c>
      <c r="Q355" s="69" t="s">
        <v>77</v>
      </c>
      <c r="R355" s="73" t="s">
        <v>2103</v>
      </c>
      <c r="S355" s="69">
        <v>964457</v>
      </c>
      <c r="T355" s="92" t="s">
        <v>2109</v>
      </c>
      <c r="U355" s="69" t="s">
        <v>2134</v>
      </c>
      <c r="V355" s="69" t="s">
        <v>55</v>
      </c>
      <c r="W355" s="70">
        <v>55.49</v>
      </c>
      <c r="X355" s="69" t="s">
        <v>53</v>
      </c>
      <c r="Y355" s="70">
        <v>60.11</v>
      </c>
      <c r="Z355" s="69" t="s">
        <v>61</v>
      </c>
      <c r="AA355" s="70">
        <v>41.62</v>
      </c>
      <c r="AB355" s="69">
        <v>12</v>
      </c>
      <c r="AC355" s="69" t="s">
        <v>73</v>
      </c>
      <c r="AD355" s="70">
        <v>36.99</v>
      </c>
      <c r="AE355" s="70">
        <f>IFERROR(factures[[#This Row],[Plvts ]]*factures[[#This Row],[Prix Analyses]],0)</f>
        <v>443.88</v>
      </c>
      <c r="AF355" s="70">
        <f>factures[[#This Row],[Prix Prestation Amiante 1]]+factures[[#This Row],[Prix Prestation Amiante 2]]+factures[[#This Row],[Prix Prestation Gaz]]+factures[[#This Row],[Prix analyses HT]]</f>
        <v>601.1</v>
      </c>
      <c r="AG355" s="69" t="s">
        <v>2287</v>
      </c>
      <c r="AH355" s="86" t="s">
        <v>2283</v>
      </c>
      <c r="AI355" s="69"/>
    </row>
    <row r="356" spans="1:35" ht="108" x14ac:dyDescent="0.3">
      <c r="A356" s="92" t="s">
        <v>2110</v>
      </c>
      <c r="B356" s="72">
        <v>78540</v>
      </c>
      <c r="C356" s="69" t="s">
        <v>351</v>
      </c>
      <c r="D356" s="69" t="s">
        <v>639</v>
      </c>
      <c r="E356" s="69">
        <v>201</v>
      </c>
      <c r="F356" s="69">
        <v>2</v>
      </c>
      <c r="G356" s="69">
        <v>4</v>
      </c>
      <c r="H356" s="69">
        <v>53262</v>
      </c>
      <c r="I356" s="69">
        <v>9700</v>
      </c>
      <c r="J356" s="69" t="s">
        <v>1770</v>
      </c>
      <c r="K356" s="69"/>
      <c r="L356" s="69" t="s">
        <v>2111</v>
      </c>
      <c r="M356" s="71">
        <v>43734</v>
      </c>
      <c r="N356" s="69" t="s">
        <v>84</v>
      </c>
      <c r="O356" s="71">
        <v>43735</v>
      </c>
      <c r="P356" s="120" t="s">
        <v>131</v>
      </c>
      <c r="Q356" s="69" t="s">
        <v>77</v>
      </c>
      <c r="R356" s="73" t="s">
        <v>2112</v>
      </c>
      <c r="S356" s="69">
        <v>964607</v>
      </c>
      <c r="T356" s="69"/>
      <c r="U356" s="69" t="s">
        <v>2349</v>
      </c>
      <c r="V356" s="69" t="s">
        <v>55</v>
      </c>
      <c r="W356" s="70">
        <v>55.49</v>
      </c>
      <c r="X356" s="69" t="s">
        <v>53</v>
      </c>
      <c r="Y356" s="70">
        <v>60.11</v>
      </c>
      <c r="Z356" s="69" t="s">
        <v>62</v>
      </c>
      <c r="AA356" s="70">
        <v>49.01</v>
      </c>
      <c r="AB356" s="69">
        <v>13</v>
      </c>
      <c r="AC356" s="69" t="s">
        <v>73</v>
      </c>
      <c r="AD356" s="70">
        <v>36.99</v>
      </c>
      <c r="AE356" s="70">
        <f>IFERROR(factures[[#This Row],[Plvts ]]*factures[[#This Row],[Prix Analyses]],0)</f>
        <v>480.87</v>
      </c>
      <c r="AF356" s="122">
        <f>factures[[#This Row],[Prix Prestation Amiante 1]]+factures[[#This Row],[Prix Prestation Amiante 2]]+factures[[#This Row],[Prix Prestation Gaz]]+factures[[#This Row],[Prix analyses HT]]</f>
        <v>645.48</v>
      </c>
      <c r="AG356" s="69" t="s">
        <v>2445</v>
      </c>
      <c r="AH356" s="86" t="s">
        <v>2443</v>
      </c>
      <c r="AI356" s="69"/>
    </row>
    <row r="357" spans="1:35" ht="48" x14ac:dyDescent="0.3">
      <c r="A357" s="92" t="s">
        <v>2115</v>
      </c>
      <c r="B357" s="72">
        <v>92130</v>
      </c>
      <c r="C357" s="69" t="s">
        <v>1857</v>
      </c>
      <c r="D357" s="69" t="s">
        <v>209</v>
      </c>
      <c r="E357" s="69">
        <v>502</v>
      </c>
      <c r="F357" s="69">
        <v>5</v>
      </c>
      <c r="G357" s="69">
        <v>3</v>
      </c>
      <c r="H357" s="69">
        <v>8729</v>
      </c>
      <c r="I357" s="69">
        <v>124</v>
      </c>
      <c r="J357" s="69" t="s">
        <v>2121</v>
      </c>
      <c r="K357" s="69" t="s">
        <v>2122</v>
      </c>
      <c r="L357" s="69" t="s">
        <v>2116</v>
      </c>
      <c r="M357" s="71">
        <v>43734</v>
      </c>
      <c r="N357" s="69" t="s">
        <v>70</v>
      </c>
      <c r="O357" s="69"/>
      <c r="P357" s="69"/>
      <c r="Q357" s="69" t="s">
        <v>77</v>
      </c>
      <c r="R357" s="73" t="s">
        <v>2117</v>
      </c>
      <c r="S357" s="69">
        <v>957699</v>
      </c>
      <c r="T357" s="69"/>
      <c r="U357" s="69" t="s">
        <v>2136</v>
      </c>
      <c r="V357" s="69" t="s">
        <v>53</v>
      </c>
      <c r="W357" s="70">
        <v>60.11</v>
      </c>
      <c r="X357" s="69"/>
      <c r="Y357" s="70">
        <f>IFERROR(VLOOKUP(factures[[#This Row],[DT Prestation Amiante 2]],presta_amiante2[#Data],2,0),0)</f>
        <v>0</v>
      </c>
      <c r="Z357" s="69"/>
      <c r="AA357" s="70">
        <f>IFERROR(VLOOKUP(factures[[#This Row],[DT Prestation Gaz]],presta_gaz[#Data],2,0),0)</f>
        <v>0</v>
      </c>
      <c r="AB357" s="69">
        <v>4</v>
      </c>
      <c r="AC357" s="69" t="s">
        <v>73</v>
      </c>
      <c r="AD357" s="70">
        <v>36.99</v>
      </c>
      <c r="AE357" s="70">
        <f>IFERROR(factures[[#This Row],[Plvts ]]*factures[[#This Row],[Prix Analyses]],0)</f>
        <v>147.96</v>
      </c>
      <c r="AF357" s="70">
        <f>factures[[#This Row],[Prix Prestation Amiante 1]]+factures[[#This Row],[Prix Prestation Amiante 2]]+factures[[#This Row],[Prix Prestation Gaz]]+factures[[#This Row],[Prix analyses HT]]</f>
        <v>208.07</v>
      </c>
      <c r="AG357" s="69" t="s">
        <v>2238</v>
      </c>
      <c r="AH357" s="86" t="s">
        <v>2233</v>
      </c>
      <c r="AI357" s="69"/>
    </row>
    <row r="358" spans="1:35" ht="72" x14ac:dyDescent="0.3">
      <c r="A358" s="92" t="s">
        <v>2123</v>
      </c>
      <c r="B358" s="72">
        <v>78570</v>
      </c>
      <c r="C358" s="69" t="s">
        <v>568</v>
      </c>
      <c r="D358" s="69" t="s">
        <v>805</v>
      </c>
      <c r="E358" s="69">
        <v>204</v>
      </c>
      <c r="F358" s="69">
        <v>2</v>
      </c>
      <c r="G358" s="69">
        <v>2</v>
      </c>
      <c r="H358" s="69">
        <v>52407</v>
      </c>
      <c r="I358" s="69">
        <v>9288</v>
      </c>
      <c r="J358" s="69" t="s">
        <v>1689</v>
      </c>
      <c r="K358" s="69" t="s">
        <v>2139</v>
      </c>
      <c r="L358" s="69" t="s">
        <v>2138</v>
      </c>
      <c r="M358" s="71">
        <v>43734</v>
      </c>
      <c r="N358" s="69" t="s">
        <v>84</v>
      </c>
      <c r="O358" s="71">
        <v>43738</v>
      </c>
      <c r="P358" s="120" t="s">
        <v>131</v>
      </c>
      <c r="Q358" s="69" t="s">
        <v>77</v>
      </c>
      <c r="R358" s="73" t="s">
        <v>2124</v>
      </c>
      <c r="S358" s="69">
        <v>964838</v>
      </c>
      <c r="T358" s="69"/>
      <c r="U358" s="69" t="s">
        <v>2152</v>
      </c>
      <c r="V358" s="69" t="s">
        <v>55</v>
      </c>
      <c r="W358" s="70">
        <v>55.49</v>
      </c>
      <c r="X358" s="69" t="s">
        <v>53</v>
      </c>
      <c r="Y358" s="70">
        <v>60.11</v>
      </c>
      <c r="Z358" s="69" t="s">
        <v>61</v>
      </c>
      <c r="AA358" s="70">
        <v>41.62</v>
      </c>
      <c r="AB358" s="69">
        <v>3</v>
      </c>
      <c r="AC358" s="69" t="s">
        <v>73</v>
      </c>
      <c r="AD358" s="70">
        <v>36.99</v>
      </c>
      <c r="AE358" s="70">
        <f>IFERROR(factures[[#This Row],[Plvts ]]*factures[[#This Row],[Prix Analyses]],0)</f>
        <v>110.97</v>
      </c>
      <c r="AF358" s="70">
        <f>factures[[#This Row],[Prix Prestation Amiante 1]]+factures[[#This Row],[Prix Prestation Amiante 2]]+factures[[#This Row],[Prix Prestation Gaz]]+factures[[#This Row],[Prix analyses HT]]</f>
        <v>268.19</v>
      </c>
      <c r="AG358" s="69" t="s">
        <v>2288</v>
      </c>
      <c r="AH358" s="86" t="s">
        <v>2283</v>
      </c>
      <c r="AI358" s="69"/>
    </row>
    <row r="359" spans="1:35" ht="36" x14ac:dyDescent="0.3">
      <c r="A359" s="92" t="s">
        <v>2140</v>
      </c>
      <c r="B359" s="72">
        <v>92260</v>
      </c>
      <c r="C359" s="69" t="s">
        <v>500</v>
      </c>
      <c r="D359" s="69" t="s">
        <v>885</v>
      </c>
      <c r="E359" s="69">
        <v>401</v>
      </c>
      <c r="F359" s="69">
        <v>4</v>
      </c>
      <c r="G359" s="69">
        <v>4</v>
      </c>
      <c r="H359" s="69"/>
      <c r="I359" s="69"/>
      <c r="J359" s="69" t="s">
        <v>906</v>
      </c>
      <c r="K359" s="69"/>
      <c r="L359" s="69" t="s">
        <v>2142</v>
      </c>
      <c r="M359" s="71">
        <v>43734</v>
      </c>
      <c r="N359" s="69" t="s">
        <v>70</v>
      </c>
      <c r="O359" s="71">
        <v>43738</v>
      </c>
      <c r="P359" s="120" t="s">
        <v>130</v>
      </c>
      <c r="Q359" s="69" t="s">
        <v>77</v>
      </c>
      <c r="R359" s="73" t="s">
        <v>2141</v>
      </c>
      <c r="S359" s="69">
        <v>964939</v>
      </c>
      <c r="T359" s="69"/>
      <c r="U359" s="69" t="s">
        <v>2143</v>
      </c>
      <c r="V359" s="69" t="s">
        <v>53</v>
      </c>
      <c r="W359" s="70">
        <v>60.11</v>
      </c>
      <c r="X359" s="69"/>
      <c r="Y359" s="70">
        <f>IFERROR(VLOOKUP(factures[[#This Row],[DT Prestation Amiante 2]],presta_amiante2[#Data],2,0),0)</f>
        <v>0</v>
      </c>
      <c r="Z359" s="69"/>
      <c r="AA359" s="70">
        <f>IFERROR(VLOOKUP(factures[[#This Row],[DT Prestation Gaz]],presta_gaz[#Data],2,0),0)</f>
        <v>0</v>
      </c>
      <c r="AB359" s="69">
        <v>4</v>
      </c>
      <c r="AC359" s="69" t="s">
        <v>73</v>
      </c>
      <c r="AD359" s="70">
        <v>36.99</v>
      </c>
      <c r="AE359" s="70">
        <f>IFERROR(factures[[#This Row],[Plvts ]]*factures[[#This Row],[Prix Analyses]],0)</f>
        <v>147.96</v>
      </c>
      <c r="AF359" s="70">
        <f>factures[[#This Row],[Prix Prestation Amiante 1]]+factures[[#This Row],[Prix Prestation Amiante 2]]+factures[[#This Row],[Prix Prestation Gaz]]+factures[[#This Row],[Prix analyses HT]]</f>
        <v>208.07</v>
      </c>
      <c r="AG359" s="69" t="s">
        <v>2521</v>
      </c>
      <c r="AH359" s="86" t="s">
        <v>2522</v>
      </c>
      <c r="AI359" s="69"/>
    </row>
    <row r="360" spans="1:35" ht="60" x14ac:dyDescent="0.3">
      <c r="A360" s="69" t="s">
        <v>1030</v>
      </c>
      <c r="B360" s="72">
        <v>92170</v>
      </c>
      <c r="C360" s="69" t="s">
        <v>1031</v>
      </c>
      <c r="D360" s="69" t="s">
        <v>436</v>
      </c>
      <c r="E360" s="69">
        <v>603</v>
      </c>
      <c r="F360" s="69">
        <v>6</v>
      </c>
      <c r="G360" s="69">
        <v>2</v>
      </c>
      <c r="H360" s="69">
        <v>22456</v>
      </c>
      <c r="I360" s="69">
        <v>315</v>
      </c>
      <c r="J360" s="69" t="s">
        <v>1070</v>
      </c>
      <c r="K360" s="69" t="s">
        <v>2281</v>
      </c>
      <c r="L360" s="69" t="s">
        <v>2147</v>
      </c>
      <c r="M360" s="71">
        <v>43738</v>
      </c>
      <c r="N360" s="69" t="s">
        <v>72</v>
      </c>
      <c r="O360" s="71">
        <v>43762</v>
      </c>
      <c r="P360" s="69"/>
      <c r="Q360" s="69" t="s">
        <v>77</v>
      </c>
      <c r="R360" s="73"/>
      <c r="S360" s="69">
        <v>965244</v>
      </c>
      <c r="T360" s="92" t="s">
        <v>2225</v>
      </c>
      <c r="U360" s="69"/>
      <c r="V360" s="69" t="s">
        <v>93</v>
      </c>
      <c r="W360" s="70"/>
      <c r="X360" s="69"/>
      <c r="Y360" s="70">
        <f>IFERROR(VLOOKUP(factures[[#This Row],[DT Prestation Amiante 2]],presta_amiante2[#Data],2,0),0)</f>
        <v>0</v>
      </c>
      <c r="Z360" s="69" t="s">
        <v>61</v>
      </c>
      <c r="AA360" s="70">
        <v>41.62</v>
      </c>
      <c r="AB360" s="69"/>
      <c r="AC360" s="69"/>
      <c r="AD360" s="70">
        <f>IFERROR(VLOOKUP(factures[[#This Row],[DT Analyses]],DT_analyses[#Data],2,0),0)</f>
        <v>0</v>
      </c>
      <c r="AE360" s="70">
        <f>IFERROR(factures[[#This Row],[Plvts ]]*factures[[#This Row],[Prix Analyses]],0)</f>
        <v>0</v>
      </c>
      <c r="AF360" s="70">
        <f>factures[[#This Row],[Prix Prestation Amiante 1]]+factures[[#This Row],[Prix Prestation Amiante 2]]+factures[[#This Row],[Prix Prestation Gaz]]+factures[[#This Row],[Prix analyses HT]]</f>
        <v>41.62</v>
      </c>
      <c r="AG360" s="69" t="s">
        <v>2446</v>
      </c>
      <c r="AH360" s="86" t="s">
        <v>2443</v>
      </c>
      <c r="AI360" s="69"/>
    </row>
    <row r="361" spans="1:35" ht="36" x14ac:dyDescent="0.3">
      <c r="A361" s="92" t="s">
        <v>2148</v>
      </c>
      <c r="B361" s="72">
        <v>92220</v>
      </c>
      <c r="C361" s="69" t="s">
        <v>418</v>
      </c>
      <c r="D361" s="69" t="s">
        <v>142</v>
      </c>
      <c r="E361" s="69">
        <v>203</v>
      </c>
      <c r="F361" s="69">
        <v>2</v>
      </c>
      <c r="G361" s="69">
        <v>2</v>
      </c>
      <c r="H361" s="69">
        <v>40881</v>
      </c>
      <c r="I361" s="69">
        <v>831</v>
      </c>
      <c r="J361" s="69" t="s">
        <v>877</v>
      </c>
      <c r="K361" s="69"/>
      <c r="L361" s="69" t="s">
        <v>2149</v>
      </c>
      <c r="M361" s="71">
        <v>43738</v>
      </c>
      <c r="N361" s="69" t="s">
        <v>71</v>
      </c>
      <c r="O361" s="71">
        <v>43739</v>
      </c>
      <c r="P361" s="69"/>
      <c r="Q361" s="69" t="s">
        <v>77</v>
      </c>
      <c r="R361" s="73" t="s">
        <v>2150</v>
      </c>
      <c r="S361" s="69">
        <v>965256</v>
      </c>
      <c r="T361" s="69"/>
      <c r="U361" s="69" t="s">
        <v>2158</v>
      </c>
      <c r="V361" s="69" t="s">
        <v>53</v>
      </c>
      <c r="W361" s="70">
        <v>60.11</v>
      </c>
      <c r="X361" s="69"/>
      <c r="Y361" s="70">
        <f>IFERROR(VLOOKUP(factures[[#This Row],[DT Prestation Amiante 2]],presta_amiante2[#Data],2,0),0)</f>
        <v>0</v>
      </c>
      <c r="Z361" s="69" t="s">
        <v>61</v>
      </c>
      <c r="AA361" s="70">
        <v>41.62</v>
      </c>
      <c r="AB361" s="69">
        <v>4</v>
      </c>
      <c r="AC361" s="69" t="s">
        <v>73</v>
      </c>
      <c r="AD361" s="70">
        <v>36.99</v>
      </c>
      <c r="AE361" s="70">
        <f>IFERROR(factures[[#This Row],[Plvts ]]*factures[[#This Row],[Prix Analyses]],0)</f>
        <v>147.96</v>
      </c>
      <c r="AF361" s="70">
        <f>factures[[#This Row],[Prix Prestation Amiante 1]]+factures[[#This Row],[Prix Prestation Amiante 2]]+factures[[#This Row],[Prix Prestation Gaz]]+factures[[#This Row],[Prix analyses HT]]</f>
        <v>249.69</v>
      </c>
      <c r="AG361" s="69" t="s">
        <v>2241</v>
      </c>
      <c r="AH361" s="86" t="s">
        <v>2233</v>
      </c>
      <c r="AI361" s="69"/>
    </row>
    <row r="362" spans="1:35" ht="84" x14ac:dyDescent="0.3">
      <c r="A362" s="92" t="s">
        <v>1538</v>
      </c>
      <c r="B362" s="72">
        <v>92500</v>
      </c>
      <c r="C362" s="69" t="s">
        <v>265</v>
      </c>
      <c r="D362" s="69" t="s">
        <v>266</v>
      </c>
      <c r="E362" s="69">
        <v>102</v>
      </c>
      <c r="F362" s="69">
        <v>1</v>
      </c>
      <c r="G362" s="69">
        <v>2</v>
      </c>
      <c r="H362" s="69">
        <v>62841</v>
      </c>
      <c r="I362" s="69">
        <v>9210</v>
      </c>
      <c r="J362" s="69" t="s">
        <v>1982</v>
      </c>
      <c r="K362" s="69"/>
      <c r="L362" s="69" t="s">
        <v>2154</v>
      </c>
      <c r="M362" s="71">
        <v>43738</v>
      </c>
      <c r="N362" s="69" t="s">
        <v>70</v>
      </c>
      <c r="O362" s="71">
        <v>43739</v>
      </c>
      <c r="P362" s="69"/>
      <c r="Q362" s="69" t="s">
        <v>77</v>
      </c>
      <c r="R362" s="73" t="s">
        <v>2155</v>
      </c>
      <c r="S362" s="69">
        <v>965333</v>
      </c>
      <c r="T362" s="69"/>
      <c r="U362" s="69" t="s">
        <v>2159</v>
      </c>
      <c r="V362" s="69" t="s">
        <v>53</v>
      </c>
      <c r="W362" s="70">
        <v>60.11</v>
      </c>
      <c r="X362" s="69"/>
      <c r="Y362" s="70">
        <f>IFERROR(VLOOKUP(factures[[#This Row],[DT Prestation Amiante 2]],presta_amiante2[#Data],2,0),0)</f>
        <v>0</v>
      </c>
      <c r="Z362" s="69"/>
      <c r="AA362" s="70">
        <f>IFERROR(VLOOKUP(factures[[#This Row],[DT Prestation Gaz]],presta_gaz[#Data],2,0),0)</f>
        <v>0</v>
      </c>
      <c r="AB362" s="69">
        <v>2</v>
      </c>
      <c r="AC362" s="69" t="s">
        <v>73</v>
      </c>
      <c r="AD362" s="70">
        <v>36.99</v>
      </c>
      <c r="AE362" s="70">
        <f>IFERROR(factures[[#This Row],[Plvts ]]*factures[[#This Row],[Prix Analyses]],0)</f>
        <v>73.98</v>
      </c>
      <c r="AF362" s="70">
        <f>factures[[#This Row],[Prix Prestation Amiante 1]]+factures[[#This Row],[Prix Prestation Amiante 2]]+factures[[#This Row],[Prix Prestation Gaz]]+factures[[#This Row],[Prix analyses HT]]</f>
        <v>134.09</v>
      </c>
      <c r="AG362" s="69" t="s">
        <v>2239</v>
      </c>
      <c r="AH362" s="86" t="s">
        <v>2233</v>
      </c>
      <c r="AI362" s="69"/>
    </row>
    <row r="363" spans="1:35" ht="36" x14ac:dyDescent="0.3">
      <c r="A363" s="92" t="s">
        <v>907</v>
      </c>
      <c r="B363" s="72">
        <v>92220</v>
      </c>
      <c r="C363" s="69" t="s">
        <v>418</v>
      </c>
      <c r="D363" s="69" t="s">
        <v>419</v>
      </c>
      <c r="E363" s="69">
        <v>401</v>
      </c>
      <c r="F363" s="69">
        <v>4</v>
      </c>
      <c r="G363" s="69">
        <v>3</v>
      </c>
      <c r="H363" s="69">
        <v>51871</v>
      </c>
      <c r="I363" s="69">
        <v>9152</v>
      </c>
      <c r="J363" s="69" t="s">
        <v>877</v>
      </c>
      <c r="K363" s="69"/>
      <c r="L363" s="69" t="s">
        <v>2156</v>
      </c>
      <c r="M363" s="71">
        <v>43739</v>
      </c>
      <c r="N363" s="69" t="s">
        <v>71</v>
      </c>
      <c r="O363" s="71">
        <v>43745</v>
      </c>
      <c r="P363" s="69"/>
      <c r="Q363" s="69" t="s">
        <v>77</v>
      </c>
      <c r="R363" s="73" t="s">
        <v>2157</v>
      </c>
      <c r="S363" s="69">
        <v>965391</v>
      </c>
      <c r="T363" s="69"/>
      <c r="U363" s="69" t="s">
        <v>2189</v>
      </c>
      <c r="V363" s="69" t="s">
        <v>53</v>
      </c>
      <c r="W363" s="70">
        <v>60.11</v>
      </c>
      <c r="X363" s="69"/>
      <c r="Y363" s="70">
        <f>IFERROR(VLOOKUP(factures[[#This Row],[DT Prestation Amiante 2]],presta_amiante2[#Data],2,0),0)</f>
        <v>0</v>
      </c>
      <c r="Z363" s="69" t="s">
        <v>61</v>
      </c>
      <c r="AA363" s="70">
        <v>41.62</v>
      </c>
      <c r="AB363" s="69">
        <v>6</v>
      </c>
      <c r="AC363" s="69" t="s">
        <v>73</v>
      </c>
      <c r="AD363" s="70">
        <v>36.99</v>
      </c>
      <c r="AE363" s="70">
        <f>IFERROR(factures[[#This Row],[Plvts ]]*factures[[#This Row],[Prix Analyses]],0)</f>
        <v>221.94</v>
      </c>
      <c r="AF363" s="70">
        <f>factures[[#This Row],[Prix Prestation Amiante 1]]+factures[[#This Row],[Prix Prestation Amiante 2]]+factures[[#This Row],[Prix Prestation Gaz]]+factures[[#This Row],[Prix analyses HT]]</f>
        <v>323.66999999999996</v>
      </c>
      <c r="AG363" s="69" t="s">
        <v>2259</v>
      </c>
      <c r="AH363" s="86" t="s">
        <v>2249</v>
      </c>
      <c r="AI363" s="69"/>
    </row>
    <row r="364" spans="1:35" ht="36" x14ac:dyDescent="0.3">
      <c r="A364" s="92" t="s">
        <v>2161</v>
      </c>
      <c r="B364" s="72">
        <v>78500</v>
      </c>
      <c r="C364" s="69" t="s">
        <v>214</v>
      </c>
      <c r="D364" s="69" t="s">
        <v>215</v>
      </c>
      <c r="E364" s="69">
        <v>801</v>
      </c>
      <c r="F364" s="69">
        <v>8</v>
      </c>
      <c r="G364" s="69">
        <v>3</v>
      </c>
      <c r="H364" s="69">
        <v>36139</v>
      </c>
      <c r="I364" s="69">
        <v>588</v>
      </c>
      <c r="J364" s="69" t="s">
        <v>2052</v>
      </c>
      <c r="K364" s="69"/>
      <c r="L364" s="69" t="s">
        <v>2162</v>
      </c>
      <c r="M364" s="71">
        <v>43740</v>
      </c>
      <c r="N364" s="69" t="s">
        <v>84</v>
      </c>
      <c r="O364" s="71">
        <v>43742</v>
      </c>
      <c r="P364" s="69"/>
      <c r="Q364" s="69" t="s">
        <v>77</v>
      </c>
      <c r="R364" s="73" t="s">
        <v>2163</v>
      </c>
      <c r="S364" s="69">
        <v>965889</v>
      </c>
      <c r="T364" s="69"/>
      <c r="U364" s="69" t="s">
        <v>2184</v>
      </c>
      <c r="V364" s="69" t="s">
        <v>55</v>
      </c>
      <c r="W364" s="70">
        <v>55.49</v>
      </c>
      <c r="X364" s="69" t="s">
        <v>53</v>
      </c>
      <c r="Y364" s="70">
        <v>60.11</v>
      </c>
      <c r="Z364" s="69" t="s">
        <v>61</v>
      </c>
      <c r="AA364" s="70">
        <v>41.62</v>
      </c>
      <c r="AB364" s="69">
        <v>12</v>
      </c>
      <c r="AC364" s="69" t="s">
        <v>73</v>
      </c>
      <c r="AD364" s="70">
        <v>36.99</v>
      </c>
      <c r="AE364" s="70">
        <f>IFERROR(factures[[#This Row],[Plvts ]]*factures[[#This Row],[Prix Analyses]],0)</f>
        <v>443.88</v>
      </c>
      <c r="AF364" s="70">
        <f>factures[[#This Row],[Prix Prestation Amiante 1]]+factures[[#This Row],[Prix Prestation Amiante 2]]+factures[[#This Row],[Prix Prestation Gaz]]+factures[[#This Row],[Prix analyses HT]]</f>
        <v>601.1</v>
      </c>
      <c r="AG364" s="69" t="s">
        <v>2268</v>
      </c>
      <c r="AH364" s="86" t="s">
        <v>2249</v>
      </c>
      <c r="AI364" s="69"/>
    </row>
    <row r="365" spans="1:35" ht="36" x14ac:dyDescent="0.3">
      <c r="A365" s="92" t="s">
        <v>2164</v>
      </c>
      <c r="B365" s="72">
        <v>78800</v>
      </c>
      <c r="C365" s="69" t="s">
        <v>123</v>
      </c>
      <c r="D365" s="69" t="s">
        <v>347</v>
      </c>
      <c r="E365" s="69">
        <v>203</v>
      </c>
      <c r="F365" s="69">
        <v>2</v>
      </c>
      <c r="G365" s="69">
        <v>3</v>
      </c>
      <c r="H365" s="69">
        <v>8551</v>
      </c>
      <c r="I365" s="69">
        <v>122</v>
      </c>
      <c r="J365" s="88" t="s">
        <v>2333</v>
      </c>
      <c r="K365" s="69"/>
      <c r="L365" s="69" t="s">
        <v>2165</v>
      </c>
      <c r="M365" s="71">
        <v>43740</v>
      </c>
      <c r="N365" s="69" t="s">
        <v>83</v>
      </c>
      <c r="O365" s="71">
        <v>43761</v>
      </c>
      <c r="P365" s="69"/>
      <c r="Q365" s="69" t="s">
        <v>77</v>
      </c>
      <c r="R365" s="73" t="s">
        <v>2342</v>
      </c>
      <c r="S365" s="69">
        <v>965882</v>
      </c>
      <c r="T365" s="92" t="s">
        <v>2274</v>
      </c>
      <c r="U365" s="69" t="s">
        <v>2339</v>
      </c>
      <c r="V365" s="69" t="s">
        <v>55</v>
      </c>
      <c r="W365" s="70">
        <v>55.49</v>
      </c>
      <c r="X365" s="69" t="s">
        <v>53</v>
      </c>
      <c r="Y365" s="70">
        <v>60.11</v>
      </c>
      <c r="Z365" s="69"/>
      <c r="AA365" s="70">
        <f>IFERROR(VLOOKUP(factures[[#This Row],[DT Prestation Gaz]],presta_gaz[#Data],2,0),0)</f>
        <v>0</v>
      </c>
      <c r="AB365" s="69">
        <v>2</v>
      </c>
      <c r="AC365" s="69" t="s">
        <v>73</v>
      </c>
      <c r="AD365" s="70">
        <v>36.99</v>
      </c>
      <c r="AE365" s="70">
        <f>IFERROR(factures[[#This Row],[Plvts ]]*factures[[#This Row],[Prix Analyses]],0)</f>
        <v>73.98</v>
      </c>
      <c r="AF365" s="122">
        <f>factures[[#This Row],[Prix Prestation Amiante 1]]+factures[[#This Row],[Prix Prestation Amiante 2]]+factures[[#This Row],[Prix Prestation Gaz]]+factures[[#This Row],[Prix analyses HT]]</f>
        <v>189.57999999999998</v>
      </c>
      <c r="AG365" s="69" t="s">
        <v>2484</v>
      </c>
      <c r="AH365" s="86" t="s">
        <v>2485</v>
      </c>
      <c r="AI365" s="69"/>
    </row>
    <row r="366" spans="1:35" ht="36" x14ac:dyDescent="0.3">
      <c r="A366" s="92" t="s">
        <v>1549</v>
      </c>
      <c r="B366" s="72">
        <v>78800</v>
      </c>
      <c r="C366" s="69" t="s">
        <v>2166</v>
      </c>
      <c r="D366" s="69" t="s">
        <v>347</v>
      </c>
      <c r="E366" s="69">
        <v>401</v>
      </c>
      <c r="F366" s="69">
        <v>4</v>
      </c>
      <c r="G366" s="69">
        <v>2</v>
      </c>
      <c r="H366" s="69">
        <v>8478</v>
      </c>
      <c r="I366" s="69">
        <v>122</v>
      </c>
      <c r="J366" s="88" t="s">
        <v>125</v>
      </c>
      <c r="K366" s="69"/>
      <c r="L366" s="69" t="s">
        <v>2167</v>
      </c>
      <c r="M366" s="71">
        <v>43740</v>
      </c>
      <c r="N366" s="69" t="s">
        <v>83</v>
      </c>
      <c r="O366" s="71">
        <v>43746</v>
      </c>
      <c r="P366" s="69"/>
      <c r="Q366" s="69" t="s">
        <v>77</v>
      </c>
      <c r="R366" s="73" t="s">
        <v>2168</v>
      </c>
      <c r="S366" s="69">
        <v>965824</v>
      </c>
      <c r="T366" s="69"/>
      <c r="U366" s="69" t="s">
        <v>2208</v>
      </c>
      <c r="V366" s="69" t="s">
        <v>55</v>
      </c>
      <c r="W366" s="70">
        <v>55.49</v>
      </c>
      <c r="X366" s="69" t="s">
        <v>53</v>
      </c>
      <c r="Y366" s="70">
        <v>60.11</v>
      </c>
      <c r="Z366" s="69"/>
      <c r="AA366" s="70">
        <f>IFERROR(VLOOKUP(factures[[#This Row],[DT Prestation Gaz]],presta_gaz[#Data],2,0),0)</f>
        <v>0</v>
      </c>
      <c r="AB366" s="69">
        <v>10</v>
      </c>
      <c r="AC366" s="69" t="s">
        <v>73</v>
      </c>
      <c r="AD366" s="70">
        <v>36.99</v>
      </c>
      <c r="AE366" s="70">
        <f>IFERROR(factures[[#This Row],[Plvts ]]*factures[[#This Row],[Prix Analyses]],0)</f>
        <v>369.90000000000003</v>
      </c>
      <c r="AF366" s="70">
        <f>factures[[#This Row],[Prix Prestation Amiante 1]]+factures[[#This Row],[Prix Prestation Amiante 2]]+factures[[#This Row],[Prix Prestation Gaz]]+factures[[#This Row],[Prix analyses HT]]</f>
        <v>485.5</v>
      </c>
      <c r="AG366" s="69" t="s">
        <v>2276</v>
      </c>
      <c r="AH366" s="86" t="s">
        <v>2277</v>
      </c>
      <c r="AI366" s="69"/>
    </row>
    <row r="367" spans="1:35" ht="36" x14ac:dyDescent="0.3">
      <c r="A367" s="92" t="s">
        <v>2169</v>
      </c>
      <c r="B367" s="72">
        <v>78200</v>
      </c>
      <c r="C367" s="69" t="s">
        <v>189</v>
      </c>
      <c r="D367" s="69" t="s">
        <v>1344</v>
      </c>
      <c r="E367" s="69">
        <v>302</v>
      </c>
      <c r="F367" s="69">
        <v>3</v>
      </c>
      <c r="G367" s="69">
        <v>4</v>
      </c>
      <c r="H367" s="69">
        <v>43455</v>
      </c>
      <c r="I367" s="69">
        <v>861</v>
      </c>
      <c r="J367" s="69" t="s">
        <v>1720</v>
      </c>
      <c r="K367" s="69"/>
      <c r="L367" s="69" t="s">
        <v>2170</v>
      </c>
      <c r="M367" s="71">
        <v>43740</v>
      </c>
      <c r="N367" s="69" t="s">
        <v>84</v>
      </c>
      <c r="O367" s="71">
        <v>43746</v>
      </c>
      <c r="P367" s="69"/>
      <c r="Q367" s="69" t="s">
        <v>77</v>
      </c>
      <c r="R367" s="73" t="s">
        <v>2171</v>
      </c>
      <c r="S367" s="69">
        <v>965821</v>
      </c>
      <c r="T367" s="69"/>
      <c r="U367" s="69" t="s">
        <v>2210</v>
      </c>
      <c r="V367" s="69" t="s">
        <v>55</v>
      </c>
      <c r="W367" s="70">
        <v>55.49</v>
      </c>
      <c r="X367" s="69" t="s">
        <v>54</v>
      </c>
      <c r="Y367" s="70">
        <v>69.36</v>
      </c>
      <c r="Z367" s="69" t="s">
        <v>62</v>
      </c>
      <c r="AA367" s="70">
        <v>49.01</v>
      </c>
      <c r="AB367" s="69">
        <v>3</v>
      </c>
      <c r="AC367" s="69" t="s">
        <v>73</v>
      </c>
      <c r="AD367" s="70">
        <v>36.99</v>
      </c>
      <c r="AE367" s="70">
        <f>IFERROR(factures[[#This Row],[Plvts ]]*factures[[#This Row],[Prix Analyses]],0)</f>
        <v>110.97</v>
      </c>
      <c r="AF367" s="70">
        <f>factures[[#This Row],[Prix Prestation Amiante 1]]+factures[[#This Row],[Prix Prestation Amiante 2]]+factures[[#This Row],[Prix Prestation Gaz]]+factures[[#This Row],[Prix analyses HT]]</f>
        <v>284.83</v>
      </c>
      <c r="AG367" s="69" t="s">
        <v>2289</v>
      </c>
      <c r="AH367" s="86" t="s">
        <v>2283</v>
      </c>
      <c r="AI367" s="69"/>
    </row>
    <row r="368" spans="1:35" ht="48" x14ac:dyDescent="0.3">
      <c r="A368" s="69" t="s">
        <v>1700</v>
      </c>
      <c r="B368" s="72">
        <v>92100</v>
      </c>
      <c r="C368" s="69" t="s">
        <v>133</v>
      </c>
      <c r="D368" s="69" t="s">
        <v>134</v>
      </c>
      <c r="E368" s="69">
        <v>31</v>
      </c>
      <c r="F368" s="69">
        <v>3</v>
      </c>
      <c r="G368" s="69">
        <v>1</v>
      </c>
      <c r="H368" s="69">
        <v>60779</v>
      </c>
      <c r="I368" s="69">
        <v>753</v>
      </c>
      <c r="J368" s="69" t="s">
        <v>1923</v>
      </c>
      <c r="K368" s="69"/>
      <c r="L368" s="69" t="s">
        <v>2172</v>
      </c>
      <c r="M368" s="71">
        <v>43740</v>
      </c>
      <c r="N368" s="69" t="s">
        <v>2173</v>
      </c>
      <c r="O368" s="71">
        <v>43748</v>
      </c>
      <c r="P368" s="69"/>
      <c r="Q368" s="69" t="s">
        <v>77</v>
      </c>
      <c r="R368" s="73"/>
      <c r="S368" s="69">
        <v>965985</v>
      </c>
      <c r="T368" s="69"/>
      <c r="U368" s="69"/>
      <c r="V368" s="69" t="s">
        <v>93</v>
      </c>
      <c r="W368" s="70">
        <v>80.459999999999994</v>
      </c>
      <c r="X368" s="69"/>
      <c r="Y368" s="70">
        <f>IFERROR(VLOOKUP(factures[[#This Row],[DT Prestation Amiante 2]],presta_amiante2[#Data],2,0),0)</f>
        <v>0</v>
      </c>
      <c r="Z368" s="69"/>
      <c r="AA368" s="70">
        <f>IFERROR(VLOOKUP(factures[[#This Row],[DT Prestation Gaz]],presta_gaz[#Data],2,0),0)</f>
        <v>0</v>
      </c>
      <c r="AB368" s="69"/>
      <c r="AC368" s="69"/>
      <c r="AD368" s="70">
        <f>IFERROR(VLOOKUP(factures[[#This Row],[DT Analyses]],DT_analyses[#Data],2,0),0)</f>
        <v>0</v>
      </c>
      <c r="AE368" s="70">
        <f>IFERROR(factures[[#This Row],[Plvts ]]*factures[[#This Row],[Prix Analyses]],0)</f>
        <v>0</v>
      </c>
      <c r="AF368" s="70">
        <f>factures[[#This Row],[Prix Prestation Amiante 1]]+factures[[#This Row],[Prix Prestation Amiante 2]]+factures[[#This Row],[Prix Prestation Gaz]]+factures[[#This Row],[Prix analyses HT]]</f>
        <v>80.459999999999994</v>
      </c>
      <c r="AG368" s="69" t="s">
        <v>2240</v>
      </c>
      <c r="AH368" s="86" t="s">
        <v>2233</v>
      </c>
      <c r="AI368" s="69"/>
    </row>
    <row r="369" spans="1:35" ht="36" x14ac:dyDescent="0.3">
      <c r="A369" s="69" t="s">
        <v>2174</v>
      </c>
      <c r="B369" s="72">
        <v>78700</v>
      </c>
      <c r="C369" s="69" t="s">
        <v>2175</v>
      </c>
      <c r="D369" s="69" t="s">
        <v>2176</v>
      </c>
      <c r="E369" s="69" t="s">
        <v>2177</v>
      </c>
      <c r="F369" s="69">
        <v>2</v>
      </c>
      <c r="G369" s="69">
        <v>2</v>
      </c>
      <c r="H369" s="69">
        <v>61515</v>
      </c>
      <c r="I369" s="69">
        <v>3</v>
      </c>
      <c r="J369" s="69" t="s">
        <v>570</v>
      </c>
      <c r="K369" s="69"/>
      <c r="L369" s="69" t="s">
        <v>2178</v>
      </c>
      <c r="M369" s="71">
        <v>43741</v>
      </c>
      <c r="N369" s="69" t="s">
        <v>72</v>
      </c>
      <c r="O369" s="71">
        <v>43742</v>
      </c>
      <c r="P369" s="69"/>
      <c r="Q369" s="69" t="s">
        <v>77</v>
      </c>
      <c r="R369" s="73"/>
      <c r="S369" s="69">
        <v>966105</v>
      </c>
      <c r="T369" s="69"/>
      <c r="U369" s="69"/>
      <c r="V369" s="69"/>
      <c r="W369" s="70">
        <f>IFERROR(VLOOKUP(factures[[#This Row],[DT Prestation Amiante 1]],presta_amiante1[#Data],2,0),0)</f>
        <v>0</v>
      </c>
      <c r="X369" s="69"/>
      <c r="Y369" s="70">
        <f>IFERROR(VLOOKUP(factures[[#This Row],[DT Prestation Amiante 2]],presta_amiante2[#Data],2,0),0)</f>
        <v>0</v>
      </c>
      <c r="Z369" s="69" t="s">
        <v>61</v>
      </c>
      <c r="AA369" s="70">
        <v>41.62</v>
      </c>
      <c r="AB369" s="69"/>
      <c r="AC369" s="69"/>
      <c r="AD369" s="70">
        <f>IFERROR(VLOOKUP(factures[[#This Row],[DT Analyses]],DT_analyses[#Data],2,0),0)</f>
        <v>0</v>
      </c>
      <c r="AE369" s="70">
        <f>IFERROR(factures[[#This Row],[Plvts ]]*factures[[#This Row],[Prix Analyses]],0)</f>
        <v>0</v>
      </c>
      <c r="AF369" s="70">
        <f>factures[[#This Row],[Prix Prestation Amiante 1]]+factures[[#This Row],[Prix Prestation Amiante 2]]+factures[[#This Row],[Prix Prestation Gaz]]+factures[[#This Row],[Prix analyses HT]]</f>
        <v>41.62</v>
      </c>
      <c r="AG369" s="69" t="s">
        <v>2206</v>
      </c>
      <c r="AH369" s="86" t="s">
        <v>2201</v>
      </c>
      <c r="AI369" s="69"/>
    </row>
    <row r="370" spans="1:35" ht="108" x14ac:dyDescent="0.3">
      <c r="A370" s="92" t="s">
        <v>356</v>
      </c>
      <c r="B370" s="72">
        <v>78540</v>
      </c>
      <c r="C370" s="69" t="s">
        <v>351</v>
      </c>
      <c r="D370" s="69" t="s">
        <v>1693</v>
      </c>
      <c r="E370" s="69">
        <v>303</v>
      </c>
      <c r="F370" s="69">
        <v>3</v>
      </c>
      <c r="G370" s="69">
        <v>1</v>
      </c>
      <c r="H370" s="69">
        <v>53438</v>
      </c>
      <c r="I370" s="69">
        <v>9700</v>
      </c>
      <c r="J370" s="69" t="s">
        <v>1770</v>
      </c>
      <c r="K370" s="69"/>
      <c r="L370" s="69" t="s">
        <v>2179</v>
      </c>
      <c r="M370" s="71">
        <v>43741</v>
      </c>
      <c r="N370" s="69" t="s">
        <v>84</v>
      </c>
      <c r="O370" s="71">
        <v>43746</v>
      </c>
      <c r="P370" s="69"/>
      <c r="Q370" s="69" t="s">
        <v>77</v>
      </c>
      <c r="R370" s="73" t="s">
        <v>2182</v>
      </c>
      <c r="S370" s="69">
        <v>966114</v>
      </c>
      <c r="T370" s="69"/>
      <c r="U370" s="69" t="s">
        <v>2209</v>
      </c>
      <c r="V370" s="69" t="s">
        <v>55</v>
      </c>
      <c r="W370" s="70">
        <v>55.49</v>
      </c>
      <c r="X370" s="69" t="s">
        <v>53</v>
      </c>
      <c r="Y370" s="70">
        <v>60.11</v>
      </c>
      <c r="Z370" s="69" t="s">
        <v>61</v>
      </c>
      <c r="AA370" s="70">
        <v>41.62</v>
      </c>
      <c r="AB370" s="69">
        <v>7</v>
      </c>
      <c r="AC370" s="69" t="s">
        <v>73</v>
      </c>
      <c r="AD370" s="70">
        <v>36.99</v>
      </c>
      <c r="AE370" s="70">
        <f>IFERROR(factures[[#This Row],[Plvts ]]*factures[[#This Row],[Prix Analyses]],0)</f>
        <v>258.93</v>
      </c>
      <c r="AF370" s="70">
        <f>factures[[#This Row],[Prix Prestation Amiante 1]]+factures[[#This Row],[Prix Prestation Amiante 2]]+factures[[#This Row],[Prix Prestation Gaz]]+factures[[#This Row],[Prix analyses HT]]</f>
        <v>416.15</v>
      </c>
      <c r="AG370" s="69" t="s">
        <v>2279</v>
      </c>
      <c r="AH370" s="86" t="s">
        <v>2277</v>
      </c>
      <c r="AI370" s="69"/>
    </row>
    <row r="371" spans="1:35" ht="72" x14ac:dyDescent="0.3">
      <c r="A371" s="92" t="s">
        <v>2180</v>
      </c>
      <c r="B371" s="72">
        <v>78540</v>
      </c>
      <c r="C371" s="69" t="s">
        <v>351</v>
      </c>
      <c r="D371" s="69" t="s">
        <v>1693</v>
      </c>
      <c r="E371" s="69">
        <v>401</v>
      </c>
      <c r="F371" s="69">
        <v>4</v>
      </c>
      <c r="G371" s="69">
        <v>4</v>
      </c>
      <c r="H371" s="69">
        <v>52766</v>
      </c>
      <c r="I371" s="69">
        <v>9700</v>
      </c>
      <c r="J371" s="69" t="s">
        <v>2207</v>
      </c>
      <c r="K371" s="69"/>
      <c r="L371" s="69" t="s">
        <v>2181</v>
      </c>
      <c r="M371" s="71">
        <v>43741</v>
      </c>
      <c r="N371" s="69" t="s">
        <v>84</v>
      </c>
      <c r="O371" s="71">
        <v>43746</v>
      </c>
      <c r="P371" s="69"/>
      <c r="Q371" s="69" t="s">
        <v>77</v>
      </c>
      <c r="R371" s="73" t="s">
        <v>2183</v>
      </c>
      <c r="S371" s="69">
        <v>966111</v>
      </c>
      <c r="T371" s="69"/>
      <c r="U371" s="69" t="s">
        <v>2211</v>
      </c>
      <c r="V371" s="69" t="s">
        <v>55</v>
      </c>
      <c r="W371" s="70">
        <v>55.49</v>
      </c>
      <c r="X371" s="69" t="s">
        <v>54</v>
      </c>
      <c r="Y371" s="70">
        <v>69.36</v>
      </c>
      <c r="Z371" s="69" t="s">
        <v>62</v>
      </c>
      <c r="AA371" s="70">
        <v>49.01</v>
      </c>
      <c r="AB371" s="69">
        <v>5</v>
      </c>
      <c r="AC371" s="69" t="s">
        <v>73</v>
      </c>
      <c r="AD371" s="70">
        <v>36.99</v>
      </c>
      <c r="AE371" s="70">
        <f>IFERROR(factures[[#This Row],[Plvts ]]*factures[[#This Row],[Prix Analyses]],0)</f>
        <v>184.95000000000002</v>
      </c>
      <c r="AF371" s="70">
        <f>factures[[#This Row],[Prix Prestation Amiante 1]]+factures[[#This Row],[Prix Prestation Amiante 2]]+factures[[#This Row],[Prix Prestation Gaz]]+factures[[#This Row],[Prix analyses HT]]</f>
        <v>358.81</v>
      </c>
      <c r="AG371" s="69" t="s">
        <v>2280</v>
      </c>
      <c r="AH371" s="86" t="s">
        <v>2277</v>
      </c>
      <c r="AI371" s="69"/>
    </row>
    <row r="372" spans="1:35" ht="36" x14ac:dyDescent="0.3">
      <c r="A372" s="92" t="s">
        <v>930</v>
      </c>
      <c r="B372" s="72">
        <v>78260</v>
      </c>
      <c r="C372" s="69" t="s">
        <v>1082</v>
      </c>
      <c r="D372" s="69" t="s">
        <v>438</v>
      </c>
      <c r="E372" s="69">
        <v>603</v>
      </c>
      <c r="F372" s="69">
        <v>6</v>
      </c>
      <c r="G372" s="69">
        <v>2</v>
      </c>
      <c r="H372" s="69">
        <v>39822</v>
      </c>
      <c r="I372" s="69">
        <v>815</v>
      </c>
      <c r="J372" s="69" t="s">
        <v>2002</v>
      </c>
      <c r="K372" s="69"/>
      <c r="L372" s="69" t="s">
        <v>2185</v>
      </c>
      <c r="M372" s="71">
        <v>43745</v>
      </c>
      <c r="N372" s="69" t="s">
        <v>84</v>
      </c>
      <c r="O372" s="71">
        <v>43746</v>
      </c>
      <c r="P372" s="69"/>
      <c r="Q372" s="69" t="s">
        <v>77</v>
      </c>
      <c r="R372" s="73" t="s">
        <v>2186</v>
      </c>
      <c r="S372" s="69">
        <v>958450</v>
      </c>
      <c r="T372" s="69"/>
      <c r="U372" s="69" t="s">
        <v>2212</v>
      </c>
      <c r="V372" s="69" t="s">
        <v>55</v>
      </c>
      <c r="W372" s="70">
        <v>55.49</v>
      </c>
      <c r="X372" s="69" t="s">
        <v>53</v>
      </c>
      <c r="Y372" s="70">
        <v>60.11</v>
      </c>
      <c r="Z372" s="69" t="s">
        <v>61</v>
      </c>
      <c r="AA372" s="70">
        <v>41.62</v>
      </c>
      <c r="AB372" s="69">
        <v>2</v>
      </c>
      <c r="AC372" s="69" t="s">
        <v>73</v>
      </c>
      <c r="AD372" s="70">
        <v>36.99</v>
      </c>
      <c r="AE372" s="70">
        <f>IFERROR(factures[[#This Row],[Plvts ]]*factures[[#This Row],[Prix Analyses]],0)</f>
        <v>73.98</v>
      </c>
      <c r="AF372" s="70">
        <f>factures[[#This Row],[Prix Prestation Amiante 1]]+factures[[#This Row],[Prix Prestation Amiante 2]]+factures[[#This Row],[Prix Prestation Gaz]]+factures[[#This Row],[Prix analyses HT]]</f>
        <v>231.2</v>
      </c>
      <c r="AG372" s="69" t="s">
        <v>2290</v>
      </c>
      <c r="AH372" s="86" t="s">
        <v>2283</v>
      </c>
      <c r="AI372" s="69"/>
    </row>
    <row r="373" spans="1:35" ht="48" x14ac:dyDescent="0.3">
      <c r="A373" s="92" t="s">
        <v>561</v>
      </c>
      <c r="B373" s="72">
        <v>78500</v>
      </c>
      <c r="C373" s="69" t="s">
        <v>214</v>
      </c>
      <c r="D373" s="69" t="s">
        <v>215</v>
      </c>
      <c r="E373" s="69">
        <v>1</v>
      </c>
      <c r="F373" s="69" t="s">
        <v>816</v>
      </c>
      <c r="G373" s="69">
        <v>3</v>
      </c>
      <c r="H373" s="69">
        <v>36202</v>
      </c>
      <c r="I373" s="69">
        <v>588</v>
      </c>
      <c r="J373" s="69" t="s">
        <v>216</v>
      </c>
      <c r="K373" s="69"/>
      <c r="L373" s="69" t="s">
        <v>2187</v>
      </c>
      <c r="M373" s="71">
        <v>43745</v>
      </c>
      <c r="N373" s="69" t="s">
        <v>84</v>
      </c>
      <c r="O373" s="71">
        <v>43747</v>
      </c>
      <c r="P373" s="69"/>
      <c r="Q373" s="69" t="s">
        <v>77</v>
      </c>
      <c r="R373" s="73" t="s">
        <v>2188</v>
      </c>
      <c r="S373" s="69">
        <v>966432</v>
      </c>
      <c r="T373" s="69"/>
      <c r="U373" s="69" t="s">
        <v>2214</v>
      </c>
      <c r="V373" s="69" t="s">
        <v>55</v>
      </c>
      <c r="W373" s="70">
        <v>55.49</v>
      </c>
      <c r="X373" s="69" t="s">
        <v>53</v>
      </c>
      <c r="Y373" s="70">
        <v>60.11</v>
      </c>
      <c r="Z373" s="69" t="s">
        <v>61</v>
      </c>
      <c r="AA373" s="70">
        <v>41.62</v>
      </c>
      <c r="AB373" s="69">
        <v>13</v>
      </c>
      <c r="AC373" s="69" t="s">
        <v>73</v>
      </c>
      <c r="AD373" s="70">
        <v>36.99</v>
      </c>
      <c r="AE373" s="70">
        <f>IFERROR(factures[[#This Row],[Plvts ]]*factures[[#This Row],[Prix Analyses]],0)</f>
        <v>480.87</v>
      </c>
      <c r="AF373" s="122">
        <f>factures[[#This Row],[Prix Prestation Amiante 1]]+factures[[#This Row],[Prix Prestation Amiante 2]]+factures[[#This Row],[Prix Prestation Gaz]]+factures[[#This Row],[Prix analyses HT]]</f>
        <v>638.09</v>
      </c>
      <c r="AG373" s="69" t="s">
        <v>2486</v>
      </c>
      <c r="AH373" s="86" t="s">
        <v>2485</v>
      </c>
      <c r="AI373" s="69"/>
    </row>
    <row r="374" spans="1:35" ht="36" x14ac:dyDescent="0.3">
      <c r="A374" s="92" t="s">
        <v>2190</v>
      </c>
      <c r="B374" s="72">
        <v>92500</v>
      </c>
      <c r="C374" s="69" t="s">
        <v>265</v>
      </c>
      <c r="D374" s="69" t="s">
        <v>464</v>
      </c>
      <c r="E374" s="69">
        <v>31</v>
      </c>
      <c r="F374" s="69">
        <v>5</v>
      </c>
      <c r="G374" s="69">
        <v>3</v>
      </c>
      <c r="H374" s="69">
        <v>84507</v>
      </c>
      <c r="I374" s="69">
        <v>9212</v>
      </c>
      <c r="J374" s="69" t="s">
        <v>1608</v>
      </c>
      <c r="K374" s="69"/>
      <c r="L374" s="69" t="s">
        <v>2191</v>
      </c>
      <c r="M374" s="71">
        <v>43745</v>
      </c>
      <c r="N374" s="69" t="s">
        <v>71</v>
      </c>
      <c r="O374" s="71">
        <v>43747</v>
      </c>
      <c r="P374" s="69"/>
      <c r="Q374" s="69" t="s">
        <v>77</v>
      </c>
      <c r="R374" s="73" t="s">
        <v>2192</v>
      </c>
      <c r="S374" s="69">
        <v>966525</v>
      </c>
      <c r="T374" s="69"/>
      <c r="U374" s="69" t="s">
        <v>2215</v>
      </c>
      <c r="V374" s="69" t="s">
        <v>53</v>
      </c>
      <c r="W374" s="70">
        <f>IFERROR(VLOOKUP(factures[[#This Row],[DT Prestation Amiante 1]],presta_amiante1[#Data],2,0),0)</f>
        <v>60.11</v>
      </c>
      <c r="X374" s="69"/>
      <c r="Y374" s="70">
        <f>IFERROR(VLOOKUP(factures[[#This Row],[DT Prestation Amiante 2]],presta_amiante2[#Data],2,0),0)</f>
        <v>0</v>
      </c>
      <c r="Z374" s="69" t="s">
        <v>61</v>
      </c>
      <c r="AA374" s="70">
        <f>IFERROR(VLOOKUP(factures[[#This Row],[DT Prestation Gaz]],presta_gaz[#Data],2,0),0)</f>
        <v>41.62</v>
      </c>
      <c r="AB374" s="69">
        <v>3</v>
      </c>
      <c r="AC374" s="69" t="s">
        <v>73</v>
      </c>
      <c r="AD374" s="70">
        <f>IFERROR(VLOOKUP(factures[[#This Row],[DT Analyses]],DT_analyses[#Data],2,0),0)</f>
        <v>36.99</v>
      </c>
      <c r="AE374" s="70">
        <f>IFERROR(factures[[#This Row],[Plvts ]]*factures[[#This Row],[Prix Analyses]],0)</f>
        <v>110.97</v>
      </c>
      <c r="AF374" s="70">
        <f>factures[[#This Row],[Prix Prestation Amiante 1]]+factures[[#This Row],[Prix Prestation Amiante 2]]+factures[[#This Row],[Prix Prestation Gaz]]+factures[[#This Row],[Prix analyses HT]]</f>
        <v>212.7</v>
      </c>
      <c r="AG374" s="69" t="s">
        <v>2536</v>
      </c>
      <c r="AH374" s="86" t="s">
        <v>2537</v>
      </c>
      <c r="AI374" s="69"/>
    </row>
    <row r="375" spans="1:35" ht="36" x14ac:dyDescent="0.3">
      <c r="A375" s="92" t="s">
        <v>879</v>
      </c>
      <c r="B375" s="72">
        <v>78260</v>
      </c>
      <c r="C375" s="69" t="s">
        <v>1082</v>
      </c>
      <c r="D375" s="69" t="s">
        <v>438</v>
      </c>
      <c r="E375" s="69">
        <v>101</v>
      </c>
      <c r="F375" s="69">
        <v>1</v>
      </c>
      <c r="G375" s="69">
        <v>1</v>
      </c>
      <c r="H375" s="69">
        <v>39749</v>
      </c>
      <c r="I375" s="69">
        <v>815</v>
      </c>
      <c r="J375" s="69" t="s">
        <v>2002</v>
      </c>
      <c r="K375" s="69"/>
      <c r="L375" s="69" t="s">
        <v>2218</v>
      </c>
      <c r="M375" s="71">
        <v>43746</v>
      </c>
      <c r="N375" s="69" t="s">
        <v>84</v>
      </c>
      <c r="O375" s="71">
        <v>43753</v>
      </c>
      <c r="P375" s="69"/>
      <c r="Q375" s="69" t="s">
        <v>77</v>
      </c>
      <c r="R375" s="73" t="s">
        <v>2213</v>
      </c>
      <c r="S375" s="69">
        <v>963792</v>
      </c>
      <c r="T375" s="69"/>
      <c r="U375" s="69" t="s">
        <v>2267</v>
      </c>
      <c r="V375" s="69" t="s">
        <v>55</v>
      </c>
      <c r="W375" s="70">
        <f>IFERROR(VLOOKUP(factures[[#This Row],[DT Prestation Amiante 1]],presta_amiante1[#Data],2,0),0)</f>
        <v>55.49</v>
      </c>
      <c r="X375" s="69" t="s">
        <v>53</v>
      </c>
      <c r="Y375" s="70">
        <f>IFERROR(VLOOKUP(factures[[#This Row],[DT Prestation Amiante 2]],presta_amiante2[#Data],2,0),0)</f>
        <v>60.11</v>
      </c>
      <c r="Z375" s="69" t="s">
        <v>61</v>
      </c>
      <c r="AA375" s="70">
        <f>IFERROR(VLOOKUP(factures[[#This Row],[DT Prestation Gaz]],presta_gaz[#Data],2,0),0)</f>
        <v>41.62</v>
      </c>
      <c r="AB375" s="69">
        <v>2</v>
      </c>
      <c r="AC375" s="69" t="s">
        <v>73</v>
      </c>
      <c r="AD375" s="70">
        <f>IFERROR(VLOOKUP(factures[[#This Row],[DT Analyses]],DT_analyses[#Data],2,0),0)</f>
        <v>36.99</v>
      </c>
      <c r="AE375" s="70">
        <f>IFERROR(factures[[#This Row],[Plvts ]]*factures[[#This Row],[Prix Analyses]],0)</f>
        <v>73.98</v>
      </c>
      <c r="AF375" s="70">
        <f>factures[[#This Row],[Prix Prestation Amiante 1]]+factures[[#This Row],[Prix Prestation Amiante 2]]+factures[[#This Row],[Prix Prestation Gaz]]+factures[[#This Row],[Prix analyses HT]]</f>
        <v>231.2</v>
      </c>
      <c r="AG375" s="69"/>
      <c r="AH375" s="86"/>
      <c r="AI375" s="69"/>
    </row>
    <row r="376" spans="1:35" ht="36" x14ac:dyDescent="0.3">
      <c r="A376" s="92" t="s">
        <v>1318</v>
      </c>
      <c r="B376" s="72">
        <v>78570</v>
      </c>
      <c r="C376" s="69" t="s">
        <v>568</v>
      </c>
      <c r="D376" s="69" t="s">
        <v>805</v>
      </c>
      <c r="E376" s="69">
        <v>204</v>
      </c>
      <c r="F376" s="69">
        <v>2</v>
      </c>
      <c r="G376" s="69">
        <v>2</v>
      </c>
      <c r="H376" s="69">
        <v>52347</v>
      </c>
      <c r="I376" s="69">
        <v>9288</v>
      </c>
      <c r="J376" s="69" t="s">
        <v>570</v>
      </c>
      <c r="K376" s="69"/>
      <c r="L376" s="69" t="s">
        <v>2216</v>
      </c>
      <c r="M376" s="71">
        <v>43748</v>
      </c>
      <c r="N376" s="69" t="s">
        <v>84</v>
      </c>
      <c r="O376" s="71">
        <v>43753</v>
      </c>
      <c r="P376" s="69"/>
      <c r="Q376" s="69" t="s">
        <v>77</v>
      </c>
      <c r="R376" s="73" t="s">
        <v>2217</v>
      </c>
      <c r="S376" s="69">
        <v>967222</v>
      </c>
      <c r="T376" s="69"/>
      <c r="U376" s="69" t="s">
        <v>2266</v>
      </c>
      <c r="V376" s="69" t="s">
        <v>55</v>
      </c>
      <c r="W376" s="70">
        <v>55.49</v>
      </c>
      <c r="X376" s="69" t="s">
        <v>53</v>
      </c>
      <c r="Y376" s="70">
        <v>60.11</v>
      </c>
      <c r="Z376" s="69" t="s">
        <v>61</v>
      </c>
      <c r="AA376" s="70">
        <v>41.62</v>
      </c>
      <c r="AB376" s="69">
        <v>4</v>
      </c>
      <c r="AC376" s="69" t="s">
        <v>73</v>
      </c>
      <c r="AD376" s="70">
        <v>36.99</v>
      </c>
      <c r="AE376" s="70">
        <f>IFERROR(factures[[#This Row],[Plvts ]]*factures[[#This Row],[Prix Analyses]],0)</f>
        <v>147.96</v>
      </c>
      <c r="AF376" s="70">
        <f>factures[[#This Row],[Prix Prestation Amiante 1]]+factures[[#This Row],[Prix Prestation Amiante 2]]+factures[[#This Row],[Prix Prestation Gaz]]+factures[[#This Row],[Prix analyses HT]]</f>
        <v>305.18</v>
      </c>
      <c r="AG376" s="69" t="s">
        <v>2360</v>
      </c>
      <c r="AH376" s="86" t="s">
        <v>2358</v>
      </c>
      <c r="AI376" s="69"/>
    </row>
    <row r="377" spans="1:35" ht="36" x14ac:dyDescent="0.3">
      <c r="A377" s="92" t="s">
        <v>2219</v>
      </c>
      <c r="B377" s="72">
        <v>78180</v>
      </c>
      <c r="C377" s="69" t="s">
        <v>115</v>
      </c>
      <c r="D377" s="69" t="s">
        <v>1196</v>
      </c>
      <c r="E377" s="69" t="s">
        <v>2220</v>
      </c>
      <c r="F377" s="69"/>
      <c r="G377" s="69">
        <v>4</v>
      </c>
      <c r="H377" s="69">
        <v>31568</v>
      </c>
      <c r="I377" s="69">
        <v>451</v>
      </c>
      <c r="J377" s="69" t="s">
        <v>2160</v>
      </c>
      <c r="K377" s="69"/>
      <c r="L377" s="69" t="s">
        <v>2221</v>
      </c>
      <c r="M377" s="71">
        <v>43749</v>
      </c>
      <c r="N377" s="69" t="s">
        <v>70</v>
      </c>
      <c r="O377" s="71">
        <v>43752</v>
      </c>
      <c r="P377" s="69"/>
      <c r="Q377" s="69" t="s">
        <v>77</v>
      </c>
      <c r="R377" s="73" t="s">
        <v>2222</v>
      </c>
      <c r="S377" s="69">
        <v>960327</v>
      </c>
      <c r="T377" s="69"/>
      <c r="U377" s="69" t="s">
        <v>2265</v>
      </c>
      <c r="V377" s="69" t="s">
        <v>54</v>
      </c>
      <c r="W377" s="70">
        <v>69.36</v>
      </c>
      <c r="X377" s="69" t="s">
        <v>55</v>
      </c>
      <c r="Y377" s="70">
        <v>55.49</v>
      </c>
      <c r="Z377" s="69"/>
      <c r="AA377" s="70">
        <v>55.49</v>
      </c>
      <c r="AB377" s="69">
        <v>8</v>
      </c>
      <c r="AC377" s="69" t="s">
        <v>73</v>
      </c>
      <c r="AD377" s="70">
        <v>36.99</v>
      </c>
      <c r="AE377" s="70">
        <f>IFERROR(factures[[#This Row],[Plvts ]]*factures[[#This Row],[Prix Analyses]],0)</f>
        <v>295.92</v>
      </c>
      <c r="AF377" s="122">
        <f>factures[[#This Row],[Prix Prestation Amiante 1]]+factures[[#This Row],[Prix Prestation Amiante 2]]+factures[[#This Row],[Prix Prestation Gaz]]+factures[[#This Row],[Prix analyses HT]]</f>
        <v>476.26</v>
      </c>
      <c r="AG377" s="69" t="s">
        <v>2447</v>
      </c>
      <c r="AH377" s="86" t="s">
        <v>2443</v>
      </c>
      <c r="AI377" s="69"/>
    </row>
    <row r="378" spans="1:35" ht="48" x14ac:dyDescent="0.3">
      <c r="A378" s="92" t="s">
        <v>2389</v>
      </c>
      <c r="B378" s="72">
        <v>92600</v>
      </c>
      <c r="C378" s="69" t="s">
        <v>609</v>
      </c>
      <c r="D378" s="69" t="s">
        <v>549</v>
      </c>
      <c r="E378" s="69">
        <v>201</v>
      </c>
      <c r="F378" s="69">
        <v>2</v>
      </c>
      <c r="G378" s="69">
        <v>3</v>
      </c>
      <c r="H378" s="69">
        <v>31353</v>
      </c>
      <c r="I378" s="69">
        <v>440</v>
      </c>
      <c r="J378" s="69" t="s">
        <v>621</v>
      </c>
      <c r="K378" s="69"/>
      <c r="L378" s="69" t="s">
        <v>2223</v>
      </c>
      <c r="M378" s="71">
        <v>43752</v>
      </c>
      <c r="N378" s="69" t="s">
        <v>227</v>
      </c>
      <c r="O378" s="71">
        <v>43756</v>
      </c>
      <c r="P378" s="69" t="s">
        <v>995</v>
      </c>
      <c r="Q378" s="69" t="s">
        <v>77</v>
      </c>
      <c r="R378" s="73" t="s">
        <v>2224</v>
      </c>
      <c r="S378" s="69">
        <v>967630</v>
      </c>
      <c r="T378" s="69"/>
      <c r="U378" s="69" t="s">
        <v>2321</v>
      </c>
      <c r="V378" s="69" t="s">
        <v>53</v>
      </c>
      <c r="W378" s="70">
        <v>60.11</v>
      </c>
      <c r="X378" s="69" t="s">
        <v>93</v>
      </c>
      <c r="Y378" s="70">
        <v>80.459999999999994</v>
      </c>
      <c r="Z378" s="69"/>
      <c r="AA378" s="70">
        <f>IFERROR(VLOOKUP(factures[[#This Row],[DT Prestation Gaz]],presta_gaz[#Data],2,0),0)</f>
        <v>0</v>
      </c>
      <c r="AB378" s="69">
        <v>2</v>
      </c>
      <c r="AC378" s="69" t="s">
        <v>73</v>
      </c>
      <c r="AD378" s="70">
        <v>36.99</v>
      </c>
      <c r="AE378" s="70">
        <f>IFERROR(factures[[#This Row],[Plvts ]]*factures[[#This Row],[Prix Analyses]],0)</f>
        <v>73.98</v>
      </c>
      <c r="AF378" s="70">
        <f>factures[[#This Row],[Prix Prestation Amiante 1]]+factures[[#This Row],[Prix Prestation Amiante 2]]+factures[[#This Row],[Prix Prestation Gaz]]+factures[[#This Row],[Prix analyses HT]]</f>
        <v>214.55</v>
      </c>
      <c r="AG378" s="69" t="s">
        <v>2487</v>
      </c>
      <c r="AH378" s="86" t="s">
        <v>2485</v>
      </c>
      <c r="AI378" s="69"/>
    </row>
    <row r="379" spans="1:35" ht="40.799999999999997" x14ac:dyDescent="0.3">
      <c r="A379" s="92" t="s">
        <v>2226</v>
      </c>
      <c r="B379" s="72">
        <v>94800</v>
      </c>
      <c r="C379" s="69" t="s">
        <v>2227</v>
      </c>
      <c r="D379" s="69" t="s">
        <v>2228</v>
      </c>
      <c r="E379" s="69">
        <v>203</v>
      </c>
      <c r="F379" s="69">
        <v>2</v>
      </c>
      <c r="G379" s="69">
        <v>3</v>
      </c>
      <c r="H379" s="69">
        <v>45181</v>
      </c>
      <c r="I379" s="69">
        <v>890</v>
      </c>
      <c r="J379" s="69" t="s">
        <v>2229</v>
      </c>
      <c r="K379" s="69"/>
      <c r="L379" s="69" t="s">
        <v>2230</v>
      </c>
      <c r="M379" s="71">
        <v>43752</v>
      </c>
      <c r="N379" s="69" t="s">
        <v>71</v>
      </c>
      <c r="O379" s="71">
        <v>43754</v>
      </c>
      <c r="P379" s="69"/>
      <c r="Q379" s="69" t="s">
        <v>77</v>
      </c>
      <c r="R379" s="73" t="s">
        <v>2231</v>
      </c>
      <c r="S379" s="69">
        <v>967654</v>
      </c>
      <c r="T379" s="69"/>
      <c r="U379" s="69" t="s">
        <v>2271</v>
      </c>
      <c r="V379" s="69" t="s">
        <v>53</v>
      </c>
      <c r="W379" s="70">
        <v>60.11</v>
      </c>
      <c r="X379" s="69"/>
      <c r="Y379" s="70">
        <f>IFERROR(VLOOKUP(factures[[#This Row],[DT Prestation Amiante 2]],presta_amiante2[#Data],2,0),0)</f>
        <v>0</v>
      </c>
      <c r="Z379" s="69" t="s">
        <v>61</v>
      </c>
      <c r="AA379" s="70">
        <v>41.62</v>
      </c>
      <c r="AB379" s="69">
        <v>4</v>
      </c>
      <c r="AC379" s="69" t="s">
        <v>73</v>
      </c>
      <c r="AD379" s="70">
        <v>36.99</v>
      </c>
      <c r="AE379" s="70">
        <f>IFERROR(factures[[#This Row],[Plvts ]]*factures[[#This Row],[Prix Analyses]],0)</f>
        <v>147.96</v>
      </c>
      <c r="AF379" s="70">
        <f>factures[[#This Row],[Prix Prestation Amiante 1]]+factures[[#This Row],[Prix Prestation Amiante 2]]+factures[[#This Row],[Prix Prestation Gaz]]+factures[[#This Row],[Prix analyses HT]]</f>
        <v>249.69</v>
      </c>
      <c r="AG379" s="69" t="s">
        <v>2448</v>
      </c>
      <c r="AH379" s="86" t="s">
        <v>2443</v>
      </c>
      <c r="AI379" s="69"/>
    </row>
    <row r="380" spans="1:35" ht="51" x14ac:dyDescent="0.3">
      <c r="A380" s="92" t="s">
        <v>692</v>
      </c>
      <c r="B380" s="72">
        <v>78200</v>
      </c>
      <c r="C380" s="69" t="s">
        <v>189</v>
      </c>
      <c r="D380" s="69" t="s">
        <v>693</v>
      </c>
      <c r="E380" s="69">
        <v>903</v>
      </c>
      <c r="F380" s="69">
        <v>9</v>
      </c>
      <c r="G380" s="69">
        <v>4</v>
      </c>
      <c r="H380" s="69">
        <v>10996</v>
      </c>
      <c r="I380" s="69">
        <v>164</v>
      </c>
      <c r="J380" s="69" t="s">
        <v>2257</v>
      </c>
      <c r="K380" s="69"/>
      <c r="L380" s="69" t="s">
        <v>2242</v>
      </c>
      <c r="M380" s="71">
        <v>43753</v>
      </c>
      <c r="N380" s="69" t="s">
        <v>83</v>
      </c>
      <c r="O380" s="71">
        <v>43753</v>
      </c>
      <c r="P380" s="69" t="s">
        <v>2258</v>
      </c>
      <c r="Q380" s="69" t="s">
        <v>77</v>
      </c>
      <c r="R380" s="73" t="s">
        <v>2247</v>
      </c>
      <c r="S380" s="69">
        <v>966995</v>
      </c>
      <c r="T380" s="69"/>
      <c r="U380" s="69" t="s">
        <v>2272</v>
      </c>
      <c r="V380" s="69" t="s">
        <v>55</v>
      </c>
      <c r="W380" s="70">
        <v>55.49</v>
      </c>
      <c r="X380" s="69" t="s">
        <v>54</v>
      </c>
      <c r="Y380" s="70">
        <v>69.36</v>
      </c>
      <c r="Z380" s="69"/>
      <c r="AA380" s="70">
        <f>IFERROR(VLOOKUP(factures[[#This Row],[DT Prestation Gaz]],presta_gaz[#Data],2,0),0)</f>
        <v>0</v>
      </c>
      <c r="AB380" s="69">
        <v>10</v>
      </c>
      <c r="AC380" s="69" t="s">
        <v>73</v>
      </c>
      <c r="AD380" s="70">
        <v>36.99</v>
      </c>
      <c r="AE380" s="70">
        <f>IFERROR(factures[[#This Row],[Plvts ]]*factures[[#This Row],[Prix Analyses]],0)</f>
        <v>369.90000000000003</v>
      </c>
      <c r="AF380" s="70">
        <f>factures[[#This Row],[Prix Prestation Amiante 1]]+factures[[#This Row],[Prix Prestation Amiante 2]]+factures[[#This Row],[Prix Prestation Gaz]]+factures[[#This Row],[Prix analyses HT]]</f>
        <v>494.75</v>
      </c>
      <c r="AG380" s="69" t="s">
        <v>2361</v>
      </c>
      <c r="AH380" s="86" t="s">
        <v>2358</v>
      </c>
      <c r="AI380" s="69"/>
    </row>
    <row r="381" spans="1:35" ht="40.799999999999997" x14ac:dyDescent="0.3">
      <c r="A381" s="92" t="s">
        <v>2243</v>
      </c>
      <c r="B381" s="72">
        <v>92800</v>
      </c>
      <c r="C381" s="69" t="s">
        <v>202</v>
      </c>
      <c r="D381" s="69" t="s">
        <v>2244</v>
      </c>
      <c r="E381" s="69">
        <v>402</v>
      </c>
      <c r="F381" s="69">
        <v>4</v>
      </c>
      <c r="G381" s="69">
        <v>4</v>
      </c>
      <c r="H381" s="69">
        <v>13334</v>
      </c>
      <c r="I381" s="69">
        <v>195</v>
      </c>
      <c r="J381" s="69" t="s">
        <v>2260</v>
      </c>
      <c r="K381" s="69"/>
      <c r="L381" s="69" t="s">
        <v>2245</v>
      </c>
      <c r="M381" s="71">
        <v>43753</v>
      </c>
      <c r="N381" s="69" t="s">
        <v>70</v>
      </c>
      <c r="O381" s="71">
        <v>43753</v>
      </c>
      <c r="P381" s="69"/>
      <c r="Q381" s="69" t="s">
        <v>77</v>
      </c>
      <c r="R381" s="73" t="s">
        <v>2246</v>
      </c>
      <c r="S381" s="69">
        <v>967800</v>
      </c>
      <c r="T381" s="69"/>
      <c r="U381" s="69" t="s">
        <v>2273</v>
      </c>
      <c r="V381" s="69" t="s">
        <v>54</v>
      </c>
      <c r="W381" s="70">
        <v>69.36</v>
      </c>
      <c r="X381" s="69"/>
      <c r="Y381" s="70">
        <f>IFERROR(VLOOKUP(factures[[#This Row],[DT Prestation Amiante 2]],presta_amiante2[#Data],2,0),0)</f>
        <v>0</v>
      </c>
      <c r="Z381" s="69"/>
      <c r="AA381" s="70">
        <f>IFERROR(VLOOKUP(factures[[#This Row],[DT Prestation Gaz]],presta_gaz[#Data],2,0),0)</f>
        <v>0</v>
      </c>
      <c r="AB381" s="69">
        <v>4</v>
      </c>
      <c r="AC381" s="69" t="s">
        <v>73</v>
      </c>
      <c r="AD381" s="70">
        <v>36.99</v>
      </c>
      <c r="AE381" s="70">
        <f>IFERROR(factures[[#This Row],[Plvts ]]*factures[[#This Row],[Prix Analyses]],0)</f>
        <v>147.96</v>
      </c>
      <c r="AF381" s="70">
        <f>factures[[#This Row],[Prix Prestation Amiante 1]]+factures[[#This Row],[Prix Prestation Amiante 2]]+factures[[#This Row],[Prix Prestation Gaz]]+factures[[#This Row],[Prix analyses HT]]</f>
        <v>217.32</v>
      </c>
      <c r="AG381" s="69" t="s">
        <v>2538</v>
      </c>
      <c r="AH381" s="86" t="s">
        <v>2537</v>
      </c>
      <c r="AI381" s="69"/>
    </row>
    <row r="382" spans="1:35" ht="36" x14ac:dyDescent="0.3">
      <c r="A382" s="92" t="s">
        <v>2251</v>
      </c>
      <c r="B382" s="72">
        <v>92500</v>
      </c>
      <c r="C382" s="69" t="s">
        <v>265</v>
      </c>
      <c r="D382" s="69" t="s">
        <v>464</v>
      </c>
      <c r="E382" s="69">
        <v>60</v>
      </c>
      <c r="F382" s="69">
        <v>4</v>
      </c>
      <c r="G382" s="69">
        <v>3</v>
      </c>
      <c r="H382" s="69">
        <v>84536</v>
      </c>
      <c r="I382" s="69">
        <v>9212</v>
      </c>
      <c r="J382" s="69" t="s">
        <v>2252</v>
      </c>
      <c r="K382" s="69"/>
      <c r="L382" s="69" t="s">
        <v>2253</v>
      </c>
      <c r="M382" s="71">
        <v>43753</v>
      </c>
      <c r="N382" s="69" t="s">
        <v>70</v>
      </c>
      <c r="O382" s="71">
        <v>43754</v>
      </c>
      <c r="P382" s="69"/>
      <c r="Q382" s="69" t="s">
        <v>77</v>
      </c>
      <c r="R382" s="73" t="s">
        <v>2254</v>
      </c>
      <c r="S382" s="69">
        <v>967864</v>
      </c>
      <c r="T382" s="121" t="s">
        <v>206</v>
      </c>
      <c r="U382" s="69" t="s">
        <v>2275</v>
      </c>
      <c r="V382" s="69" t="s">
        <v>52</v>
      </c>
      <c r="W382" s="70">
        <v>76.760000000000005</v>
      </c>
      <c r="X382" s="69" t="s">
        <v>53</v>
      </c>
      <c r="Y382" s="70"/>
      <c r="Z382" s="69"/>
      <c r="AA382" s="70">
        <f>IFERROR(VLOOKUP(factures[[#This Row],[DT Prestation Gaz]],presta_gaz[#Data],2,0),0)</f>
        <v>0</v>
      </c>
      <c r="AB382" s="69">
        <v>1</v>
      </c>
      <c r="AC382" s="69" t="s">
        <v>73</v>
      </c>
      <c r="AD382" s="70">
        <v>36.99</v>
      </c>
      <c r="AE382" s="70">
        <f>IFERROR(factures[[#This Row],[Plvts ]]*factures[[#This Row],[Prix Analyses]],0)</f>
        <v>36.99</v>
      </c>
      <c r="AF382" s="70">
        <f>factures[[#This Row],[Prix Prestation Amiante 1]]+factures[[#This Row],[Prix Prestation Amiante 2]]+factures[[#This Row],[Prix Prestation Gaz]]+factures[[#This Row],[Prix analyses HT]]</f>
        <v>113.75</v>
      </c>
      <c r="AG382" s="69" t="s">
        <v>2449</v>
      </c>
      <c r="AH382" s="86" t="s">
        <v>2443</v>
      </c>
      <c r="AI382" s="69"/>
    </row>
    <row r="383" spans="1:35" ht="36" x14ac:dyDescent="0.3">
      <c r="A383" s="92" t="s">
        <v>2251</v>
      </c>
      <c r="B383" s="72">
        <v>92500</v>
      </c>
      <c r="C383" s="69" t="s">
        <v>265</v>
      </c>
      <c r="D383" s="69" t="s">
        <v>464</v>
      </c>
      <c r="E383" s="69">
        <v>66</v>
      </c>
      <c r="F383" s="69">
        <v>5</v>
      </c>
      <c r="G383" s="69">
        <v>3</v>
      </c>
      <c r="H383" s="69">
        <v>84542</v>
      </c>
      <c r="I383" s="69">
        <v>9212</v>
      </c>
      <c r="J383" s="69" t="s">
        <v>2252</v>
      </c>
      <c r="K383" s="69"/>
      <c r="L383" s="69" t="s">
        <v>2255</v>
      </c>
      <c r="M383" s="71">
        <v>43753</v>
      </c>
      <c r="N383" s="69" t="s">
        <v>83</v>
      </c>
      <c r="O383" s="71">
        <v>43754</v>
      </c>
      <c r="P383" s="69"/>
      <c r="Q383" s="69" t="s">
        <v>67</v>
      </c>
      <c r="R383" s="73" t="s">
        <v>2256</v>
      </c>
      <c r="S383" s="69">
        <v>967861</v>
      </c>
      <c r="T383" s="121" t="s">
        <v>206</v>
      </c>
      <c r="U383" s="69"/>
      <c r="V383" s="69" t="s">
        <v>52</v>
      </c>
      <c r="W383" s="70">
        <v>76.760000000000005</v>
      </c>
      <c r="X383" s="69" t="s">
        <v>53</v>
      </c>
      <c r="Y383" s="70">
        <f>IFERROR(VLOOKUP(factures[[#This Row],[DT Prestation Amiante 2]],presta_amiante2[#Data],2,0),0)</f>
        <v>60.11</v>
      </c>
      <c r="Z383" s="69"/>
      <c r="AA383" s="70">
        <f>IFERROR(VLOOKUP(factures[[#This Row],[DT Prestation Gaz]],presta_gaz[#Data],2,0),0)</f>
        <v>0</v>
      </c>
      <c r="AB383" s="69"/>
      <c r="AC383" s="69" t="s">
        <v>73</v>
      </c>
      <c r="AD383" s="70">
        <v>39.99</v>
      </c>
      <c r="AE383" s="70">
        <f>IFERROR(factures[[#This Row],[Plvts ]]*factures[[#This Row],[Prix Analyses]],0)</f>
        <v>0</v>
      </c>
      <c r="AF383" s="70">
        <f>factures[[#This Row],[Prix Prestation Amiante 1]]+factures[[#This Row],[Prix Prestation Amiante 2]]+factures[[#This Row],[Prix Prestation Gaz]]+factures[[#This Row],[Prix analyses HT]]</f>
        <v>136.87</v>
      </c>
      <c r="AG383" s="69"/>
      <c r="AH383" s="86"/>
      <c r="AI383" s="69"/>
    </row>
    <row r="384" spans="1:35" ht="36" x14ac:dyDescent="0.3">
      <c r="A384" s="92" t="s">
        <v>1816</v>
      </c>
      <c r="B384" s="72">
        <v>92220</v>
      </c>
      <c r="C384" s="69" t="s">
        <v>418</v>
      </c>
      <c r="D384" s="69" t="s">
        <v>419</v>
      </c>
      <c r="E384" s="69">
        <v>502</v>
      </c>
      <c r="F384" s="69">
        <v>5</v>
      </c>
      <c r="G384" s="69">
        <v>4</v>
      </c>
      <c r="H384" s="69">
        <v>51765</v>
      </c>
      <c r="I384" s="69">
        <v>9152</v>
      </c>
      <c r="J384" s="69" t="s">
        <v>877</v>
      </c>
      <c r="K384" s="69"/>
      <c r="L384" s="69" t="s">
        <v>2269</v>
      </c>
      <c r="M384" s="71">
        <v>43754</v>
      </c>
      <c r="N384" s="69" t="s">
        <v>70</v>
      </c>
      <c r="O384" s="71">
        <v>43755</v>
      </c>
      <c r="P384" s="69"/>
      <c r="Q384" s="69" t="s">
        <v>77</v>
      </c>
      <c r="R384" s="73" t="s">
        <v>2270</v>
      </c>
      <c r="S384" s="69">
        <v>967997</v>
      </c>
      <c r="T384" s="69"/>
      <c r="U384" s="69" t="s">
        <v>2278</v>
      </c>
      <c r="V384" s="69" t="s">
        <v>52</v>
      </c>
      <c r="W384" s="70">
        <v>76.760000000000005</v>
      </c>
      <c r="X384" s="69" t="s">
        <v>54</v>
      </c>
      <c r="Y384" s="70"/>
      <c r="Z384" s="69"/>
      <c r="AA384" s="70">
        <f>IFERROR(VLOOKUP(factures[[#This Row],[DT Prestation Gaz]],presta_gaz[#Data],2,0),0)</f>
        <v>0</v>
      </c>
      <c r="AB384" s="69">
        <v>1</v>
      </c>
      <c r="AC384" s="69" t="s">
        <v>73</v>
      </c>
      <c r="AD384" s="70">
        <v>36.99</v>
      </c>
      <c r="AE384" s="70">
        <f>IFERROR(factures[[#This Row],[Plvts ]]*factures[[#This Row],[Prix Analyses]],0)</f>
        <v>36.99</v>
      </c>
      <c r="AF384" s="70">
        <f>factures[[#This Row],[Prix Prestation Amiante 1]]+factures[[#This Row],[Prix Prestation Amiante 2]]+factures[[#This Row],[Prix Prestation Gaz]]+factures[[#This Row],[Prix analyses HT]]</f>
        <v>113.75</v>
      </c>
      <c r="AG384" s="69" t="s">
        <v>2450</v>
      </c>
      <c r="AH384" s="86" t="s">
        <v>2443</v>
      </c>
      <c r="AI384" s="69"/>
    </row>
    <row r="385" spans="1:35" ht="36" x14ac:dyDescent="0.3">
      <c r="A385" s="92" t="s">
        <v>2291</v>
      </c>
      <c r="B385" s="72">
        <v>92140</v>
      </c>
      <c r="C385" s="69" t="s">
        <v>2292</v>
      </c>
      <c r="D385" s="69" t="s">
        <v>2293</v>
      </c>
      <c r="E385" s="69">
        <v>2</v>
      </c>
      <c r="F385" s="69" t="s">
        <v>816</v>
      </c>
      <c r="G385" s="69">
        <v>2</v>
      </c>
      <c r="H385" s="69">
        <v>1129</v>
      </c>
      <c r="I385" s="69">
        <v>35</v>
      </c>
      <c r="J385" s="69" t="s">
        <v>1859</v>
      </c>
      <c r="K385" s="69"/>
      <c r="L385" s="69" t="s">
        <v>2294</v>
      </c>
      <c r="M385" s="71">
        <v>43759</v>
      </c>
      <c r="N385" s="69" t="s">
        <v>71</v>
      </c>
      <c r="O385" s="71">
        <v>43762</v>
      </c>
      <c r="P385" s="69"/>
      <c r="Q385" s="69" t="s">
        <v>77</v>
      </c>
      <c r="R385" s="73" t="s">
        <v>2295</v>
      </c>
      <c r="S385" s="69">
        <v>968872</v>
      </c>
      <c r="T385" s="69"/>
      <c r="U385" s="69" t="s">
        <v>2345</v>
      </c>
      <c r="V385" s="69" t="s">
        <v>53</v>
      </c>
      <c r="W385" s="70">
        <v>60.11</v>
      </c>
      <c r="X385" s="69"/>
      <c r="Y385" s="70"/>
      <c r="Z385" s="69" t="s">
        <v>61</v>
      </c>
      <c r="AA385" s="70">
        <v>41.62</v>
      </c>
      <c r="AB385" s="69">
        <v>2</v>
      </c>
      <c r="AC385" s="69" t="s">
        <v>73</v>
      </c>
      <c r="AD385" s="70">
        <v>36.99</v>
      </c>
      <c r="AE385" s="70">
        <f>IFERROR(factures[[#This Row],[Plvts ]]*factures[[#This Row],[Prix Analyses]],0)</f>
        <v>73.98</v>
      </c>
      <c r="AF385" s="70">
        <f>factures[[#This Row],[Prix Prestation Amiante 1]]+factures[[#This Row],[Prix Prestation Amiante 2]]+factures[[#This Row],[Prix Prestation Gaz]]+factures[[#This Row],[Prix analyses HT]]</f>
        <v>175.70999999999998</v>
      </c>
      <c r="AG385" s="69" t="s">
        <v>2474</v>
      </c>
      <c r="AH385" s="86" t="s">
        <v>2462</v>
      </c>
      <c r="AI385" s="69"/>
    </row>
    <row r="386" spans="1:35" ht="48" x14ac:dyDescent="0.3">
      <c r="A386" s="92" t="s">
        <v>2296</v>
      </c>
      <c r="B386" s="72">
        <v>94000</v>
      </c>
      <c r="C386" s="69" t="s">
        <v>2031</v>
      </c>
      <c r="D386" s="69" t="s">
        <v>1124</v>
      </c>
      <c r="E386" s="69">
        <v>303</v>
      </c>
      <c r="F386" s="69">
        <v>3</v>
      </c>
      <c r="G386" s="69">
        <v>3</v>
      </c>
      <c r="H386" s="69">
        <v>40292</v>
      </c>
      <c r="I386" s="69">
        <v>823</v>
      </c>
      <c r="J386" s="69" t="s">
        <v>2343</v>
      </c>
      <c r="K386" s="69" t="s">
        <v>2006</v>
      </c>
      <c r="L386" s="69" t="s">
        <v>2297</v>
      </c>
      <c r="M386" s="71">
        <v>43759</v>
      </c>
      <c r="N386" s="69" t="s">
        <v>71</v>
      </c>
      <c r="O386" s="71">
        <v>43763</v>
      </c>
      <c r="P386" s="69"/>
      <c r="Q386" s="69" t="s">
        <v>77</v>
      </c>
      <c r="R386" s="73" t="s">
        <v>2298</v>
      </c>
      <c r="S386" s="69">
        <v>968919</v>
      </c>
      <c r="T386" s="92" t="s">
        <v>2338</v>
      </c>
      <c r="U386" s="69" t="s">
        <v>2346</v>
      </c>
      <c r="V386" s="69" t="s">
        <v>53</v>
      </c>
      <c r="W386" s="70">
        <v>60.11</v>
      </c>
      <c r="X386" s="69"/>
      <c r="Y386" s="70">
        <f>IFERROR(VLOOKUP(factures[[#This Row],[DT Prestation Amiante 2]],presta_amiante2[#Data],2,0),0)</f>
        <v>0</v>
      </c>
      <c r="Z386" s="69" t="s">
        <v>61</v>
      </c>
      <c r="AA386" s="70">
        <v>41.62</v>
      </c>
      <c r="AB386" s="69">
        <v>3</v>
      </c>
      <c r="AC386" s="69" t="s">
        <v>73</v>
      </c>
      <c r="AD386" s="70">
        <v>36.99</v>
      </c>
      <c r="AE386" s="70">
        <f>IFERROR(factures[[#This Row],[Plvts ]]*factures[[#This Row],[Prix Analyses]],0)</f>
        <v>110.97</v>
      </c>
      <c r="AF386" s="70">
        <f>factures[[#This Row],[Prix Prestation Amiante 1]]+factures[[#This Row],[Prix Prestation Amiante 2]]+factures[[#This Row],[Prix Prestation Gaz]]+factures[[#This Row],[Prix analyses HT]]</f>
        <v>212.7</v>
      </c>
      <c r="AG386" s="69" t="s">
        <v>2463</v>
      </c>
      <c r="AH386" s="86" t="s">
        <v>2462</v>
      </c>
      <c r="AI386" s="69"/>
    </row>
    <row r="387" spans="1:35" ht="48" x14ac:dyDescent="0.3">
      <c r="A387" s="92" t="s">
        <v>1188</v>
      </c>
      <c r="B387" s="72">
        <v>94380</v>
      </c>
      <c r="C387" s="69" t="s">
        <v>259</v>
      </c>
      <c r="D387" s="69" t="s">
        <v>260</v>
      </c>
      <c r="E387" s="69">
        <v>3</v>
      </c>
      <c r="F387" s="69" t="s">
        <v>816</v>
      </c>
      <c r="G387" s="69">
        <v>3</v>
      </c>
      <c r="H387" s="69">
        <v>33612</v>
      </c>
      <c r="I387" s="69">
        <v>511</v>
      </c>
      <c r="J387" s="69" t="s">
        <v>2343</v>
      </c>
      <c r="K387" s="69" t="s">
        <v>2006</v>
      </c>
      <c r="L387" s="69" t="s">
        <v>2299</v>
      </c>
      <c r="M387" s="71">
        <v>43759</v>
      </c>
      <c r="N387" s="69" t="s">
        <v>71</v>
      </c>
      <c r="O387" s="71">
        <v>43763</v>
      </c>
      <c r="P387" s="69"/>
      <c r="Q387" s="69" t="s">
        <v>77</v>
      </c>
      <c r="R387" s="73" t="s">
        <v>2300</v>
      </c>
      <c r="S387" s="69">
        <v>968909</v>
      </c>
      <c r="T387" s="92" t="s">
        <v>2338</v>
      </c>
      <c r="U387" s="69" t="s">
        <v>2347</v>
      </c>
      <c r="V387" s="69" t="s">
        <v>53</v>
      </c>
      <c r="W387" s="70">
        <v>60.11</v>
      </c>
      <c r="X387" s="69"/>
      <c r="Y387" s="70">
        <f>IFERROR(VLOOKUP(factures[[#This Row],[DT Prestation Amiante 2]],presta_amiante2[#Data],2,0),0)</f>
        <v>0</v>
      </c>
      <c r="Z387" s="69" t="s">
        <v>61</v>
      </c>
      <c r="AA387" s="70">
        <v>41.62</v>
      </c>
      <c r="AB387" s="69">
        <v>4</v>
      </c>
      <c r="AC387" s="69" t="s">
        <v>73</v>
      </c>
      <c r="AD387" s="70">
        <v>36.99</v>
      </c>
      <c r="AE387" s="70">
        <f>IFERROR(factures[[#This Row],[Plvts ]]*factures[[#This Row],[Prix Analyses]],0)</f>
        <v>147.96</v>
      </c>
      <c r="AF387" s="70">
        <f>factures[[#This Row],[Prix Prestation Amiante 1]]+factures[[#This Row],[Prix Prestation Amiante 2]]+factures[[#This Row],[Prix Prestation Gaz]]+factures[[#This Row],[Prix analyses HT]]</f>
        <v>249.69</v>
      </c>
      <c r="AG387" s="69" t="s">
        <v>2464</v>
      </c>
      <c r="AH387" s="86" t="s">
        <v>2462</v>
      </c>
      <c r="AI387" s="69"/>
    </row>
    <row r="388" spans="1:35" ht="48" x14ac:dyDescent="0.3">
      <c r="A388" s="92" t="s">
        <v>2301</v>
      </c>
      <c r="B388" s="72">
        <v>94380</v>
      </c>
      <c r="C388" s="69" t="s">
        <v>259</v>
      </c>
      <c r="D388" s="69" t="s">
        <v>260</v>
      </c>
      <c r="E388" s="69">
        <v>1</v>
      </c>
      <c r="F388" s="69" t="s">
        <v>816</v>
      </c>
      <c r="G388" s="69">
        <v>5</v>
      </c>
      <c r="H388" s="69">
        <v>33613</v>
      </c>
      <c r="I388" s="69">
        <v>511</v>
      </c>
      <c r="J388" s="69" t="s">
        <v>2343</v>
      </c>
      <c r="K388" s="69" t="s">
        <v>2006</v>
      </c>
      <c r="L388" s="69" t="s">
        <v>2302</v>
      </c>
      <c r="M388" s="71">
        <v>43759</v>
      </c>
      <c r="N388" s="69" t="s">
        <v>71</v>
      </c>
      <c r="O388" s="71">
        <v>43763</v>
      </c>
      <c r="P388" s="69"/>
      <c r="Q388" s="69" t="s">
        <v>77</v>
      </c>
      <c r="R388" s="73" t="s">
        <v>2303</v>
      </c>
      <c r="S388" s="69">
        <v>968901</v>
      </c>
      <c r="T388" s="92" t="s">
        <v>2338</v>
      </c>
      <c r="U388" s="69" t="s">
        <v>2348</v>
      </c>
      <c r="V388" s="69" t="s">
        <v>54</v>
      </c>
      <c r="W388" s="70">
        <v>69.36</v>
      </c>
      <c r="X388" s="69"/>
      <c r="Y388" s="70">
        <f>IFERROR(VLOOKUP(factures[[#This Row],[DT Prestation Amiante 2]],presta_amiante2[#Data],2,0),0)</f>
        <v>0</v>
      </c>
      <c r="Z388" s="69" t="s">
        <v>62</v>
      </c>
      <c r="AA388" s="70">
        <v>49.01</v>
      </c>
      <c r="AB388" s="69">
        <v>4</v>
      </c>
      <c r="AC388" s="69" t="s">
        <v>73</v>
      </c>
      <c r="AD388" s="70">
        <v>36.99</v>
      </c>
      <c r="AE388" s="70">
        <f>IFERROR(factures[[#This Row],[Plvts ]]*factures[[#This Row],[Prix Analyses]],0)</f>
        <v>147.96</v>
      </c>
      <c r="AF388" s="70">
        <f>factures[[#This Row],[Prix Prestation Amiante 1]]+factures[[#This Row],[Prix Prestation Amiante 2]]+factures[[#This Row],[Prix Prestation Gaz]]+factures[[#This Row],[Prix analyses HT]]</f>
        <v>266.33000000000004</v>
      </c>
      <c r="AG388" s="69" t="s">
        <v>2465</v>
      </c>
      <c r="AH388" s="86" t="s">
        <v>2462</v>
      </c>
      <c r="AI388" s="69"/>
    </row>
    <row r="389" spans="1:35" ht="36" x14ac:dyDescent="0.3">
      <c r="A389" s="92" t="s">
        <v>2304</v>
      </c>
      <c r="B389" s="72">
        <v>78150</v>
      </c>
      <c r="C389" s="69" t="s">
        <v>1111</v>
      </c>
      <c r="D389" s="69" t="s">
        <v>2305</v>
      </c>
      <c r="E389" s="69">
        <v>103</v>
      </c>
      <c r="F389" s="69">
        <v>1</v>
      </c>
      <c r="G389" s="69">
        <v>1</v>
      </c>
      <c r="H389" s="69">
        <v>9522</v>
      </c>
      <c r="I389" s="69">
        <v>146</v>
      </c>
      <c r="J389" s="69" t="s">
        <v>392</v>
      </c>
      <c r="K389" s="69"/>
      <c r="L389" s="69" t="s">
        <v>2306</v>
      </c>
      <c r="M389" s="71">
        <v>43759</v>
      </c>
      <c r="N389" s="69" t="s">
        <v>83</v>
      </c>
      <c r="O389" s="71">
        <v>43760</v>
      </c>
      <c r="P389" s="69"/>
      <c r="Q389" s="69" t="s">
        <v>77</v>
      </c>
      <c r="R389" s="73" t="s">
        <v>2335</v>
      </c>
      <c r="S389" s="69">
        <v>964341</v>
      </c>
      <c r="T389" s="69"/>
      <c r="U389" s="69" t="s">
        <v>2325</v>
      </c>
      <c r="V389" s="69" t="s">
        <v>55</v>
      </c>
      <c r="W389" s="70">
        <f>IFERROR(VLOOKUP(factures[[#This Row],[DT Prestation Amiante 1]],presta_amiante1[#Data],2,0),0)</f>
        <v>55.49</v>
      </c>
      <c r="X389" s="69" t="s">
        <v>53</v>
      </c>
      <c r="Y389" s="70">
        <f>IFERROR(VLOOKUP(factures[[#This Row],[DT Prestation Amiante 2]],presta_amiante2[#Data],2,0),0)</f>
        <v>60.11</v>
      </c>
      <c r="Z389" s="69"/>
      <c r="AA389" s="70">
        <f>IFERROR(VLOOKUP(factures[[#This Row],[DT Prestation Gaz]],presta_gaz[#Data],2,0),0)</f>
        <v>0</v>
      </c>
      <c r="AB389" s="69">
        <v>1</v>
      </c>
      <c r="AC389" s="69" t="s">
        <v>73</v>
      </c>
      <c r="AD389" s="70">
        <f>IFERROR(VLOOKUP(factures[[#This Row],[DT Analyses]],DT_analyses[#Data],2,0),0)</f>
        <v>36.99</v>
      </c>
      <c r="AE389" s="70">
        <f>IFERROR(factures[[#This Row],[Plvts ]]*factures[[#This Row],[Prix Analyses]],0)</f>
        <v>36.99</v>
      </c>
      <c r="AF389" s="70">
        <f>factures[[#This Row],[Prix Prestation Amiante 1]]+factures[[#This Row],[Prix Prestation Amiante 2]]+factures[[#This Row],[Prix Prestation Gaz]]+factures[[#This Row],[Prix analyses HT]]</f>
        <v>152.59</v>
      </c>
      <c r="AG389" s="69" t="s">
        <v>2594</v>
      </c>
      <c r="AH389" s="86" t="s">
        <v>2593</v>
      </c>
      <c r="AI389" s="69"/>
    </row>
    <row r="390" spans="1:35" ht="36" x14ac:dyDescent="0.3">
      <c r="A390" s="92" t="s">
        <v>2307</v>
      </c>
      <c r="B390" s="72">
        <v>78150</v>
      </c>
      <c r="C390" s="69" t="s">
        <v>1111</v>
      </c>
      <c r="D390" s="69" t="s">
        <v>2305</v>
      </c>
      <c r="E390" s="69">
        <v>101</v>
      </c>
      <c r="F390" s="69">
        <v>1</v>
      </c>
      <c r="G390" s="69">
        <v>1</v>
      </c>
      <c r="H390" s="69">
        <v>9500</v>
      </c>
      <c r="I390" s="69">
        <v>146</v>
      </c>
      <c r="J390" s="69" t="s">
        <v>392</v>
      </c>
      <c r="K390" s="69"/>
      <c r="L390" s="69" t="s">
        <v>2308</v>
      </c>
      <c r="M390" s="71">
        <v>43759</v>
      </c>
      <c r="N390" s="69" t="s">
        <v>83</v>
      </c>
      <c r="O390" s="71">
        <v>43760</v>
      </c>
      <c r="P390" s="69"/>
      <c r="Q390" s="69" t="s">
        <v>77</v>
      </c>
      <c r="R390" s="73" t="s">
        <v>2336</v>
      </c>
      <c r="S390" s="69">
        <v>964337</v>
      </c>
      <c r="T390" s="69"/>
      <c r="U390" s="69" t="s">
        <v>2326</v>
      </c>
      <c r="V390" s="69" t="s">
        <v>55</v>
      </c>
      <c r="W390" s="70">
        <f>IFERROR(VLOOKUP(factures[[#This Row],[DT Prestation Amiante 1]],presta_amiante1[#Data],2,0),0)</f>
        <v>55.49</v>
      </c>
      <c r="X390" s="69" t="s">
        <v>54</v>
      </c>
      <c r="Y390" s="70">
        <f>IFERROR(VLOOKUP(factures[[#This Row],[DT Prestation Amiante 2]],presta_amiante2[#Data],2,0),0)</f>
        <v>69.36</v>
      </c>
      <c r="Z390" s="69"/>
      <c r="AA390" s="70">
        <f>IFERROR(VLOOKUP(factures[[#This Row],[DT Prestation Gaz]],presta_gaz[#Data],2,0),0)</f>
        <v>0</v>
      </c>
      <c r="AB390" s="69">
        <v>4</v>
      </c>
      <c r="AC390" s="69" t="s">
        <v>73</v>
      </c>
      <c r="AD390" s="70">
        <f>IFERROR(VLOOKUP(factures[[#This Row],[DT Analyses]],DT_analyses[#Data],2,0),0)</f>
        <v>36.99</v>
      </c>
      <c r="AE390" s="70">
        <f>IFERROR(factures[[#This Row],[Plvts ]]*factures[[#This Row],[Prix Analyses]],0)</f>
        <v>147.96</v>
      </c>
      <c r="AF390" s="70">
        <f>factures[[#This Row],[Prix Prestation Amiante 1]]+factures[[#This Row],[Prix Prestation Amiante 2]]+factures[[#This Row],[Prix Prestation Gaz]]+factures[[#This Row],[Prix analyses HT]]</f>
        <v>272.81</v>
      </c>
      <c r="AG390" s="69" t="s">
        <v>2592</v>
      </c>
      <c r="AH390" s="86" t="s">
        <v>2593</v>
      </c>
      <c r="AI390" s="69"/>
    </row>
    <row r="391" spans="1:35" ht="60" x14ac:dyDescent="0.3">
      <c r="A391" s="92" t="s">
        <v>930</v>
      </c>
      <c r="B391" s="72">
        <v>78260</v>
      </c>
      <c r="C391" s="69" t="s">
        <v>1082</v>
      </c>
      <c r="D391" s="69" t="s">
        <v>438</v>
      </c>
      <c r="E391" s="69">
        <v>402</v>
      </c>
      <c r="F391" s="69">
        <v>4</v>
      </c>
      <c r="G391" s="69">
        <v>1</v>
      </c>
      <c r="H391" s="69">
        <v>39815</v>
      </c>
      <c r="I391" s="69">
        <v>815</v>
      </c>
      <c r="J391" s="69" t="s">
        <v>2002</v>
      </c>
      <c r="K391" s="69"/>
      <c r="L391" s="69" t="s">
        <v>2309</v>
      </c>
      <c r="M391" s="71">
        <v>43759</v>
      </c>
      <c r="N391" s="69" t="s">
        <v>84</v>
      </c>
      <c r="O391" s="69"/>
      <c r="P391" s="69"/>
      <c r="Q391" s="69" t="s">
        <v>67</v>
      </c>
      <c r="R391" s="73" t="s">
        <v>2310</v>
      </c>
      <c r="S391" s="69">
        <v>968851</v>
      </c>
      <c r="T391" s="92" t="s">
        <v>2405</v>
      </c>
      <c r="U391" s="69"/>
      <c r="V391" s="69" t="s">
        <v>55</v>
      </c>
      <c r="W391" s="70">
        <f>IFERROR(VLOOKUP(factures[[#This Row],[DT Prestation Amiante 1]],presta_amiante1[#Data],2,0),0)</f>
        <v>55.49</v>
      </c>
      <c r="X391" s="69" t="s">
        <v>53</v>
      </c>
      <c r="Y391" s="70">
        <f>IFERROR(VLOOKUP(factures[[#This Row],[DT Prestation Amiante 2]],presta_amiante2[#Data],2,0),0)</f>
        <v>60.11</v>
      </c>
      <c r="Z391" s="69" t="s">
        <v>61</v>
      </c>
      <c r="AA391" s="70">
        <f>IFERROR(VLOOKUP(factures[[#This Row],[DT Prestation Gaz]],presta_gaz[#Data],2,0),0)</f>
        <v>41.62</v>
      </c>
      <c r="AB391" s="69"/>
      <c r="AC391" s="69" t="s">
        <v>73</v>
      </c>
      <c r="AD391" s="70">
        <f>IFERROR(VLOOKUP(factures[[#This Row],[DT Analyses]],DT_analyses[#Data],2,0),0)</f>
        <v>36.99</v>
      </c>
      <c r="AE391" s="70">
        <f>IFERROR(factures[[#This Row],[Plvts ]]*factures[[#This Row],[Prix Analyses]],0)</f>
        <v>0</v>
      </c>
      <c r="AF391" s="70">
        <f>factures[[#This Row],[Prix Prestation Amiante 1]]+factures[[#This Row],[Prix Prestation Amiante 2]]+factures[[#This Row],[Prix Prestation Gaz]]+factures[[#This Row],[Prix analyses HT]]</f>
        <v>157.22</v>
      </c>
      <c r="AG391" s="69"/>
      <c r="AH391" s="86"/>
      <c r="AI391" s="69"/>
    </row>
    <row r="392" spans="1:35" ht="60" x14ac:dyDescent="0.3">
      <c r="A392" s="69" t="s">
        <v>2311</v>
      </c>
      <c r="B392" s="72">
        <v>78260</v>
      </c>
      <c r="C392" s="69" t="s">
        <v>1082</v>
      </c>
      <c r="D392" s="69" t="s">
        <v>1083</v>
      </c>
      <c r="E392" s="69" t="s">
        <v>2312</v>
      </c>
      <c r="F392" s="69">
        <v>3</v>
      </c>
      <c r="G392" s="69">
        <v>2</v>
      </c>
      <c r="H392" s="69">
        <v>62257</v>
      </c>
      <c r="I392" s="69">
        <v>108</v>
      </c>
      <c r="J392" s="69" t="s">
        <v>2313</v>
      </c>
      <c r="K392" s="69"/>
      <c r="L392" s="69" t="s">
        <v>2314</v>
      </c>
      <c r="M392" s="71">
        <v>43759</v>
      </c>
      <c r="N392" s="69" t="s">
        <v>72</v>
      </c>
      <c r="O392" s="69"/>
      <c r="P392" s="69"/>
      <c r="Q392" s="69" t="s">
        <v>67</v>
      </c>
      <c r="R392" s="73"/>
      <c r="S392" s="69">
        <v>968852</v>
      </c>
      <c r="T392" s="92" t="s">
        <v>2334</v>
      </c>
      <c r="U392" s="69"/>
      <c r="V392" s="69"/>
      <c r="W392" s="70">
        <f>IFERROR(VLOOKUP(factures[[#This Row],[DT Prestation Amiante 1]],presta_amiante1[#Data],2,0),0)</f>
        <v>0</v>
      </c>
      <c r="X392" s="69"/>
      <c r="Y392" s="70">
        <f>IFERROR(VLOOKUP(factures[[#This Row],[DT Prestation Amiante 2]],presta_amiante2[#Data],2,0),0)</f>
        <v>0</v>
      </c>
      <c r="Z392" s="69" t="s">
        <v>61</v>
      </c>
      <c r="AA392" s="70">
        <f>IFERROR(VLOOKUP(factures[[#This Row],[DT Prestation Gaz]],presta_gaz[#Data],2,0),0)</f>
        <v>41.62</v>
      </c>
      <c r="AB392" s="69"/>
      <c r="AC392" s="69"/>
      <c r="AD392" s="70">
        <f>IFERROR(VLOOKUP(factures[[#This Row],[DT Analyses]],DT_analyses[#Data],2,0),0)</f>
        <v>0</v>
      </c>
      <c r="AE392" s="70">
        <f>IFERROR(factures[[#This Row],[Plvts ]]*factures[[#This Row],[Prix Analyses]],0)</f>
        <v>0</v>
      </c>
      <c r="AF392" s="70">
        <f>factures[[#This Row],[Prix Prestation Amiante 1]]+factures[[#This Row],[Prix Prestation Amiante 2]]+factures[[#This Row],[Prix Prestation Gaz]]+factures[[#This Row],[Prix analyses HT]]</f>
        <v>41.62</v>
      </c>
      <c r="AG392" s="69"/>
      <c r="AH392" s="86"/>
      <c r="AI392" s="69"/>
    </row>
    <row r="393" spans="1:35" ht="48" x14ac:dyDescent="0.3">
      <c r="A393" s="92" t="s">
        <v>1478</v>
      </c>
      <c r="B393" s="72">
        <v>92100</v>
      </c>
      <c r="C393" s="69" t="s">
        <v>133</v>
      </c>
      <c r="D393" s="69" t="s">
        <v>134</v>
      </c>
      <c r="E393" s="69">
        <v>63</v>
      </c>
      <c r="F393" s="69">
        <v>6</v>
      </c>
      <c r="G393" s="69">
        <v>1</v>
      </c>
      <c r="H393" s="69">
        <v>62529</v>
      </c>
      <c r="I393" s="69">
        <v>753</v>
      </c>
      <c r="J393" s="69" t="s">
        <v>1923</v>
      </c>
      <c r="K393" s="69"/>
      <c r="L393" s="69" t="s">
        <v>2315</v>
      </c>
      <c r="M393" s="71">
        <v>43759</v>
      </c>
      <c r="N393" s="69" t="s">
        <v>83</v>
      </c>
      <c r="O393" s="71">
        <v>43760</v>
      </c>
      <c r="P393" s="69"/>
      <c r="Q393" s="69" t="s">
        <v>77</v>
      </c>
      <c r="R393" s="73" t="s">
        <v>2316</v>
      </c>
      <c r="S393" s="69">
        <v>968616</v>
      </c>
      <c r="T393" s="69"/>
      <c r="U393" s="69" t="s">
        <v>2323</v>
      </c>
      <c r="V393" s="69" t="s">
        <v>52</v>
      </c>
      <c r="W393" s="70">
        <f>IFERROR(VLOOKUP(factures[[#This Row],[DT Prestation Amiante 1]],presta_amiante1[#Data],2,0),0)</f>
        <v>76.760000000000005</v>
      </c>
      <c r="X393" s="69"/>
      <c r="Y393" s="70">
        <f>IFERROR(VLOOKUP(factures[[#This Row],[DT Prestation Amiante 2]],presta_amiante2[#Data],2,0),0)</f>
        <v>0</v>
      </c>
      <c r="Z393" s="69"/>
      <c r="AA393" s="70">
        <f>IFERROR(VLOOKUP(factures[[#This Row],[DT Prestation Gaz]],presta_gaz[#Data],2,0),0)</f>
        <v>0</v>
      </c>
      <c r="AB393" s="69">
        <v>1</v>
      </c>
      <c r="AC393" s="69" t="s">
        <v>73</v>
      </c>
      <c r="AD393" s="70">
        <f>IFERROR(VLOOKUP(factures[[#This Row],[DT Analyses]],DT_analyses[#Data],2,0),0)</f>
        <v>36.99</v>
      </c>
      <c r="AE393" s="70">
        <f>IFERROR(factures[[#This Row],[Plvts ]]*factures[[#This Row],[Prix Analyses]],0)</f>
        <v>36.99</v>
      </c>
      <c r="AF393" s="70">
        <f>factures[[#This Row],[Prix Prestation Amiante 1]]+factures[[#This Row],[Prix Prestation Amiante 2]]+factures[[#This Row],[Prix Prestation Gaz]]+factures[[#This Row],[Prix analyses HT]]</f>
        <v>113.75</v>
      </c>
      <c r="AG393" s="69" t="s">
        <v>2547</v>
      </c>
      <c r="AH393" s="86" t="s">
        <v>2548</v>
      </c>
      <c r="AI393" s="69"/>
    </row>
    <row r="394" spans="1:35" ht="72" x14ac:dyDescent="0.3">
      <c r="A394" s="92" t="s">
        <v>2317</v>
      </c>
      <c r="B394" s="72">
        <v>78540</v>
      </c>
      <c r="C394" s="69" t="s">
        <v>351</v>
      </c>
      <c r="D394" s="69" t="s">
        <v>460</v>
      </c>
      <c r="E394" s="69">
        <v>201</v>
      </c>
      <c r="F394" s="69">
        <v>2</v>
      </c>
      <c r="G394" s="69">
        <v>3</v>
      </c>
      <c r="H394" s="69">
        <v>53402</v>
      </c>
      <c r="I394" s="69">
        <v>9700</v>
      </c>
      <c r="J394" s="69" t="s">
        <v>2207</v>
      </c>
      <c r="K394" s="69"/>
      <c r="L394" s="69" t="s">
        <v>2318</v>
      </c>
      <c r="M394" s="71">
        <v>43759</v>
      </c>
      <c r="N394" s="69" t="s">
        <v>84</v>
      </c>
      <c r="O394" s="71">
        <v>43760</v>
      </c>
      <c r="P394" s="69"/>
      <c r="Q394" s="69" t="s">
        <v>77</v>
      </c>
      <c r="R394" s="73" t="s">
        <v>2319</v>
      </c>
      <c r="S394" s="69">
        <v>966460</v>
      </c>
      <c r="T394" s="69"/>
      <c r="U394" s="69" t="s">
        <v>2340</v>
      </c>
      <c r="V394" s="69" t="s">
        <v>55</v>
      </c>
      <c r="W394" s="70">
        <v>55.49</v>
      </c>
      <c r="X394" s="69" t="s">
        <v>53</v>
      </c>
      <c r="Y394" s="70">
        <v>60.11</v>
      </c>
      <c r="Z394" s="69" t="s">
        <v>61</v>
      </c>
      <c r="AA394" s="70">
        <v>41.62</v>
      </c>
      <c r="AB394" s="69">
        <v>11</v>
      </c>
      <c r="AC394" s="69" t="s">
        <v>73</v>
      </c>
      <c r="AD394" s="70">
        <v>36.99</v>
      </c>
      <c r="AE394" s="70">
        <f>IFERROR(factures[[#This Row],[Plvts ]]*factures[[#This Row],[Prix Analyses]],0)</f>
        <v>406.89000000000004</v>
      </c>
      <c r="AF394" s="122">
        <f>factures[[#This Row],[Prix Prestation Amiante 1]]+factures[[#This Row],[Prix Prestation Amiante 2]]+factures[[#This Row],[Prix Prestation Gaz]]+factures[[#This Row],[Prix analyses HT]]</f>
        <v>564.11</v>
      </c>
      <c r="AG394" s="69" t="s">
        <v>2488</v>
      </c>
      <c r="AH394" s="86" t="s">
        <v>2485</v>
      </c>
      <c r="AI394" s="69"/>
    </row>
    <row r="395" spans="1:35" ht="36" x14ac:dyDescent="0.3">
      <c r="A395" s="92" t="s">
        <v>1110</v>
      </c>
      <c r="B395" s="72">
        <v>78150</v>
      </c>
      <c r="C395" s="69" t="s">
        <v>1111</v>
      </c>
      <c r="D395" s="69" t="s">
        <v>396</v>
      </c>
      <c r="E395" s="69">
        <v>202</v>
      </c>
      <c r="F395" s="69">
        <v>2</v>
      </c>
      <c r="G395" s="69">
        <v>3</v>
      </c>
      <c r="H395" s="69">
        <v>9604</v>
      </c>
      <c r="I395" s="69">
        <v>146</v>
      </c>
      <c r="J395" s="69" t="s">
        <v>392</v>
      </c>
      <c r="K395" s="69"/>
      <c r="L395" s="69" t="s">
        <v>2322</v>
      </c>
      <c r="M395" s="71">
        <v>43759</v>
      </c>
      <c r="N395" s="69" t="s">
        <v>83</v>
      </c>
      <c r="O395" s="71">
        <v>43760</v>
      </c>
      <c r="P395" s="69"/>
      <c r="Q395" s="69" t="s">
        <v>77</v>
      </c>
      <c r="R395" s="73" t="s">
        <v>2337</v>
      </c>
      <c r="S395" s="69">
        <v>968969</v>
      </c>
      <c r="T395" s="69"/>
      <c r="U395" s="69" t="s">
        <v>2324</v>
      </c>
      <c r="V395" s="69" t="s">
        <v>55</v>
      </c>
      <c r="W395" s="70">
        <f>IFERROR(VLOOKUP(factures[[#This Row],[DT Prestation Amiante 1]],presta_amiante1[#Data],2,0),0)</f>
        <v>55.49</v>
      </c>
      <c r="X395" s="69" t="s">
        <v>53</v>
      </c>
      <c r="Y395" s="70">
        <f>IFERROR(VLOOKUP(factures[[#This Row],[DT Prestation Amiante 2]],presta_amiante2[#Data],2,0),0)</f>
        <v>60.11</v>
      </c>
      <c r="Z395" s="69"/>
      <c r="AA395" s="70">
        <f>IFERROR(VLOOKUP(factures[[#This Row],[DT Prestation Gaz]],presta_gaz[#Data],2,0),0)</f>
        <v>0</v>
      </c>
      <c r="AB395" s="69">
        <v>2</v>
      </c>
      <c r="AC395" s="69" t="s">
        <v>73</v>
      </c>
      <c r="AD395" s="70">
        <f>IFERROR(VLOOKUP(factures[[#This Row],[DT Analyses]],DT_analyses[#Data],2,0),0)</f>
        <v>36.99</v>
      </c>
      <c r="AE395" s="70">
        <f>IFERROR(factures[[#This Row],[Plvts ]]*factures[[#This Row],[Prix Analyses]],0)</f>
        <v>73.98</v>
      </c>
      <c r="AF395" s="70">
        <f>factures[[#This Row],[Prix Prestation Amiante 1]]+factures[[#This Row],[Prix Prestation Amiante 2]]+factures[[#This Row],[Prix Prestation Gaz]]+factures[[#This Row],[Prix analyses HT]]</f>
        <v>189.57999999999998</v>
      </c>
      <c r="AG395" s="69" t="s">
        <v>2595</v>
      </c>
      <c r="AH395" s="86" t="s">
        <v>2593</v>
      </c>
      <c r="AI395" s="69"/>
    </row>
    <row r="396" spans="1:35" ht="24" x14ac:dyDescent="0.3">
      <c r="A396" s="69" t="s">
        <v>2327</v>
      </c>
      <c r="B396" s="72">
        <v>92500</v>
      </c>
      <c r="C396" s="69" t="s">
        <v>265</v>
      </c>
      <c r="D396" s="69" t="s">
        <v>741</v>
      </c>
      <c r="E396" s="69">
        <v>302</v>
      </c>
      <c r="F396" s="69">
        <v>3</v>
      </c>
      <c r="G396" s="69">
        <v>5</v>
      </c>
      <c r="H396" s="69">
        <v>14658</v>
      </c>
      <c r="I396" s="69">
        <v>212</v>
      </c>
      <c r="J396" s="69" t="s">
        <v>2332</v>
      </c>
      <c r="K396" s="69"/>
      <c r="L396" s="69" t="s">
        <v>2328</v>
      </c>
      <c r="M396" s="71">
        <v>43760</v>
      </c>
      <c r="N396" s="69" t="s">
        <v>72</v>
      </c>
      <c r="O396" s="71">
        <v>43768</v>
      </c>
      <c r="P396" s="69"/>
      <c r="Q396" s="69" t="s">
        <v>77</v>
      </c>
      <c r="R396" s="73"/>
      <c r="S396" s="69">
        <v>969120</v>
      </c>
      <c r="T396" s="69"/>
      <c r="U396" s="69"/>
      <c r="V396" s="69"/>
      <c r="W396" s="70">
        <f>IFERROR(VLOOKUP(factures[[#This Row],[DT Prestation Amiante 1]],presta_amiante1[#Data],2,0),0)</f>
        <v>0</v>
      </c>
      <c r="X396" s="69"/>
      <c r="Y396" s="70">
        <f>IFERROR(VLOOKUP(factures[[#This Row],[DT Prestation Amiante 2]],presta_amiante2[#Data],2,0),0)</f>
        <v>0</v>
      </c>
      <c r="Z396" s="69" t="s">
        <v>62</v>
      </c>
      <c r="AA396" s="70">
        <v>49.01</v>
      </c>
      <c r="AB396" s="69"/>
      <c r="AC396" s="69"/>
      <c r="AD396" s="70">
        <f>IFERROR(VLOOKUP(factures[[#This Row],[DT Analyses]],DT_analyses[#Data],2,0),0)</f>
        <v>0</v>
      </c>
      <c r="AE396" s="70">
        <f>IFERROR(factures[[#This Row],[Plvts ]]*factures[[#This Row],[Prix Analyses]],0)</f>
        <v>0</v>
      </c>
      <c r="AF396" s="70">
        <f>factures[[#This Row],[Prix Prestation Amiante 1]]+factures[[#This Row],[Prix Prestation Amiante 2]]+factures[[#This Row],[Prix Prestation Gaz]]+factures[[#This Row],[Prix analyses HT]]</f>
        <v>49.01</v>
      </c>
      <c r="AG396" s="69" t="s">
        <v>2466</v>
      </c>
      <c r="AH396" s="86" t="s">
        <v>2462</v>
      </c>
      <c r="AI396" s="69"/>
    </row>
    <row r="397" spans="1:35" ht="40.799999999999997" x14ac:dyDescent="0.3">
      <c r="A397" s="92" t="s">
        <v>1778</v>
      </c>
      <c r="B397" s="72">
        <v>78200</v>
      </c>
      <c r="C397" s="69" t="s">
        <v>189</v>
      </c>
      <c r="D397" s="69" t="s">
        <v>2008</v>
      </c>
      <c r="E397" s="69">
        <v>201</v>
      </c>
      <c r="F397" s="69">
        <v>2</v>
      </c>
      <c r="G397" s="69">
        <v>3</v>
      </c>
      <c r="H397" s="69">
        <v>10517</v>
      </c>
      <c r="I397" s="69">
        <v>161</v>
      </c>
      <c r="J397" s="69" t="s">
        <v>2331</v>
      </c>
      <c r="K397" s="69"/>
      <c r="L397" s="69" t="s">
        <v>2329</v>
      </c>
      <c r="M397" s="71">
        <v>43760</v>
      </c>
      <c r="N397" s="69" t="s">
        <v>84</v>
      </c>
      <c r="O397" s="71">
        <v>43761</v>
      </c>
      <c r="P397" s="69"/>
      <c r="Q397" s="69" t="s">
        <v>77</v>
      </c>
      <c r="R397" s="73" t="s">
        <v>2330</v>
      </c>
      <c r="S397" s="69">
        <v>968994</v>
      </c>
      <c r="T397" s="69"/>
      <c r="U397" s="69" t="s">
        <v>2341</v>
      </c>
      <c r="V397" s="69" t="s">
        <v>55</v>
      </c>
      <c r="W397" s="70">
        <v>55.49</v>
      </c>
      <c r="X397" s="69" t="s">
        <v>53</v>
      </c>
      <c r="Y397" s="70">
        <v>60.11</v>
      </c>
      <c r="Z397" s="69" t="s">
        <v>61</v>
      </c>
      <c r="AA397" s="70">
        <v>41.62</v>
      </c>
      <c r="AB397" s="69">
        <v>22</v>
      </c>
      <c r="AC397" s="69" t="s">
        <v>73</v>
      </c>
      <c r="AD397" s="70">
        <v>36.99</v>
      </c>
      <c r="AE397" s="70">
        <f>IFERROR(factures[[#This Row],[Plvts ]]*factures[[#This Row],[Prix Analyses]],0)</f>
        <v>813.78000000000009</v>
      </c>
      <c r="AF397" s="122">
        <f>factures[[#This Row],[Prix Prestation Amiante 1]]+factures[[#This Row],[Prix Prestation Amiante 2]]+factures[[#This Row],[Prix Prestation Gaz]]+factures[[#This Row],[Prix analyses HT]]</f>
        <v>971.00000000000011</v>
      </c>
      <c r="AG397" s="69" t="s">
        <v>2467</v>
      </c>
      <c r="AH397" s="86" t="s">
        <v>2462</v>
      </c>
      <c r="AI397" s="69"/>
    </row>
    <row r="398" spans="1:35" ht="48" x14ac:dyDescent="0.3">
      <c r="A398" s="69" t="s">
        <v>548</v>
      </c>
      <c r="B398" s="72">
        <v>92600</v>
      </c>
      <c r="C398" s="69" t="s">
        <v>609</v>
      </c>
      <c r="D398" s="69" t="s">
        <v>549</v>
      </c>
      <c r="E398" s="69">
        <v>803</v>
      </c>
      <c r="F398" s="69">
        <v>8</v>
      </c>
      <c r="G398" s="69">
        <v>3</v>
      </c>
      <c r="H398" s="69">
        <v>31427</v>
      </c>
      <c r="I398" s="69">
        <v>440</v>
      </c>
      <c r="J398" s="69" t="s">
        <v>621</v>
      </c>
      <c r="K398" s="69" t="s">
        <v>2375</v>
      </c>
      <c r="L398" s="69" t="s">
        <v>2344</v>
      </c>
      <c r="M398" s="71">
        <v>43761</v>
      </c>
      <c r="N398" s="69" t="s">
        <v>72</v>
      </c>
      <c r="O398" s="71">
        <v>43768</v>
      </c>
      <c r="P398" s="69"/>
      <c r="Q398" s="69" t="s">
        <v>77</v>
      </c>
      <c r="R398" s="73"/>
      <c r="S398" s="69">
        <v>969424</v>
      </c>
      <c r="T398" s="69"/>
      <c r="U398" s="69"/>
      <c r="V398" s="69"/>
      <c r="W398" s="70">
        <f>IFERROR(VLOOKUP(factures[[#This Row],[DT Prestation Amiante 1]],presta_amiante1[#Data],2,0),0)</f>
        <v>0</v>
      </c>
      <c r="X398" s="69"/>
      <c r="Y398" s="70">
        <f>IFERROR(VLOOKUP(factures[[#This Row],[DT Prestation Amiante 2]],presta_amiante2[#Data],2,0),0)</f>
        <v>0</v>
      </c>
      <c r="Z398" s="69" t="s">
        <v>61</v>
      </c>
      <c r="AA398" s="70">
        <v>41.62</v>
      </c>
      <c r="AB398" s="69"/>
      <c r="AC398" s="69"/>
      <c r="AD398" s="70">
        <f>IFERROR(VLOOKUP(factures[[#This Row],[DT Analyses]],DT_analyses[#Data],2,0),0)</f>
        <v>0</v>
      </c>
      <c r="AE398" s="70">
        <f>IFERROR(factures[[#This Row],[Plvts ]]*factures[[#This Row],[Prix Analyses]],0)</f>
        <v>0</v>
      </c>
      <c r="AF398" s="70">
        <f>factures[[#This Row],[Prix Prestation Amiante 1]]+factures[[#This Row],[Prix Prestation Amiante 2]]+factures[[#This Row],[Prix Prestation Gaz]]+factures[[#This Row],[Prix analyses HT]]</f>
        <v>41.62</v>
      </c>
      <c r="AG398" s="69" t="s">
        <v>2451</v>
      </c>
      <c r="AH398" s="86" t="s">
        <v>2443</v>
      </c>
      <c r="AI398" s="69"/>
    </row>
    <row r="399" spans="1:35" ht="36" x14ac:dyDescent="0.3">
      <c r="A399" s="92" t="s">
        <v>2350</v>
      </c>
      <c r="B399" s="72">
        <v>78260</v>
      </c>
      <c r="C399" s="69" t="s">
        <v>1082</v>
      </c>
      <c r="D399" s="69" t="s">
        <v>438</v>
      </c>
      <c r="E399" s="69">
        <v>203</v>
      </c>
      <c r="F399" s="69">
        <v>2</v>
      </c>
      <c r="G399" s="69">
        <v>3</v>
      </c>
      <c r="H399" s="69">
        <v>39712</v>
      </c>
      <c r="I399" s="69">
        <v>815</v>
      </c>
      <c r="J399" s="69" t="s">
        <v>2002</v>
      </c>
      <c r="K399" s="69"/>
      <c r="L399" s="69" t="s">
        <v>2351</v>
      </c>
      <c r="M399" s="71">
        <v>43766</v>
      </c>
      <c r="N399" s="69" t="s">
        <v>84</v>
      </c>
      <c r="O399" s="71">
        <v>43767</v>
      </c>
      <c r="P399" s="69" t="s">
        <v>1014</v>
      </c>
      <c r="Q399" s="69" t="s">
        <v>77</v>
      </c>
      <c r="R399" s="73" t="s">
        <v>2352</v>
      </c>
      <c r="S399" s="69">
        <v>970005</v>
      </c>
      <c r="T399" s="69"/>
      <c r="U399" s="69" t="s">
        <v>2371</v>
      </c>
      <c r="V399" s="69" t="s">
        <v>55</v>
      </c>
      <c r="W399" s="70">
        <v>55.49</v>
      </c>
      <c r="X399" s="69" t="s">
        <v>53</v>
      </c>
      <c r="Y399" s="70">
        <v>60.11</v>
      </c>
      <c r="Z399" s="69" t="s">
        <v>61</v>
      </c>
      <c r="AA399" s="70">
        <v>41.62</v>
      </c>
      <c r="AB399" s="69">
        <v>10</v>
      </c>
      <c r="AC399" s="69" t="s">
        <v>73</v>
      </c>
      <c r="AD399" s="70">
        <v>36.99</v>
      </c>
      <c r="AE399" s="70">
        <f>IFERROR(factures[[#This Row],[Plvts ]]*factures[[#This Row],[Prix Analyses]],0)</f>
        <v>369.90000000000003</v>
      </c>
      <c r="AF399" s="122">
        <f>factures[[#This Row],[Prix Prestation Amiante 1]]+factures[[#This Row],[Prix Prestation Amiante 2]]+factures[[#This Row],[Prix Prestation Gaz]]+factures[[#This Row],[Prix analyses HT]]</f>
        <v>527.12</v>
      </c>
      <c r="AG399" s="69" t="s">
        <v>2489</v>
      </c>
      <c r="AH399" s="86" t="s">
        <v>2485</v>
      </c>
      <c r="AI399" s="69"/>
    </row>
    <row r="400" spans="1:35" ht="36" x14ac:dyDescent="0.3">
      <c r="A400" s="92" t="s">
        <v>303</v>
      </c>
      <c r="B400" s="72">
        <v>94550</v>
      </c>
      <c r="C400" s="69" t="s">
        <v>304</v>
      </c>
      <c r="D400" s="69" t="s">
        <v>305</v>
      </c>
      <c r="E400" s="69">
        <v>303</v>
      </c>
      <c r="F400" s="69">
        <v>3</v>
      </c>
      <c r="G400" s="69">
        <v>2</v>
      </c>
      <c r="H400" s="69">
        <v>4542</v>
      </c>
      <c r="I400" s="69">
        <v>74</v>
      </c>
      <c r="J400" s="69" t="s">
        <v>1515</v>
      </c>
      <c r="K400" s="69"/>
      <c r="L400" s="69" t="s">
        <v>2353</v>
      </c>
      <c r="M400" s="71">
        <v>43766</v>
      </c>
      <c r="N400" s="69" t="s">
        <v>71</v>
      </c>
      <c r="O400" s="71">
        <v>43776</v>
      </c>
      <c r="P400" s="69"/>
      <c r="Q400" s="69" t="s">
        <v>77</v>
      </c>
      <c r="R400" s="73" t="s">
        <v>2354</v>
      </c>
      <c r="S400" s="69">
        <v>970013</v>
      </c>
      <c r="T400" s="69"/>
      <c r="U400" s="69" t="s">
        <v>2421</v>
      </c>
      <c r="V400" s="69" t="s">
        <v>53</v>
      </c>
      <c r="W400" s="70">
        <v>60.11</v>
      </c>
      <c r="X400" s="69"/>
      <c r="Y400" s="70">
        <f>IFERROR(VLOOKUP(factures[[#This Row],[DT Prestation Amiante 2]],presta_amiante2[#Data],2,0),0)</f>
        <v>0</v>
      </c>
      <c r="Z400" s="69" t="s">
        <v>61</v>
      </c>
      <c r="AA400" s="70">
        <v>41.62</v>
      </c>
      <c r="AB400" s="69">
        <v>1</v>
      </c>
      <c r="AC400" s="69" t="s">
        <v>73</v>
      </c>
      <c r="AD400" s="70">
        <v>36.99</v>
      </c>
      <c r="AE400" s="70">
        <f>IFERROR(factures[[#This Row],[Plvts ]]*factures[[#This Row],[Prix Analyses]],0)</f>
        <v>36.99</v>
      </c>
      <c r="AF400" s="70">
        <f>factures[[#This Row],[Prix Prestation Amiante 1]]+factures[[#This Row],[Prix Prestation Amiante 2]]+factures[[#This Row],[Prix Prestation Gaz]]+factures[[#This Row],[Prix analyses HT]]</f>
        <v>138.72</v>
      </c>
      <c r="AG400" s="69" t="s">
        <v>2468</v>
      </c>
      <c r="AH400" s="86" t="s">
        <v>2462</v>
      </c>
      <c r="AI400" s="69"/>
    </row>
    <row r="401" spans="1:35" ht="36" x14ac:dyDescent="0.3">
      <c r="A401" s="92" t="s">
        <v>969</v>
      </c>
      <c r="B401" s="72">
        <v>78130</v>
      </c>
      <c r="C401" s="69" t="s">
        <v>553</v>
      </c>
      <c r="D401" s="69" t="s">
        <v>575</v>
      </c>
      <c r="E401" s="69">
        <v>301</v>
      </c>
      <c r="F401" s="69">
        <v>3</v>
      </c>
      <c r="G401" s="69">
        <v>4</v>
      </c>
      <c r="H401" s="69">
        <v>50940</v>
      </c>
      <c r="I401" s="69">
        <v>1021</v>
      </c>
      <c r="J401" s="69" t="s">
        <v>1531</v>
      </c>
      <c r="K401" s="69"/>
      <c r="L401" s="69" t="s">
        <v>2355</v>
      </c>
      <c r="M401" s="71">
        <v>43766</v>
      </c>
      <c r="N401" s="69" t="s">
        <v>84</v>
      </c>
      <c r="O401" s="71">
        <v>43767</v>
      </c>
      <c r="P401" s="69" t="s">
        <v>131</v>
      </c>
      <c r="Q401" s="69" t="s">
        <v>77</v>
      </c>
      <c r="R401" s="73" t="s">
        <v>2364</v>
      </c>
      <c r="S401" s="69">
        <v>964125</v>
      </c>
      <c r="T401" s="69"/>
      <c r="U401" s="69" t="s">
        <v>2372</v>
      </c>
      <c r="V401" s="69" t="s">
        <v>55</v>
      </c>
      <c r="W401" s="70">
        <f>IFERROR(VLOOKUP(factures[[#This Row],[DT Prestation Amiante 1]],presta_amiante1[#Data],2,0),0)</f>
        <v>55.49</v>
      </c>
      <c r="X401" s="69" t="s">
        <v>54</v>
      </c>
      <c r="Y401" s="70">
        <f>IFERROR(VLOOKUP(factures[[#This Row],[DT Prestation Amiante 2]],presta_amiante2[#Data],2,0),0)</f>
        <v>69.36</v>
      </c>
      <c r="Z401" s="69" t="s">
        <v>62</v>
      </c>
      <c r="AA401" s="70">
        <f>IFERROR(VLOOKUP(factures[[#This Row],[DT Prestation Gaz]],presta_gaz[#Data],2,0),0)</f>
        <v>49.01</v>
      </c>
      <c r="AB401" s="69">
        <v>8</v>
      </c>
      <c r="AC401" s="69" t="s">
        <v>73</v>
      </c>
      <c r="AD401" s="70">
        <f>IFERROR(VLOOKUP(factures[[#This Row],[DT Analyses]],DT_analyses[#Data],2,0),0)</f>
        <v>36.99</v>
      </c>
      <c r="AE401" s="70">
        <f>IFERROR(factures[[#This Row],[Plvts ]]*factures[[#This Row],[Prix Analyses]],0)</f>
        <v>295.92</v>
      </c>
      <c r="AF401" s="70">
        <f>factures[[#This Row],[Prix Prestation Amiante 1]]+factures[[#This Row],[Prix Prestation Amiante 2]]+factures[[#This Row],[Prix Prestation Gaz]]+factures[[#This Row],[Prix analyses HT]]</f>
        <v>469.78</v>
      </c>
      <c r="AG401" s="69" t="s">
        <v>2596</v>
      </c>
      <c r="AH401" s="86" t="s">
        <v>2593</v>
      </c>
      <c r="AI401" s="69"/>
    </row>
    <row r="402" spans="1:35" ht="36" x14ac:dyDescent="0.3">
      <c r="A402" s="92" t="s">
        <v>2366</v>
      </c>
      <c r="B402" s="72">
        <v>78130</v>
      </c>
      <c r="C402" s="69" t="s">
        <v>553</v>
      </c>
      <c r="D402" s="69" t="s">
        <v>575</v>
      </c>
      <c r="E402" s="69">
        <v>1</v>
      </c>
      <c r="F402" s="69" t="s">
        <v>102</v>
      </c>
      <c r="G402" s="69">
        <v>4</v>
      </c>
      <c r="H402" s="69">
        <v>50944</v>
      </c>
      <c r="I402" s="69">
        <v>1021</v>
      </c>
      <c r="J402" s="69" t="s">
        <v>1531</v>
      </c>
      <c r="K402" s="69"/>
      <c r="L402" s="69" t="s">
        <v>2356</v>
      </c>
      <c r="M402" s="71">
        <v>43766</v>
      </c>
      <c r="N402" s="69" t="s">
        <v>83</v>
      </c>
      <c r="O402" s="71">
        <v>43767</v>
      </c>
      <c r="P402" s="69" t="s">
        <v>131</v>
      </c>
      <c r="Q402" s="69" t="s">
        <v>77</v>
      </c>
      <c r="R402" s="73" t="s">
        <v>2365</v>
      </c>
      <c r="S402" s="69">
        <v>964065</v>
      </c>
      <c r="T402" s="69"/>
      <c r="U402" s="69" t="s">
        <v>2373</v>
      </c>
      <c r="V402" s="69" t="s">
        <v>52</v>
      </c>
      <c r="W402" s="70">
        <f>IFERROR(VLOOKUP(factures[[#This Row],[DT Prestation Amiante 1]],presta_amiante1[#Data],2,0),0)</f>
        <v>76.760000000000005</v>
      </c>
      <c r="X402" s="69" t="s">
        <v>54</v>
      </c>
      <c r="Y402" s="70">
        <f>IFERROR(VLOOKUP(factures[[#This Row],[DT Prestation Amiante 2]],presta_amiante2[#Data],2,0),0)</f>
        <v>69.36</v>
      </c>
      <c r="Z402" s="69"/>
      <c r="AA402" s="70">
        <f>IFERROR(VLOOKUP(factures[[#This Row],[DT Prestation Gaz]],presta_gaz[#Data],2,0),0)</f>
        <v>0</v>
      </c>
      <c r="AB402" s="69">
        <v>5</v>
      </c>
      <c r="AC402" s="69" t="s">
        <v>73</v>
      </c>
      <c r="AD402" s="70">
        <f>IFERROR(VLOOKUP(factures[[#This Row],[DT Analyses]],DT_analyses[#Data],2,0),0)</f>
        <v>36.99</v>
      </c>
      <c r="AE402" s="70">
        <f>IFERROR(factures[[#This Row],[Plvts ]]*factures[[#This Row],[Prix Analyses]],0)</f>
        <v>184.95000000000002</v>
      </c>
      <c r="AF402" s="70">
        <f>factures[[#This Row],[Prix Prestation Amiante 1]]+factures[[#This Row],[Prix Prestation Amiante 2]]+factures[[#This Row],[Prix Prestation Gaz]]+factures[[#This Row],[Prix analyses HT]]</f>
        <v>331.07000000000005</v>
      </c>
      <c r="AG402" s="69" t="s">
        <v>2583</v>
      </c>
      <c r="AH402" s="86" t="s">
        <v>2582</v>
      </c>
      <c r="AI402" s="69"/>
    </row>
    <row r="403" spans="1:35" ht="36" x14ac:dyDescent="0.3">
      <c r="A403" s="92" t="s">
        <v>2362</v>
      </c>
      <c r="B403" s="72">
        <v>78180</v>
      </c>
      <c r="C403" s="69" t="s">
        <v>115</v>
      </c>
      <c r="D403" s="69" t="s">
        <v>1196</v>
      </c>
      <c r="E403" s="69">
        <v>702</v>
      </c>
      <c r="F403" s="69">
        <v>7</v>
      </c>
      <c r="G403" s="69">
        <v>5</v>
      </c>
      <c r="H403" s="69">
        <v>31547</v>
      </c>
      <c r="I403" s="69"/>
      <c r="J403" s="69"/>
      <c r="K403" s="69"/>
      <c r="L403" s="69"/>
      <c r="M403" s="69"/>
      <c r="N403" s="69" t="s">
        <v>70</v>
      </c>
      <c r="O403" s="69"/>
      <c r="P403" s="69"/>
      <c r="Q403" s="69" t="s">
        <v>77</v>
      </c>
      <c r="R403" s="73"/>
      <c r="S403" s="69">
        <v>969465</v>
      </c>
      <c r="T403" s="69"/>
      <c r="U403" s="69"/>
      <c r="V403" s="69" t="s">
        <v>54</v>
      </c>
      <c r="W403" s="70">
        <f>IFERROR(VLOOKUP(factures[[#This Row],[DT Prestation Amiante 1]],presta_amiante1[#Data],2,0),0)</f>
        <v>69.36</v>
      </c>
      <c r="X403" s="69"/>
      <c r="Y403" s="70">
        <f>IFERROR(VLOOKUP(factures[[#This Row],[DT Prestation Amiante 2]],presta_amiante2[#Data],2,0),0)</f>
        <v>0</v>
      </c>
      <c r="Z403" s="69"/>
      <c r="AA403" s="70">
        <f>IFERROR(VLOOKUP(factures[[#This Row],[DT Prestation Gaz]],presta_gaz[#Data],2,0),0)</f>
        <v>0</v>
      </c>
      <c r="AB403" s="69">
        <v>12</v>
      </c>
      <c r="AC403" s="69" t="s">
        <v>73</v>
      </c>
      <c r="AD403" s="70">
        <v>36.99</v>
      </c>
      <c r="AE403" s="70">
        <f>IFERROR(factures[[#This Row],[Plvts ]]*factures[[#This Row],[Prix Analyses]],0)</f>
        <v>443.88</v>
      </c>
      <c r="AF403" s="122">
        <f>factures[[#This Row],[Prix Prestation Amiante 1]]+factures[[#This Row],[Prix Prestation Amiante 2]]+factures[[#This Row],[Prix Prestation Gaz]]+factures[[#This Row],[Prix analyses HT]]</f>
        <v>513.24</v>
      </c>
      <c r="AG403" s="69" t="s">
        <v>2363</v>
      </c>
      <c r="AH403" s="86" t="s">
        <v>2358</v>
      </c>
      <c r="AI403" s="69"/>
    </row>
    <row r="404" spans="1:35" ht="36" x14ac:dyDescent="0.3">
      <c r="A404" s="92" t="s">
        <v>758</v>
      </c>
      <c r="B404" s="72">
        <v>78200</v>
      </c>
      <c r="C404" s="69" t="s">
        <v>189</v>
      </c>
      <c r="D404" s="69" t="s">
        <v>2008</v>
      </c>
      <c r="E404" s="69">
        <v>102</v>
      </c>
      <c r="F404" s="69">
        <v>1</v>
      </c>
      <c r="G404" s="69">
        <v>4</v>
      </c>
      <c r="H404" s="69">
        <v>10526</v>
      </c>
      <c r="I404" s="69">
        <v>161</v>
      </c>
      <c r="J404" s="69" t="s">
        <v>2331</v>
      </c>
      <c r="K404" s="69"/>
      <c r="L404" s="69" t="s">
        <v>2367</v>
      </c>
      <c r="M404" s="71">
        <v>43766</v>
      </c>
      <c r="N404" s="69" t="s">
        <v>84</v>
      </c>
      <c r="O404" s="71">
        <v>43767</v>
      </c>
      <c r="P404" s="69" t="s">
        <v>131</v>
      </c>
      <c r="Q404" s="69" t="s">
        <v>77</v>
      </c>
      <c r="R404" s="73" t="s">
        <v>2368</v>
      </c>
      <c r="S404" s="69">
        <v>970104</v>
      </c>
      <c r="T404" s="69"/>
      <c r="U404" s="69" t="s">
        <v>2374</v>
      </c>
      <c r="V404" s="69" t="s">
        <v>55</v>
      </c>
      <c r="W404" s="70">
        <v>55.49</v>
      </c>
      <c r="X404" s="69" t="s">
        <v>54</v>
      </c>
      <c r="Y404" s="70">
        <v>69.36</v>
      </c>
      <c r="Z404" s="69" t="s">
        <v>62</v>
      </c>
      <c r="AA404" s="70">
        <v>49.01</v>
      </c>
      <c r="AB404" s="69">
        <v>7</v>
      </c>
      <c r="AC404" s="69" t="s">
        <v>73</v>
      </c>
      <c r="AD404" s="70">
        <v>36.99</v>
      </c>
      <c r="AE404" s="70">
        <f>IFERROR(factures[[#This Row],[Plvts ]]*factures[[#This Row],[Prix Analyses]],0)</f>
        <v>258.93</v>
      </c>
      <c r="AF404" s="122">
        <f>factures[[#This Row],[Prix Prestation Amiante 1]]+factures[[#This Row],[Prix Prestation Amiante 2]]+factures[[#This Row],[Prix Prestation Gaz]]+factures[[#This Row],[Prix analyses HT]]</f>
        <v>432.78999999999996</v>
      </c>
      <c r="AG404" s="69" t="s">
        <v>2490</v>
      </c>
      <c r="AH404" s="86" t="s">
        <v>2485</v>
      </c>
      <c r="AI404" s="69"/>
    </row>
    <row r="405" spans="1:35" ht="36" x14ac:dyDescent="0.3">
      <c r="A405" s="92" t="s">
        <v>2251</v>
      </c>
      <c r="B405" s="72">
        <v>92500</v>
      </c>
      <c r="C405" s="69" t="s">
        <v>265</v>
      </c>
      <c r="D405" s="69" t="s">
        <v>464</v>
      </c>
      <c r="E405" s="69">
        <v>61</v>
      </c>
      <c r="F405" s="69">
        <v>4</v>
      </c>
      <c r="G405" s="69">
        <v>4</v>
      </c>
      <c r="H405" s="69">
        <v>84537</v>
      </c>
      <c r="I405" s="69">
        <v>9212</v>
      </c>
      <c r="J405" s="88" t="s">
        <v>1608</v>
      </c>
      <c r="K405" s="69"/>
      <c r="L405" s="69" t="s">
        <v>2369</v>
      </c>
      <c r="M405" s="71">
        <v>43767</v>
      </c>
      <c r="N405" s="69" t="s">
        <v>71</v>
      </c>
      <c r="O405" s="71">
        <v>43768</v>
      </c>
      <c r="P405" s="69"/>
      <c r="Q405" s="69" t="s">
        <v>77</v>
      </c>
      <c r="R405" s="73" t="s">
        <v>2370</v>
      </c>
      <c r="S405" s="69">
        <v>970217</v>
      </c>
      <c r="T405" s="69"/>
      <c r="U405" s="69" t="s">
        <v>2378</v>
      </c>
      <c r="V405" s="69" t="s">
        <v>54</v>
      </c>
      <c r="W405" s="70">
        <v>69.36</v>
      </c>
      <c r="X405" s="69"/>
      <c r="Y405" s="70">
        <f>IFERROR(VLOOKUP(factures[[#This Row],[DT Prestation Amiante 2]],presta_amiante2[#Data],2,0),0)</f>
        <v>0</v>
      </c>
      <c r="Z405" s="69" t="s">
        <v>62</v>
      </c>
      <c r="AA405" s="70">
        <v>49.01</v>
      </c>
      <c r="AB405" s="69">
        <v>4</v>
      </c>
      <c r="AC405" s="69" t="s">
        <v>73</v>
      </c>
      <c r="AD405" s="70">
        <v>36.99</v>
      </c>
      <c r="AE405" s="70">
        <f>IFERROR(factures[[#This Row],[Plvts ]]*factures[[#This Row],[Prix Analyses]],0)</f>
        <v>147.96</v>
      </c>
      <c r="AF405" s="70">
        <f>factures[[#This Row],[Prix Prestation Amiante 1]]+factures[[#This Row],[Prix Prestation Amiante 2]]+factures[[#This Row],[Prix Prestation Gaz]]+factures[[#This Row],[Prix analyses HT]]</f>
        <v>266.33000000000004</v>
      </c>
      <c r="AG405" s="69" t="s">
        <v>2469</v>
      </c>
      <c r="AH405" s="86" t="s">
        <v>2462</v>
      </c>
      <c r="AI405" s="69"/>
    </row>
    <row r="406" spans="1:35" ht="48" x14ac:dyDescent="0.3">
      <c r="A406" s="92" t="s">
        <v>2385</v>
      </c>
      <c r="B406" s="72">
        <v>92600</v>
      </c>
      <c r="C406" s="69" t="s">
        <v>609</v>
      </c>
      <c r="D406" s="69" t="s">
        <v>1582</v>
      </c>
      <c r="E406" s="69">
        <v>1</v>
      </c>
      <c r="F406" s="69" t="s">
        <v>102</v>
      </c>
      <c r="G406" s="69">
        <v>2</v>
      </c>
      <c r="H406" s="69">
        <v>42018</v>
      </c>
      <c r="I406" s="69">
        <v>842</v>
      </c>
      <c r="J406" s="69" t="s">
        <v>785</v>
      </c>
      <c r="K406" s="69"/>
      <c r="L406" s="69" t="s">
        <v>2376</v>
      </c>
      <c r="M406" s="71">
        <v>43766</v>
      </c>
      <c r="N406" s="69" t="s">
        <v>71</v>
      </c>
      <c r="O406" s="71">
        <v>43768</v>
      </c>
      <c r="P406" s="69"/>
      <c r="Q406" s="69" t="s">
        <v>77</v>
      </c>
      <c r="R406" s="73" t="s">
        <v>2377</v>
      </c>
      <c r="S406" s="69">
        <v>970061</v>
      </c>
      <c r="T406" s="69"/>
      <c r="U406" s="69" t="s">
        <v>2379</v>
      </c>
      <c r="V406" s="69" t="s">
        <v>53</v>
      </c>
      <c r="W406" s="70">
        <v>60.11</v>
      </c>
      <c r="X406" s="69"/>
      <c r="Y406" s="70">
        <f>IFERROR(VLOOKUP(factures[[#This Row],[DT Prestation Amiante 2]],presta_amiante2[#Data],2,0),0)</f>
        <v>0</v>
      </c>
      <c r="Z406" s="69" t="s">
        <v>61</v>
      </c>
      <c r="AA406" s="70">
        <v>41.62</v>
      </c>
      <c r="AB406" s="69">
        <v>4</v>
      </c>
      <c r="AC406" s="69" t="s">
        <v>73</v>
      </c>
      <c r="AD406" s="70">
        <v>36.99</v>
      </c>
      <c r="AE406" s="70">
        <f>IFERROR(factures[[#This Row],[Plvts ]]*factures[[#This Row],[Prix Analyses]],0)</f>
        <v>147.96</v>
      </c>
      <c r="AF406" s="70">
        <f>factures[[#This Row],[Prix Prestation Amiante 1]]+factures[[#This Row],[Prix Prestation Amiante 2]]+factures[[#This Row],[Prix Prestation Gaz]]+factures[[#This Row],[Prix analyses HT]]</f>
        <v>249.69</v>
      </c>
      <c r="AG406" s="69" t="s">
        <v>2470</v>
      </c>
      <c r="AH406" s="86" t="s">
        <v>2462</v>
      </c>
      <c r="AI406" s="69"/>
    </row>
    <row r="407" spans="1:35" ht="36" x14ac:dyDescent="0.3">
      <c r="A407" s="92" t="s">
        <v>394</v>
      </c>
      <c r="B407" s="72">
        <v>78150</v>
      </c>
      <c r="C407" s="69" t="s">
        <v>1111</v>
      </c>
      <c r="D407" s="69" t="s">
        <v>2305</v>
      </c>
      <c r="E407" s="69">
        <v>604</v>
      </c>
      <c r="F407" s="69">
        <v>6</v>
      </c>
      <c r="G407" s="69">
        <v>3</v>
      </c>
      <c r="H407" s="69">
        <v>9649</v>
      </c>
      <c r="I407" s="69">
        <v>146</v>
      </c>
      <c r="J407" s="69" t="s">
        <v>2395</v>
      </c>
      <c r="K407" s="69" t="s">
        <v>2517</v>
      </c>
      <c r="L407" s="69" t="s">
        <v>2380</v>
      </c>
      <c r="M407" s="71">
        <v>43768</v>
      </c>
      <c r="N407" s="69" t="s">
        <v>83</v>
      </c>
      <c r="O407" s="69"/>
      <c r="P407" s="69"/>
      <c r="Q407" s="69" t="s">
        <v>77</v>
      </c>
      <c r="R407" s="73" t="s">
        <v>2496</v>
      </c>
      <c r="S407" s="69">
        <v>977901</v>
      </c>
      <c r="T407" s="69"/>
      <c r="U407" s="69" t="s">
        <v>2525</v>
      </c>
      <c r="V407" s="69" t="s">
        <v>55</v>
      </c>
      <c r="W407" s="70">
        <v>54</v>
      </c>
      <c r="X407" s="69" t="s">
        <v>54</v>
      </c>
      <c r="Y407" s="70">
        <v>67.5</v>
      </c>
      <c r="Z407" s="69"/>
      <c r="AA407" s="70">
        <f>IFERROR(VLOOKUP(factures[[#This Row],[DT Prestation Gaz]],presta_gaz[#Data],2,0),0)</f>
        <v>0</v>
      </c>
      <c r="AB407" s="69">
        <v>1</v>
      </c>
      <c r="AC407" s="69" t="s">
        <v>73</v>
      </c>
      <c r="AD407" s="70">
        <v>36</v>
      </c>
      <c r="AE407" s="70">
        <f>IFERROR(factures[[#This Row],[Plvts ]]*factures[[#This Row],[Prix Analyses]],0)</f>
        <v>36</v>
      </c>
      <c r="AF407" s="70">
        <f>factures[[#This Row],[Prix Prestation Amiante 1]]+factures[[#This Row],[Prix Prestation Amiante 2]]+factures[[#This Row],[Prix Prestation Gaz]]+factures[[#This Row],[Prix analyses HT]]</f>
        <v>157.5</v>
      </c>
      <c r="AG407" s="69" t="s">
        <v>2597</v>
      </c>
      <c r="AH407" s="86" t="s">
        <v>2593</v>
      </c>
      <c r="AI407" s="69"/>
    </row>
    <row r="408" spans="1:35" ht="48" x14ac:dyDescent="0.3">
      <c r="A408" s="69" t="s">
        <v>2383</v>
      </c>
      <c r="B408" s="72">
        <v>78500</v>
      </c>
      <c r="C408" s="69" t="s">
        <v>214</v>
      </c>
      <c r="D408" s="69" t="s">
        <v>215</v>
      </c>
      <c r="E408" s="69">
        <v>109</v>
      </c>
      <c r="F408" s="69">
        <v>1</v>
      </c>
      <c r="G408" s="69">
        <v>3</v>
      </c>
      <c r="H408" s="69">
        <v>36044</v>
      </c>
      <c r="I408" s="69">
        <v>588</v>
      </c>
      <c r="J408" s="69" t="s">
        <v>216</v>
      </c>
      <c r="K408" s="69"/>
      <c r="L408" s="69" t="s">
        <v>2384</v>
      </c>
      <c r="M408" s="71">
        <v>43768</v>
      </c>
      <c r="N408" s="69" t="s">
        <v>72</v>
      </c>
      <c r="O408" s="71">
        <v>43775</v>
      </c>
      <c r="P408" s="69"/>
      <c r="Q408" s="69" t="s">
        <v>77</v>
      </c>
      <c r="R408" s="73"/>
      <c r="S408" s="69">
        <v>970548</v>
      </c>
      <c r="T408" s="69"/>
      <c r="U408" s="69"/>
      <c r="V408" s="69"/>
      <c r="W408" s="70">
        <f>IFERROR(VLOOKUP(factures[[#This Row],[DT Prestation Amiante 1]],presta_amiante1[#Data],2,0),0)</f>
        <v>0</v>
      </c>
      <c r="X408" s="69"/>
      <c r="Y408" s="70">
        <f>IFERROR(VLOOKUP(factures[[#This Row],[DT Prestation Amiante 2]],presta_amiante2[#Data],2,0),0)</f>
        <v>0</v>
      </c>
      <c r="Z408" s="69" t="s">
        <v>61</v>
      </c>
      <c r="AA408" s="70">
        <f>IFERROR(VLOOKUP(factures[[#This Row],[DT Prestation Gaz]],presta_gaz[#Data],2,0),0)</f>
        <v>41.62</v>
      </c>
      <c r="AB408" s="69"/>
      <c r="AC408" s="69"/>
      <c r="AD408" s="70">
        <f>IFERROR(VLOOKUP(factures[[#This Row],[DT Analyses]],DT_analyses[#Data],2,0),0)</f>
        <v>0</v>
      </c>
      <c r="AE408" s="70">
        <f>IFERROR(factures[[#This Row],[Plvts ]]*factures[[#This Row],[Prix Analyses]],0)</f>
        <v>0</v>
      </c>
      <c r="AF408" s="122">
        <v>41.62</v>
      </c>
      <c r="AG408" s="69" t="s">
        <v>2491</v>
      </c>
      <c r="AH408" s="86" t="s">
        <v>2485</v>
      </c>
      <c r="AI408" s="69"/>
    </row>
    <row r="409" spans="1:35" ht="60" x14ac:dyDescent="0.3">
      <c r="A409" s="92" t="s">
        <v>1030</v>
      </c>
      <c r="B409" s="72">
        <v>92170</v>
      </c>
      <c r="C409" s="69" t="s">
        <v>1031</v>
      </c>
      <c r="D409" s="69" t="s">
        <v>436</v>
      </c>
      <c r="E409" s="69">
        <v>508</v>
      </c>
      <c r="F409" s="69">
        <v>5</v>
      </c>
      <c r="G409" s="69">
        <v>2</v>
      </c>
      <c r="H409" s="69">
        <v>22453</v>
      </c>
      <c r="I409" s="69">
        <v>315</v>
      </c>
      <c r="J409" s="69" t="s">
        <v>1070</v>
      </c>
      <c r="K409" s="69"/>
      <c r="L409" s="69" t="s">
        <v>2386</v>
      </c>
      <c r="M409" s="71">
        <v>43773</v>
      </c>
      <c r="N409" s="69" t="s">
        <v>2387</v>
      </c>
      <c r="O409" s="71">
        <v>43776</v>
      </c>
      <c r="P409" s="69"/>
      <c r="Q409" s="69" t="s">
        <v>77</v>
      </c>
      <c r="R409" s="73" t="s">
        <v>2388</v>
      </c>
      <c r="S409" s="69">
        <v>970916</v>
      </c>
      <c r="T409" s="69"/>
      <c r="U409" s="69" t="s">
        <v>2461</v>
      </c>
      <c r="V409" s="69" t="s">
        <v>53</v>
      </c>
      <c r="W409" s="70">
        <v>60.11</v>
      </c>
      <c r="X409" s="69" t="s">
        <v>93</v>
      </c>
      <c r="Y409" s="70">
        <v>80.459999999999994</v>
      </c>
      <c r="Z409" s="69" t="s">
        <v>61</v>
      </c>
      <c r="AA409" s="70">
        <v>41.62</v>
      </c>
      <c r="AB409" s="69">
        <v>3</v>
      </c>
      <c r="AC409" s="69" t="s">
        <v>73</v>
      </c>
      <c r="AD409" s="70">
        <v>36.99</v>
      </c>
      <c r="AE409" s="70">
        <f>IFERROR(factures[[#This Row],[Plvts ]]*factures[[#This Row],[Prix Analyses]],0)</f>
        <v>110.97</v>
      </c>
      <c r="AF409" s="70">
        <f>factures[[#This Row],[Prix Prestation Amiante 1]]+factures[[#This Row],[Prix Prestation Amiante 2]]+factures[[#This Row],[Prix Prestation Gaz]]+factures[[#This Row],[Prix analyses HT]]</f>
        <v>293.15999999999997</v>
      </c>
      <c r="AG409" s="69" t="s">
        <v>2492</v>
      </c>
      <c r="AH409" s="86" t="s">
        <v>2485</v>
      </c>
      <c r="AI409" s="69"/>
    </row>
    <row r="410" spans="1:35" ht="48" x14ac:dyDescent="0.3">
      <c r="A410" s="92" t="s">
        <v>2390</v>
      </c>
      <c r="B410" s="72">
        <v>92100</v>
      </c>
      <c r="C410" s="69" t="s">
        <v>133</v>
      </c>
      <c r="D410" s="69" t="s">
        <v>849</v>
      </c>
      <c r="E410" s="69">
        <v>43</v>
      </c>
      <c r="F410" s="69">
        <v>4</v>
      </c>
      <c r="G410" s="69">
        <v>2</v>
      </c>
      <c r="H410" s="69">
        <v>60887</v>
      </c>
      <c r="I410" s="69">
        <v>753</v>
      </c>
      <c r="J410" s="69" t="s">
        <v>1923</v>
      </c>
      <c r="K410" s="69" t="s">
        <v>2393</v>
      </c>
      <c r="L410" s="69" t="s">
        <v>2391</v>
      </c>
      <c r="M410" s="71">
        <v>43774</v>
      </c>
      <c r="N410" s="69" t="s">
        <v>1530</v>
      </c>
      <c r="O410" s="71">
        <v>43775</v>
      </c>
      <c r="P410" s="69"/>
      <c r="Q410" s="69" t="s">
        <v>77</v>
      </c>
      <c r="R410" s="73" t="s">
        <v>2392</v>
      </c>
      <c r="S410" s="69">
        <v>971149</v>
      </c>
      <c r="T410" s="69"/>
      <c r="U410" s="69" t="s">
        <v>2394</v>
      </c>
      <c r="V410" s="69" t="s">
        <v>53</v>
      </c>
      <c r="W410" s="70">
        <v>60.11</v>
      </c>
      <c r="X410" s="69" t="s">
        <v>93</v>
      </c>
      <c r="Y410" s="70">
        <v>80.459999999999994</v>
      </c>
      <c r="Z410" s="69"/>
      <c r="AA410" s="70">
        <f>IFERROR(VLOOKUP(factures[[#This Row],[DT Prestation Gaz]],presta_gaz[#Data],2,0),0)</f>
        <v>0</v>
      </c>
      <c r="AB410" s="69">
        <v>1</v>
      </c>
      <c r="AC410" s="69" t="s">
        <v>73</v>
      </c>
      <c r="AD410" s="70">
        <v>36.99</v>
      </c>
      <c r="AE410" s="70">
        <f>IFERROR(factures[[#This Row],[Plvts ]]*factures[[#This Row],[Prix Analyses]],0)</f>
        <v>36.99</v>
      </c>
      <c r="AF410" s="70">
        <f>factures[[#This Row],[Prix Prestation Amiante 1]]+factures[[#This Row],[Prix Prestation Amiante 2]]+factures[[#This Row],[Prix Prestation Gaz]]+factures[[#This Row],[Prix analyses HT]]</f>
        <v>177.56</v>
      </c>
      <c r="AG410" s="69" t="s">
        <v>2471</v>
      </c>
      <c r="AH410" s="86" t="s">
        <v>2462</v>
      </c>
      <c r="AI410" s="69"/>
    </row>
    <row r="411" spans="1:35" ht="36" x14ac:dyDescent="0.3">
      <c r="A411" s="92" t="s">
        <v>2100</v>
      </c>
      <c r="B411" s="72">
        <v>78500</v>
      </c>
      <c r="C411" s="69" t="s">
        <v>214</v>
      </c>
      <c r="D411" s="69" t="s">
        <v>2101</v>
      </c>
      <c r="E411" s="69">
        <v>503</v>
      </c>
      <c r="F411" s="69">
        <v>5</v>
      </c>
      <c r="G411" s="69">
        <v>1</v>
      </c>
      <c r="H411" s="69">
        <v>36515</v>
      </c>
      <c r="I411" s="69">
        <v>589</v>
      </c>
      <c r="J411" s="69" t="s">
        <v>2108</v>
      </c>
      <c r="K411" s="69"/>
      <c r="L411" s="69" t="s">
        <v>2396</v>
      </c>
      <c r="M411" s="71">
        <v>43775</v>
      </c>
      <c r="N411" s="69" t="s">
        <v>84</v>
      </c>
      <c r="O411" s="71">
        <v>43781</v>
      </c>
      <c r="P411" s="69"/>
      <c r="Q411" s="69" t="s">
        <v>77</v>
      </c>
      <c r="R411" s="73" t="s">
        <v>2397</v>
      </c>
      <c r="S411" s="69">
        <v>971200</v>
      </c>
      <c r="T411" s="69"/>
      <c r="U411" s="69" t="s">
        <v>2426</v>
      </c>
      <c r="V411" s="69" t="s">
        <v>55</v>
      </c>
      <c r="W411" s="70">
        <v>55.49</v>
      </c>
      <c r="X411" s="69" t="s">
        <v>53</v>
      </c>
      <c r="Y411" s="70">
        <v>60.11</v>
      </c>
      <c r="Z411" s="69" t="s">
        <v>61</v>
      </c>
      <c r="AA411" s="70">
        <v>41.62</v>
      </c>
      <c r="AB411" s="69">
        <v>3</v>
      </c>
      <c r="AC411" s="69" t="s">
        <v>73</v>
      </c>
      <c r="AD411" s="70">
        <v>36.99</v>
      </c>
      <c r="AE411" s="70">
        <f>IFERROR(factures[[#This Row],[Plvts ]]*factures[[#This Row],[Prix Analyses]],0)</f>
        <v>110.97</v>
      </c>
      <c r="AF411" s="122">
        <f>factures[[#This Row],[Prix Prestation Amiante 1]]+factures[[#This Row],[Prix Prestation Amiante 2]]+factures[[#This Row],[Prix Prestation Gaz]]+factures[[#This Row],[Prix analyses HT]]</f>
        <v>268.19</v>
      </c>
      <c r="AG411" s="69" t="s">
        <v>2493</v>
      </c>
      <c r="AH411" s="86" t="s">
        <v>2485</v>
      </c>
      <c r="AI411" s="69"/>
    </row>
    <row r="412" spans="1:35" ht="51" x14ac:dyDescent="0.3">
      <c r="A412" s="92" t="s">
        <v>303</v>
      </c>
      <c r="B412" s="72">
        <v>94550</v>
      </c>
      <c r="C412" s="69" t="s">
        <v>304</v>
      </c>
      <c r="D412" s="69" t="s">
        <v>305</v>
      </c>
      <c r="E412" s="69">
        <v>203</v>
      </c>
      <c r="F412" s="69">
        <v>2</v>
      </c>
      <c r="G412" s="69">
        <v>2</v>
      </c>
      <c r="H412" s="69">
        <v>4538</v>
      </c>
      <c r="I412" s="69">
        <v>74</v>
      </c>
      <c r="J412" s="69" t="s">
        <v>1515</v>
      </c>
      <c r="K412" s="69"/>
      <c r="L412" s="69" t="s">
        <v>2398</v>
      </c>
      <c r="M412" s="71">
        <v>43775</v>
      </c>
      <c r="N412" s="69" t="s">
        <v>71</v>
      </c>
      <c r="O412" s="71">
        <v>43776</v>
      </c>
      <c r="P412" s="69"/>
      <c r="Q412" s="69" t="s">
        <v>77</v>
      </c>
      <c r="R412" s="73" t="s">
        <v>2399</v>
      </c>
      <c r="S412" s="69">
        <v>971449</v>
      </c>
      <c r="T412" s="69"/>
      <c r="U412" s="69" t="s">
        <v>2422</v>
      </c>
      <c r="V412" s="69" t="s">
        <v>53</v>
      </c>
      <c r="W412" s="70">
        <v>60.11</v>
      </c>
      <c r="X412" s="69"/>
      <c r="Y412" s="70">
        <f>IFERROR(VLOOKUP(factures[[#This Row],[DT Prestation Amiante 2]],presta_amiante2[#Data],2,0),0)</f>
        <v>0</v>
      </c>
      <c r="Z412" s="69" t="s">
        <v>61</v>
      </c>
      <c r="AA412" s="70">
        <v>41.62</v>
      </c>
      <c r="AB412" s="69">
        <v>6</v>
      </c>
      <c r="AC412" s="69" t="s">
        <v>73</v>
      </c>
      <c r="AD412" s="70">
        <v>36.99</v>
      </c>
      <c r="AE412" s="70">
        <f>IFERROR(factures[[#This Row],[Plvts ]]*factures[[#This Row],[Prix Analyses]],0)</f>
        <v>221.94</v>
      </c>
      <c r="AF412" s="70">
        <f>factures[[#This Row],[Prix Prestation Amiante 1]]+factures[[#This Row],[Prix Prestation Amiante 2]]+factures[[#This Row],[Prix Prestation Gaz]]+factures[[#This Row],[Prix analyses HT]]</f>
        <v>323.66999999999996</v>
      </c>
      <c r="AG412" s="69" t="s">
        <v>2475</v>
      </c>
      <c r="AH412" s="86" t="s">
        <v>2462</v>
      </c>
      <c r="AI412" s="69"/>
    </row>
    <row r="413" spans="1:35" ht="61.2" x14ac:dyDescent="0.3">
      <c r="A413" s="92" t="s">
        <v>2118</v>
      </c>
      <c r="B413" s="72">
        <v>94000</v>
      </c>
      <c r="C413" s="69" t="s">
        <v>2031</v>
      </c>
      <c r="D413" s="69" t="s">
        <v>299</v>
      </c>
      <c r="E413" s="69">
        <v>101</v>
      </c>
      <c r="F413" s="69">
        <v>1</v>
      </c>
      <c r="G413" s="69">
        <v>4</v>
      </c>
      <c r="H413" s="69">
        <v>40759</v>
      </c>
      <c r="I413" s="69">
        <v>830</v>
      </c>
      <c r="J413" s="69" t="s">
        <v>300</v>
      </c>
      <c r="K413" s="69" t="s">
        <v>2006</v>
      </c>
      <c r="L413" s="69" t="s">
        <v>2400</v>
      </c>
      <c r="M413" s="71">
        <v>43775</v>
      </c>
      <c r="N413" s="69" t="s">
        <v>71</v>
      </c>
      <c r="O413" s="71">
        <v>43776</v>
      </c>
      <c r="P413" s="69"/>
      <c r="Q413" s="69" t="s">
        <v>77</v>
      </c>
      <c r="R413" s="73" t="s">
        <v>2401</v>
      </c>
      <c r="S413" s="69">
        <v>971355</v>
      </c>
      <c r="T413" s="69"/>
      <c r="U413" s="69" t="s">
        <v>2423</v>
      </c>
      <c r="V413" s="69" t="s">
        <v>54</v>
      </c>
      <c r="W413" s="70">
        <v>69.36</v>
      </c>
      <c r="X413" s="69"/>
      <c r="Y413" s="70">
        <f>IFERROR(VLOOKUP(factures[[#This Row],[DT Prestation Amiante 2]],presta_amiante2[#Data],2,0),0)</f>
        <v>0</v>
      </c>
      <c r="Z413" s="69" t="s">
        <v>62</v>
      </c>
      <c r="AA413" s="70">
        <v>49.01</v>
      </c>
      <c r="AB413" s="69">
        <v>6</v>
      </c>
      <c r="AC413" s="69" t="s">
        <v>73</v>
      </c>
      <c r="AD413" s="70">
        <v>36.99</v>
      </c>
      <c r="AE413" s="70">
        <f>IFERROR(factures[[#This Row],[Plvts ]]*factures[[#This Row],[Prix Analyses]],0)</f>
        <v>221.94</v>
      </c>
      <c r="AF413" s="70">
        <f>factures[[#This Row],[Prix Prestation Amiante 1]]+factures[[#This Row],[Prix Prestation Amiante 2]]+factures[[#This Row],[Prix Prestation Gaz]]+factures[[#This Row],[Prix analyses HT]]</f>
        <v>340.31</v>
      </c>
      <c r="AG413" s="69" t="s">
        <v>2472</v>
      </c>
      <c r="AH413" s="86" t="s">
        <v>2462</v>
      </c>
      <c r="AI413" s="69"/>
    </row>
    <row r="414" spans="1:35" ht="48" x14ac:dyDescent="0.3">
      <c r="A414" s="92" t="s">
        <v>2402</v>
      </c>
      <c r="B414" s="72">
        <v>94130</v>
      </c>
      <c r="C414" s="69" t="s">
        <v>251</v>
      </c>
      <c r="D414" s="69" t="s">
        <v>1620</v>
      </c>
      <c r="E414" s="69">
        <v>101</v>
      </c>
      <c r="F414" s="69">
        <v>1</v>
      </c>
      <c r="G414" s="69">
        <v>2</v>
      </c>
      <c r="H414" s="69">
        <v>26146</v>
      </c>
      <c r="I414" s="69">
        <v>364</v>
      </c>
      <c r="J414" s="69" t="s">
        <v>1621</v>
      </c>
      <c r="K414" s="69" t="s">
        <v>234</v>
      </c>
      <c r="L414" s="69" t="s">
        <v>2403</v>
      </c>
      <c r="M414" s="71">
        <v>43775</v>
      </c>
      <c r="N414" s="69" t="s">
        <v>70</v>
      </c>
      <c r="O414" s="71">
        <v>43791</v>
      </c>
      <c r="P414" s="69" t="s">
        <v>2495</v>
      </c>
      <c r="Q414" s="69" t="s">
        <v>77</v>
      </c>
      <c r="R414" s="73" t="s">
        <v>2404</v>
      </c>
      <c r="S414" s="69">
        <v>971520</v>
      </c>
      <c r="T414" s="69"/>
      <c r="U414" s="69" t="s">
        <v>2514</v>
      </c>
      <c r="V414" s="69" t="s">
        <v>53</v>
      </c>
      <c r="W414" s="70">
        <f>IFERROR(VLOOKUP(factures[[#This Row],[DT Prestation Amiante 1]],presta_amiante1[#Data],2,0),0)</f>
        <v>60.11</v>
      </c>
      <c r="X414" s="69"/>
      <c r="Y414" s="70">
        <f>IFERROR(VLOOKUP(factures[[#This Row],[DT Prestation Amiante 2]],presta_amiante2[#Data],2,0),0)</f>
        <v>0</v>
      </c>
      <c r="Z414" s="69"/>
      <c r="AA414" s="70">
        <f>IFERROR(VLOOKUP(factures[[#This Row],[DT Prestation Gaz]],presta_gaz[#Data],2,0),0)</f>
        <v>0</v>
      </c>
      <c r="AB414" s="69">
        <v>5</v>
      </c>
      <c r="AC414" s="69" t="s">
        <v>73</v>
      </c>
      <c r="AD414" s="70">
        <f>IFERROR(VLOOKUP(factures[[#This Row],[DT Analyses]],DT_analyses[#Data],2,0),0)</f>
        <v>36.99</v>
      </c>
      <c r="AE414" s="70">
        <f>IFERROR(factures[[#This Row],[Plvts ]]*factures[[#This Row],[Prix Analyses]],0)</f>
        <v>184.95000000000002</v>
      </c>
      <c r="AF414" s="70">
        <f>factures[[#This Row],[Prix Prestation Amiante 1]]+factures[[#This Row],[Prix Prestation Amiante 2]]+factures[[#This Row],[Prix Prestation Gaz]]+factures[[#This Row],[Prix analyses HT]]</f>
        <v>245.06</v>
      </c>
      <c r="AG414" s="69" t="s">
        <v>2549</v>
      </c>
      <c r="AH414" s="86" t="s">
        <v>2548</v>
      </c>
      <c r="AI414" s="69"/>
    </row>
    <row r="415" spans="1:35" ht="51" x14ac:dyDescent="0.3">
      <c r="A415" s="92" t="s">
        <v>2406</v>
      </c>
      <c r="B415" s="72">
        <v>94450</v>
      </c>
      <c r="C415" s="69" t="s">
        <v>1103</v>
      </c>
      <c r="D415" s="69" t="s">
        <v>2407</v>
      </c>
      <c r="E415" s="69">
        <v>1</v>
      </c>
      <c r="F415" s="69" t="s">
        <v>816</v>
      </c>
      <c r="G415" s="69">
        <v>4</v>
      </c>
      <c r="H415" s="69">
        <v>38862</v>
      </c>
      <c r="I415" s="69">
        <v>769</v>
      </c>
      <c r="J415" s="69" t="s">
        <v>300</v>
      </c>
      <c r="K415" s="69"/>
      <c r="L415" s="69" t="s">
        <v>2408</v>
      </c>
      <c r="M415" s="71">
        <v>43775</v>
      </c>
      <c r="N415" s="69" t="s">
        <v>71</v>
      </c>
      <c r="O415" s="71">
        <v>43776</v>
      </c>
      <c r="P415" s="69"/>
      <c r="Q415" s="69" t="s">
        <v>77</v>
      </c>
      <c r="R415" s="73" t="s">
        <v>2409</v>
      </c>
      <c r="S415" s="69">
        <v>971549</v>
      </c>
      <c r="T415" s="69"/>
      <c r="U415" s="69" t="s">
        <v>2424</v>
      </c>
      <c r="V415" s="69" t="s">
        <v>54</v>
      </c>
      <c r="W415" s="70">
        <v>69.36</v>
      </c>
      <c r="X415" s="69"/>
      <c r="Y415" s="70">
        <f>IFERROR(VLOOKUP(factures[[#This Row],[DT Prestation Amiante 2]],presta_amiante2[#Data],2,0),0)</f>
        <v>0</v>
      </c>
      <c r="Z415" s="69" t="s">
        <v>62</v>
      </c>
      <c r="AA415" s="70">
        <v>49.01</v>
      </c>
      <c r="AB415" s="69">
        <v>6</v>
      </c>
      <c r="AC415" s="69" t="s">
        <v>73</v>
      </c>
      <c r="AD415" s="70">
        <v>36.99</v>
      </c>
      <c r="AE415" s="70">
        <f>IFERROR(factures[[#This Row],[Plvts ]]*factures[[#This Row],[Prix Analyses]],0)</f>
        <v>221.94</v>
      </c>
      <c r="AF415" s="70">
        <f>factures[[#This Row],[Prix Prestation Amiante 1]]+factures[[#This Row],[Prix Prestation Amiante 2]]+factures[[#This Row],[Prix Prestation Gaz]]+factures[[#This Row],[Prix analyses HT]]</f>
        <v>340.31</v>
      </c>
      <c r="AG415" s="69" t="s">
        <v>2473</v>
      </c>
      <c r="AH415" s="86" t="s">
        <v>2462</v>
      </c>
      <c r="AI415" s="69"/>
    </row>
    <row r="416" spans="1:35" ht="48" x14ac:dyDescent="0.3">
      <c r="A416" s="92" t="s">
        <v>2390</v>
      </c>
      <c r="B416" s="72">
        <v>92100</v>
      </c>
      <c r="C416" s="69" t="s">
        <v>133</v>
      </c>
      <c r="D416" s="69" t="s">
        <v>849</v>
      </c>
      <c r="E416" s="69">
        <v>1</v>
      </c>
      <c r="F416" s="69" t="s">
        <v>816</v>
      </c>
      <c r="G416" s="69">
        <v>1</v>
      </c>
      <c r="H416" s="69">
        <v>60725</v>
      </c>
      <c r="I416" s="69">
        <v>753</v>
      </c>
      <c r="J416" s="69" t="s">
        <v>1923</v>
      </c>
      <c r="K416" s="69"/>
      <c r="L416" s="69" t="s">
        <v>2410</v>
      </c>
      <c r="M416" s="71">
        <v>43775</v>
      </c>
      <c r="N416" s="69" t="s">
        <v>83</v>
      </c>
      <c r="O416" s="71">
        <v>43787</v>
      </c>
      <c r="P416" s="69"/>
      <c r="Q416" s="69" t="s">
        <v>77</v>
      </c>
      <c r="R416" s="73" t="s">
        <v>2411</v>
      </c>
      <c r="S416" s="69">
        <v>970929</v>
      </c>
      <c r="T416" s="69"/>
      <c r="U416" s="69" t="s">
        <v>2457</v>
      </c>
      <c r="V416" s="69" t="s">
        <v>52</v>
      </c>
      <c r="W416" s="70">
        <f>IFERROR(VLOOKUP(factures[[#This Row],[DT Prestation Amiante 1]],presta_amiante1[#Data],2,0),0)</f>
        <v>76.760000000000005</v>
      </c>
      <c r="X416" s="69"/>
      <c r="Y416" s="70">
        <f>IFERROR(VLOOKUP(factures[[#This Row],[DT Prestation Amiante 2]],presta_amiante2[#Data],2,0),0)</f>
        <v>0</v>
      </c>
      <c r="Z416" s="69"/>
      <c r="AA416" s="70">
        <f>IFERROR(VLOOKUP(factures[[#This Row],[DT Prestation Gaz]],presta_gaz[#Data],2,0),0)</f>
        <v>0</v>
      </c>
      <c r="AB416" s="69">
        <v>1</v>
      </c>
      <c r="AC416" s="69" t="s">
        <v>73</v>
      </c>
      <c r="AD416" s="70">
        <f>IFERROR(VLOOKUP(factures[[#This Row],[DT Analyses]],DT_analyses[#Data],2,0),0)</f>
        <v>36.99</v>
      </c>
      <c r="AE416" s="70">
        <f>IFERROR(factures[[#This Row],[Plvts ]]*factures[[#This Row],[Prix Analyses]],0)</f>
        <v>36.99</v>
      </c>
      <c r="AF416" s="70">
        <f>factures[[#This Row],[Prix Prestation Amiante 1]]+factures[[#This Row],[Prix Prestation Amiante 2]]+factures[[#This Row],[Prix Prestation Gaz]]+factures[[#This Row],[Prix analyses HT]]</f>
        <v>113.75</v>
      </c>
      <c r="AG416" s="69" t="s">
        <v>2550</v>
      </c>
      <c r="AH416" s="86" t="s">
        <v>2548</v>
      </c>
      <c r="AI416" s="69"/>
    </row>
    <row r="417" spans="1:35" ht="40.799999999999997" x14ac:dyDescent="0.3">
      <c r="A417" s="92" t="s">
        <v>2412</v>
      </c>
      <c r="B417" s="72">
        <v>92260</v>
      </c>
      <c r="C417" s="69" t="s">
        <v>500</v>
      </c>
      <c r="D417" s="69" t="s">
        <v>584</v>
      </c>
      <c r="E417" s="69">
        <v>302</v>
      </c>
      <c r="F417" s="69">
        <v>3</v>
      </c>
      <c r="G417" s="69">
        <v>5</v>
      </c>
      <c r="H417" s="69">
        <v>63287</v>
      </c>
      <c r="I417" s="69">
        <v>9216</v>
      </c>
      <c r="J417" s="69" t="s">
        <v>2413</v>
      </c>
      <c r="K417" s="69"/>
      <c r="L417" s="69" t="s">
        <v>2414</v>
      </c>
      <c r="M417" s="71">
        <v>43775</v>
      </c>
      <c r="N417" s="69" t="s">
        <v>71</v>
      </c>
      <c r="O417" s="71">
        <v>43789</v>
      </c>
      <c r="P417" s="120"/>
      <c r="Q417" s="69" t="s">
        <v>77</v>
      </c>
      <c r="R417" s="73" t="s">
        <v>2415</v>
      </c>
      <c r="S417" s="69">
        <v>971604</v>
      </c>
      <c r="T417" s="69"/>
      <c r="U417" s="69" t="s">
        <v>2512</v>
      </c>
      <c r="V417" s="69" t="s">
        <v>54</v>
      </c>
      <c r="W417" s="70">
        <f>IFERROR(VLOOKUP(factures[[#This Row],[DT Prestation Amiante 1]],presta_amiante1[#Data],2,0),0)</f>
        <v>69.36</v>
      </c>
      <c r="X417" s="69"/>
      <c r="Y417" s="70">
        <f>IFERROR(VLOOKUP(factures[[#This Row],[DT Prestation Amiante 2]],presta_amiante2[#Data],2,0),0)</f>
        <v>0</v>
      </c>
      <c r="Z417" s="69" t="s">
        <v>62</v>
      </c>
      <c r="AA417" s="70">
        <f>IFERROR(VLOOKUP(factures[[#This Row],[DT Prestation Gaz]],presta_gaz[#Data],2,0),0)</f>
        <v>49.01</v>
      </c>
      <c r="AB417" s="69">
        <v>3</v>
      </c>
      <c r="AC417" s="69" t="s">
        <v>73</v>
      </c>
      <c r="AD417" s="70">
        <f>IFERROR(VLOOKUP(factures[[#This Row],[DT Analyses]],DT_analyses[#Data],2,0),0)</f>
        <v>36.99</v>
      </c>
      <c r="AE417" s="70">
        <f>IFERROR(factures[[#This Row],[Plvts ]]*factures[[#This Row],[Prix Analyses]],0)</f>
        <v>110.97</v>
      </c>
      <c r="AF417" s="70">
        <f>factures[[#This Row],[Prix Prestation Amiante 1]]+factures[[#This Row],[Prix Prestation Amiante 2]]+factures[[#This Row],[Prix Prestation Gaz]]+factures[[#This Row],[Prix analyses HT]]</f>
        <v>229.34</v>
      </c>
      <c r="AG417" s="69" t="s">
        <v>2539</v>
      </c>
      <c r="AH417" s="86" t="s">
        <v>2537</v>
      </c>
      <c r="AI417" s="69"/>
    </row>
    <row r="418" spans="1:35" ht="84" x14ac:dyDescent="0.3">
      <c r="A418" s="92" t="s">
        <v>2416</v>
      </c>
      <c r="B418" s="72">
        <v>92500</v>
      </c>
      <c r="C418" s="69" t="s">
        <v>265</v>
      </c>
      <c r="D418" s="69" t="s">
        <v>266</v>
      </c>
      <c r="E418" s="69">
        <v>401</v>
      </c>
      <c r="F418" s="69">
        <v>4</v>
      </c>
      <c r="G418" s="69">
        <v>4</v>
      </c>
      <c r="H418" s="69">
        <v>62876</v>
      </c>
      <c r="I418" s="69">
        <v>9210</v>
      </c>
      <c r="J418" s="69" t="s">
        <v>1982</v>
      </c>
      <c r="K418" s="69"/>
      <c r="L418" s="69" t="s">
        <v>2417</v>
      </c>
      <c r="M418" s="71">
        <v>43775</v>
      </c>
      <c r="N418" s="69" t="s">
        <v>70</v>
      </c>
      <c r="O418" s="69"/>
      <c r="P418" s="69"/>
      <c r="Q418" s="69" t="s">
        <v>67</v>
      </c>
      <c r="R418" s="73" t="s">
        <v>2411</v>
      </c>
      <c r="S418" s="69">
        <v>970931</v>
      </c>
      <c r="T418" s="69"/>
      <c r="U418" s="69"/>
      <c r="V418" s="69" t="s">
        <v>52</v>
      </c>
      <c r="W418" s="70">
        <f>IFERROR(VLOOKUP(factures[[#This Row],[DT Prestation Amiante 1]],presta_amiante1[#Data],2,0),0)</f>
        <v>76.760000000000005</v>
      </c>
      <c r="X418" s="69"/>
      <c r="Y418" s="70">
        <f>IFERROR(VLOOKUP(factures[[#This Row],[DT Prestation Amiante 2]],presta_amiante2[#Data],2,0),0)</f>
        <v>0</v>
      </c>
      <c r="Z418" s="69"/>
      <c r="AA418" s="70">
        <f>IFERROR(VLOOKUP(factures[[#This Row],[DT Prestation Gaz]],presta_gaz[#Data],2,0),0)</f>
        <v>0</v>
      </c>
      <c r="AB418" s="69"/>
      <c r="AC418" s="69" t="s">
        <v>73</v>
      </c>
      <c r="AD418" s="70">
        <f>IFERROR(VLOOKUP(factures[[#This Row],[DT Analyses]],DT_analyses[#Data],2,0),0)</f>
        <v>36.99</v>
      </c>
      <c r="AE418" s="70">
        <f>IFERROR(factures[[#This Row],[Plvts ]]*factures[[#This Row],[Prix Analyses]],0)</f>
        <v>0</v>
      </c>
      <c r="AF418" s="70">
        <f>factures[[#This Row],[Prix Prestation Amiante 1]]+factures[[#This Row],[Prix Prestation Amiante 2]]+factures[[#This Row],[Prix Prestation Gaz]]+factures[[#This Row],[Prix analyses HT]]</f>
        <v>76.760000000000005</v>
      </c>
      <c r="AG418" s="69"/>
      <c r="AH418" s="86"/>
      <c r="AI418" s="69"/>
    </row>
    <row r="419" spans="1:35" ht="72" x14ac:dyDescent="0.3">
      <c r="A419" s="92" t="s">
        <v>2418</v>
      </c>
      <c r="B419" s="72">
        <v>78540</v>
      </c>
      <c r="C419" s="69" t="s">
        <v>351</v>
      </c>
      <c r="D419" s="69" t="s">
        <v>1693</v>
      </c>
      <c r="E419" s="69">
        <v>101</v>
      </c>
      <c r="F419" s="69">
        <v>1</v>
      </c>
      <c r="G419" s="69">
        <v>3</v>
      </c>
      <c r="H419" s="69">
        <v>53110</v>
      </c>
      <c r="I419" s="69">
        <v>9700</v>
      </c>
      <c r="J419" s="69" t="s">
        <v>2207</v>
      </c>
      <c r="K419" s="69"/>
      <c r="L419" s="69" t="s">
        <v>2419</v>
      </c>
      <c r="M419" s="71">
        <v>43776</v>
      </c>
      <c r="N419" s="69" t="s">
        <v>84</v>
      </c>
      <c r="O419" s="71">
        <v>43781</v>
      </c>
      <c r="P419" s="69"/>
      <c r="Q419" s="69" t="s">
        <v>77</v>
      </c>
      <c r="R419" s="73" t="s">
        <v>2420</v>
      </c>
      <c r="S419" s="69">
        <v>971054</v>
      </c>
      <c r="T419" s="69"/>
      <c r="U419" s="69" t="s">
        <v>2425</v>
      </c>
      <c r="V419" s="69" t="s">
        <v>55</v>
      </c>
      <c r="W419" s="70">
        <v>55.49</v>
      </c>
      <c r="X419" s="69" t="s">
        <v>53</v>
      </c>
      <c r="Y419" s="70">
        <v>60.11</v>
      </c>
      <c r="Z419" s="69" t="s">
        <v>61</v>
      </c>
      <c r="AA419" s="70">
        <v>41.62</v>
      </c>
      <c r="AB419" s="69">
        <v>13</v>
      </c>
      <c r="AC419" s="69" t="s">
        <v>73</v>
      </c>
      <c r="AD419" s="70">
        <v>36.99</v>
      </c>
      <c r="AE419" s="70">
        <f>IFERROR(factures[[#This Row],[Plvts ]]*factures[[#This Row],[Prix Analyses]],0)</f>
        <v>480.87</v>
      </c>
      <c r="AF419" s="122">
        <f>factures[[#This Row],[Prix Prestation Amiante 1]]+factures[[#This Row],[Prix Prestation Amiante 2]]+factures[[#This Row],[Prix Prestation Gaz]]+factures[[#This Row],[Prix analyses HT]]</f>
        <v>638.09</v>
      </c>
      <c r="AG419" s="69" t="s">
        <v>2494</v>
      </c>
      <c r="AH419" s="86" t="s">
        <v>2485</v>
      </c>
      <c r="AI419" s="69"/>
    </row>
    <row r="420" spans="1:35" ht="36" x14ac:dyDescent="0.3">
      <c r="A420" s="92" t="s">
        <v>2427</v>
      </c>
      <c r="B420" s="72">
        <v>78200</v>
      </c>
      <c r="C420" s="69" t="s">
        <v>189</v>
      </c>
      <c r="D420" s="69" t="s">
        <v>1344</v>
      </c>
      <c r="E420" s="69">
        <v>2</v>
      </c>
      <c r="F420" s="69" t="s">
        <v>816</v>
      </c>
      <c r="G420" s="69">
        <v>2</v>
      </c>
      <c r="H420" s="69">
        <v>43410</v>
      </c>
      <c r="I420" s="69">
        <v>861</v>
      </c>
      <c r="J420" s="69" t="s">
        <v>1720</v>
      </c>
      <c r="K420" s="69" t="s">
        <v>2501</v>
      </c>
      <c r="L420" s="69" t="s">
        <v>2428</v>
      </c>
      <c r="M420" s="71">
        <v>43781</v>
      </c>
      <c r="N420" s="69" t="s">
        <v>84</v>
      </c>
      <c r="O420" s="71">
        <v>43794</v>
      </c>
      <c r="P420" s="69" t="s">
        <v>337</v>
      </c>
      <c r="Q420" s="69" t="s">
        <v>77</v>
      </c>
      <c r="R420" s="73" t="s">
        <v>2429</v>
      </c>
      <c r="S420" s="69">
        <v>972308</v>
      </c>
      <c r="T420" s="92" t="s">
        <v>2497</v>
      </c>
      <c r="U420" s="69" t="s">
        <v>2518</v>
      </c>
      <c r="V420" s="69" t="s">
        <v>55</v>
      </c>
      <c r="W420" s="70">
        <f>IFERROR(VLOOKUP(factures[[#This Row],[DT Prestation Amiante 1]],presta_amiante1[#Data],2,0),0)</f>
        <v>55.49</v>
      </c>
      <c r="X420" s="69" t="s">
        <v>53</v>
      </c>
      <c r="Y420" s="70">
        <f>IFERROR(VLOOKUP(factures[[#This Row],[DT Prestation Amiante 2]],presta_amiante2[#Data],2,0),0)</f>
        <v>60.11</v>
      </c>
      <c r="Z420" s="69" t="s">
        <v>61</v>
      </c>
      <c r="AA420" s="70">
        <f>IFERROR(VLOOKUP(factures[[#This Row],[DT Prestation Gaz]],presta_gaz[#Data],2,0),0)</f>
        <v>41.62</v>
      </c>
      <c r="AB420" s="69">
        <v>8</v>
      </c>
      <c r="AC420" s="69" t="s">
        <v>73</v>
      </c>
      <c r="AD420" s="70">
        <f>IFERROR(VLOOKUP(factures[[#This Row],[DT Analyses]],DT_analyses[#Data],2,0),0)</f>
        <v>36.99</v>
      </c>
      <c r="AE420" s="70">
        <f>IFERROR(factures[[#This Row],[Plvts ]]*factures[[#This Row],[Prix Analyses]],0)</f>
        <v>295.92</v>
      </c>
      <c r="AF420" s="70">
        <f>factures[[#This Row],[Prix Prestation Amiante 1]]+factures[[#This Row],[Prix Prestation Amiante 2]]+factures[[#This Row],[Prix Prestation Gaz]]+factures[[#This Row],[Prix analyses HT]]</f>
        <v>453.14</v>
      </c>
      <c r="AG420" s="69" t="s">
        <v>2551</v>
      </c>
      <c r="AH420" s="86" t="s">
        <v>2552</v>
      </c>
      <c r="AI420" s="69"/>
    </row>
    <row r="421" spans="1:35" ht="51" x14ac:dyDescent="0.3">
      <c r="A421" s="92" t="s">
        <v>2430</v>
      </c>
      <c r="B421" s="72">
        <v>92600</v>
      </c>
      <c r="C421" s="69" t="s">
        <v>609</v>
      </c>
      <c r="D421" s="69" t="s">
        <v>549</v>
      </c>
      <c r="E421" s="69">
        <v>14</v>
      </c>
      <c r="F421" s="69" t="s">
        <v>816</v>
      </c>
      <c r="G421" s="69">
        <v>1</v>
      </c>
      <c r="H421" s="69">
        <v>31457</v>
      </c>
      <c r="I421" s="69">
        <v>440</v>
      </c>
      <c r="J421" s="69" t="s">
        <v>621</v>
      </c>
      <c r="K421" s="69" t="s">
        <v>2478</v>
      </c>
      <c r="L421" s="69" t="s">
        <v>2431</v>
      </c>
      <c r="M421" s="71">
        <v>43783</v>
      </c>
      <c r="N421" s="69" t="s">
        <v>2482</v>
      </c>
      <c r="O421" s="71">
        <v>43787</v>
      </c>
      <c r="P421" s="69"/>
      <c r="Q421" s="69" t="s">
        <v>77</v>
      </c>
      <c r="R421" s="73" t="s">
        <v>2432</v>
      </c>
      <c r="S421" s="69">
        <v>972651</v>
      </c>
      <c r="T421" s="69"/>
      <c r="U421" s="69" t="s">
        <v>2483</v>
      </c>
      <c r="V421" s="69" t="s">
        <v>53</v>
      </c>
      <c r="W421" s="70">
        <f>IFERROR(VLOOKUP(factures[[#This Row],[DT Prestation Amiante 1]],presta_amiante1[#Data],2,0),0)</f>
        <v>60.11</v>
      </c>
      <c r="X421" s="69" t="s">
        <v>93</v>
      </c>
      <c r="Y421" s="70">
        <f>IFERROR(VLOOKUP(factures[[#This Row],[DT Prestation Amiante 2]],presta_amiante2[#Data],2,0),0)</f>
        <v>80.459999999999994</v>
      </c>
      <c r="Z421" s="69"/>
      <c r="AA421" s="70">
        <f>IFERROR(VLOOKUP(factures[[#This Row],[DT Prestation Gaz]],presta_gaz[#Data],2,0),0)</f>
        <v>0</v>
      </c>
      <c r="AB421" s="69">
        <v>5</v>
      </c>
      <c r="AC421" s="69" t="s">
        <v>73</v>
      </c>
      <c r="AD421" s="70">
        <f>IFERROR(VLOOKUP(factures[[#This Row],[DT Analyses]],DT_analyses[#Data],2,0),0)</f>
        <v>36.99</v>
      </c>
      <c r="AE421" s="70">
        <f>IFERROR(factures[[#This Row],[Plvts ]]*factures[[#This Row],[Prix Analyses]],0)</f>
        <v>184.95000000000002</v>
      </c>
      <c r="AF421" s="70">
        <f>factures[[#This Row],[Prix Prestation Amiante 1]]+factures[[#This Row],[Prix Prestation Amiante 2]]+factures[[#This Row],[Prix Prestation Gaz]]+factures[[#This Row],[Prix analyses HT]]</f>
        <v>325.52</v>
      </c>
      <c r="AG421" s="69" t="s">
        <v>2540</v>
      </c>
      <c r="AH421" s="86" t="s">
        <v>2537</v>
      </c>
      <c r="AI421" s="69"/>
    </row>
    <row r="422" spans="1:35" ht="48" x14ac:dyDescent="0.3">
      <c r="A422" s="69" t="s">
        <v>548</v>
      </c>
      <c r="B422" s="72">
        <v>92600</v>
      </c>
      <c r="C422" s="69" t="s">
        <v>609</v>
      </c>
      <c r="D422" s="69" t="s">
        <v>549</v>
      </c>
      <c r="E422" s="69">
        <v>602</v>
      </c>
      <c r="F422" s="69">
        <v>6</v>
      </c>
      <c r="G422" s="69">
        <v>3</v>
      </c>
      <c r="H422" s="69">
        <v>31378</v>
      </c>
      <c r="I422" s="69">
        <v>440</v>
      </c>
      <c r="J422" s="69" t="s">
        <v>2433</v>
      </c>
      <c r="K422" s="69" t="s">
        <v>2478</v>
      </c>
      <c r="L422" s="69" t="s">
        <v>2434</v>
      </c>
      <c r="M422" s="71">
        <v>43783</v>
      </c>
      <c r="N422" s="69" t="s">
        <v>72</v>
      </c>
      <c r="O422" s="71">
        <v>43787</v>
      </c>
      <c r="P422" s="69"/>
      <c r="Q422" s="69" t="s">
        <v>67</v>
      </c>
      <c r="R422" s="73"/>
      <c r="S422" s="69">
        <v>972641</v>
      </c>
      <c r="T422" s="69"/>
      <c r="U422" s="69"/>
      <c r="V422" s="69"/>
      <c r="W422" s="70">
        <f>IFERROR(VLOOKUP(factures[[#This Row],[DT Prestation Amiante 1]],presta_amiante1[#Data],2,0),0)</f>
        <v>0</v>
      </c>
      <c r="X422" s="69"/>
      <c r="Y422" s="70">
        <f>IFERROR(VLOOKUP(factures[[#This Row],[DT Prestation Amiante 2]],presta_amiante2[#Data],2,0),0)</f>
        <v>0</v>
      </c>
      <c r="Z422" s="69" t="s">
        <v>61</v>
      </c>
      <c r="AA422" s="70">
        <f>IFERROR(VLOOKUP(factures[[#This Row],[DT Prestation Gaz]],presta_gaz[#Data],2,0),0)</f>
        <v>41.62</v>
      </c>
      <c r="AB422" s="69"/>
      <c r="AC422" s="69"/>
      <c r="AD422" s="70">
        <f>IFERROR(VLOOKUP(factures[[#This Row],[DT Analyses]],DT_analyses[#Data],2,0),0)</f>
        <v>0</v>
      </c>
      <c r="AE422" s="70">
        <f>IFERROR(factures[[#This Row],[Plvts ]]*factures[[#This Row],[Prix Analyses]],0)</f>
        <v>0</v>
      </c>
      <c r="AF422" s="70">
        <f>factures[[#This Row],[Prix Prestation Amiante 1]]+factures[[#This Row],[Prix Prestation Amiante 2]]+factures[[#This Row],[Prix Prestation Gaz]]+factures[[#This Row],[Prix analyses HT]]</f>
        <v>41.62</v>
      </c>
      <c r="AG422" s="69"/>
      <c r="AH422" s="86"/>
      <c r="AI422" s="69"/>
    </row>
    <row r="423" spans="1:35" ht="72" x14ac:dyDescent="0.3">
      <c r="A423" s="92" t="s">
        <v>2435</v>
      </c>
      <c r="B423" s="72">
        <v>78540</v>
      </c>
      <c r="C423" s="69" t="s">
        <v>351</v>
      </c>
      <c r="D423" s="69" t="s">
        <v>460</v>
      </c>
      <c r="E423" s="69">
        <v>2</v>
      </c>
      <c r="F423" s="69" t="s">
        <v>816</v>
      </c>
      <c r="G423" s="69">
        <v>3</v>
      </c>
      <c r="H423" s="69">
        <v>52919</v>
      </c>
      <c r="I423" s="69">
        <v>9700</v>
      </c>
      <c r="J423" s="69" t="s">
        <v>2207</v>
      </c>
      <c r="K423" s="69"/>
      <c r="L423" s="69" t="s">
        <v>2436</v>
      </c>
      <c r="M423" s="71">
        <v>43783</v>
      </c>
      <c r="N423" s="69" t="s">
        <v>84</v>
      </c>
      <c r="O423" s="71">
        <v>43784</v>
      </c>
      <c r="P423" s="69"/>
      <c r="Q423" s="69" t="s">
        <v>77</v>
      </c>
      <c r="R423" s="73" t="s">
        <v>2437</v>
      </c>
      <c r="S423" s="69">
        <v>972622</v>
      </c>
      <c r="T423" s="69"/>
      <c r="U423" s="69" t="s">
        <v>2441</v>
      </c>
      <c r="V423" s="69" t="s">
        <v>55</v>
      </c>
      <c r="W423" s="70">
        <f>IFERROR(VLOOKUP(factures[[#This Row],[DT Prestation Amiante 1]],presta_amiante1[#Data],2,0),0)</f>
        <v>55.49</v>
      </c>
      <c r="X423" s="69" t="s">
        <v>53</v>
      </c>
      <c r="Y423" s="70">
        <f>IFERROR(VLOOKUP(factures[[#This Row],[DT Prestation Amiante 2]],presta_amiante2[#Data],2,0),0)</f>
        <v>60.11</v>
      </c>
      <c r="Z423" s="69" t="s">
        <v>61</v>
      </c>
      <c r="AA423" s="70">
        <f>IFERROR(VLOOKUP(factures[[#This Row],[DT Prestation Gaz]],presta_gaz[#Data],2,0),0)</f>
        <v>41.62</v>
      </c>
      <c r="AB423" s="69">
        <v>4</v>
      </c>
      <c r="AC423" s="69" t="s">
        <v>73</v>
      </c>
      <c r="AD423" s="70">
        <f>IFERROR(VLOOKUP(factures[[#This Row],[DT Analyses]],DT_analyses[#Data],2,0),0)</f>
        <v>36.99</v>
      </c>
      <c r="AE423" s="70">
        <f>IFERROR(factures[[#This Row],[Plvts ]]*factures[[#This Row],[Prix Analyses]],0)</f>
        <v>147.96</v>
      </c>
      <c r="AF423" s="70">
        <f>factures[[#This Row],[Prix Prestation Amiante 1]]+factures[[#This Row],[Prix Prestation Amiante 2]]+factures[[#This Row],[Prix Prestation Gaz]]+factures[[#This Row],[Prix analyses HT]]</f>
        <v>305.18</v>
      </c>
      <c r="AG423" s="69" t="s">
        <v>2523</v>
      </c>
      <c r="AH423" s="86" t="s">
        <v>2522</v>
      </c>
      <c r="AI423" s="69"/>
    </row>
    <row r="424" spans="1:35" ht="36" x14ac:dyDescent="0.3">
      <c r="A424" s="92" t="s">
        <v>2438</v>
      </c>
      <c r="B424" s="72">
        <v>78200</v>
      </c>
      <c r="C424" s="69" t="s">
        <v>189</v>
      </c>
      <c r="D424" s="69" t="s">
        <v>813</v>
      </c>
      <c r="E424" s="69">
        <v>303</v>
      </c>
      <c r="F424" s="69">
        <v>3</v>
      </c>
      <c r="G424" s="69">
        <v>3</v>
      </c>
      <c r="H424" s="69">
        <v>11126</v>
      </c>
      <c r="I424" s="69">
        <v>166</v>
      </c>
      <c r="J424" s="69" t="s">
        <v>1537</v>
      </c>
      <c r="K424" s="69"/>
      <c r="L424" s="69" t="s">
        <v>2439</v>
      </c>
      <c r="M424" s="71">
        <v>43783</v>
      </c>
      <c r="N424" s="69" t="s">
        <v>84</v>
      </c>
      <c r="O424" s="71">
        <v>43784</v>
      </c>
      <c r="P424" s="69"/>
      <c r="Q424" s="69" t="s">
        <v>77</v>
      </c>
      <c r="R424" s="73" t="s">
        <v>2440</v>
      </c>
      <c r="S424" s="69">
        <v>972511</v>
      </c>
      <c r="T424" s="69"/>
      <c r="U424" s="69" t="s">
        <v>2442</v>
      </c>
      <c r="V424" s="69" t="s">
        <v>55</v>
      </c>
      <c r="W424" s="70">
        <f>IFERROR(VLOOKUP(factures[[#This Row],[DT Prestation Amiante 1]],presta_amiante1[#Data],2,0),0)</f>
        <v>55.49</v>
      </c>
      <c r="X424" s="69" t="s">
        <v>53</v>
      </c>
      <c r="Y424" s="70">
        <f>IFERROR(VLOOKUP(factures[[#This Row],[DT Prestation Amiante 2]],presta_amiante2[#Data],2,0),0)</f>
        <v>60.11</v>
      </c>
      <c r="Z424" s="69" t="s">
        <v>61</v>
      </c>
      <c r="AA424" s="70">
        <f>IFERROR(VLOOKUP(factures[[#This Row],[DT Prestation Gaz]],presta_gaz[#Data],2,0),0)</f>
        <v>41.62</v>
      </c>
      <c r="AB424" s="69">
        <v>6</v>
      </c>
      <c r="AC424" s="69" t="s">
        <v>73</v>
      </c>
      <c r="AD424" s="70">
        <f>IFERROR(VLOOKUP(factures[[#This Row],[DT Analyses]],DT_analyses[#Data],2,0),0)</f>
        <v>36.99</v>
      </c>
      <c r="AE424" s="70">
        <f>IFERROR(factures[[#This Row],[Plvts ]]*factures[[#This Row],[Prix Analyses]],0)</f>
        <v>221.94</v>
      </c>
      <c r="AF424" s="70">
        <f>factures[[#This Row],[Prix Prestation Amiante 1]]+factures[[#This Row],[Prix Prestation Amiante 2]]+factures[[#This Row],[Prix Prestation Gaz]]+factures[[#This Row],[Prix analyses HT]]</f>
        <v>379.15999999999997</v>
      </c>
      <c r="AG424" s="69" t="s">
        <v>2524</v>
      </c>
      <c r="AH424" s="86" t="s">
        <v>2522</v>
      </c>
      <c r="AI424" s="69"/>
    </row>
    <row r="425" spans="1:35" ht="48" x14ac:dyDescent="0.3">
      <c r="A425" s="92" t="s">
        <v>2452</v>
      </c>
      <c r="B425" s="72">
        <v>78260</v>
      </c>
      <c r="C425" s="69" t="s">
        <v>1082</v>
      </c>
      <c r="D425" s="69" t="s">
        <v>2453</v>
      </c>
      <c r="E425" s="69">
        <v>101</v>
      </c>
      <c r="F425" s="69">
        <v>1</v>
      </c>
      <c r="G425" s="69">
        <v>2</v>
      </c>
      <c r="H425" s="69">
        <v>46027</v>
      </c>
      <c r="I425" s="69">
        <v>942</v>
      </c>
      <c r="J425" s="69" t="s">
        <v>2454</v>
      </c>
      <c r="K425" s="69" t="s">
        <v>2500</v>
      </c>
      <c r="L425" s="69" t="s">
        <v>2455</v>
      </c>
      <c r="M425" s="71">
        <v>43787</v>
      </c>
      <c r="N425" s="69" t="s">
        <v>84</v>
      </c>
      <c r="O425" s="71">
        <v>43794</v>
      </c>
      <c r="P425" s="69">
        <v>9</v>
      </c>
      <c r="Q425" s="69" t="s">
        <v>77</v>
      </c>
      <c r="R425" s="73" t="s">
        <v>2456</v>
      </c>
      <c r="S425" s="69">
        <v>973202</v>
      </c>
      <c r="T425" s="69"/>
      <c r="U425" s="69" t="s">
        <v>2519</v>
      </c>
      <c r="V425" s="69" t="s">
        <v>55</v>
      </c>
      <c r="W425" s="70">
        <f>IFERROR(VLOOKUP(factures[[#This Row],[DT Prestation Amiante 1]],presta_amiante1[#Data],2,0),0)</f>
        <v>55.49</v>
      </c>
      <c r="X425" s="69" t="s">
        <v>53</v>
      </c>
      <c r="Y425" s="70">
        <f>IFERROR(VLOOKUP(factures[[#This Row],[DT Prestation Amiante 2]],presta_amiante2[#Data],2,0),0)</f>
        <v>60.11</v>
      </c>
      <c r="Z425" s="69" t="s">
        <v>61</v>
      </c>
      <c r="AA425" s="70">
        <f>IFERROR(VLOOKUP(factures[[#This Row],[DT Prestation Gaz]],presta_gaz[#Data],2,0),0)</f>
        <v>41.62</v>
      </c>
      <c r="AB425" s="69">
        <v>5</v>
      </c>
      <c r="AC425" s="69" t="s">
        <v>73</v>
      </c>
      <c r="AD425" s="70">
        <f>IFERROR(VLOOKUP(factures[[#This Row],[DT Analyses]],DT_analyses[#Data],2,0),0)</f>
        <v>36.99</v>
      </c>
      <c r="AE425" s="70">
        <f>IFERROR(factures[[#This Row],[Plvts ]]*factures[[#This Row],[Prix Analyses]],0)</f>
        <v>184.95000000000002</v>
      </c>
      <c r="AF425" s="70">
        <f>factures[[#This Row],[Prix Prestation Amiante 1]]+factures[[#This Row],[Prix Prestation Amiante 2]]+factures[[#This Row],[Prix Prestation Gaz]]+factures[[#This Row],[Prix analyses HT]]</f>
        <v>342.17</v>
      </c>
      <c r="AG425" s="69" t="s">
        <v>2553</v>
      </c>
      <c r="AH425" s="86" t="s">
        <v>2552</v>
      </c>
      <c r="AI425" s="69"/>
    </row>
    <row r="426" spans="1:35" ht="84" x14ac:dyDescent="0.3">
      <c r="A426" s="92" t="s">
        <v>2458</v>
      </c>
      <c r="B426" s="72">
        <v>78540</v>
      </c>
      <c r="C426" s="69" t="s">
        <v>351</v>
      </c>
      <c r="D426" s="69" t="s">
        <v>460</v>
      </c>
      <c r="E426" s="69">
        <v>102</v>
      </c>
      <c r="F426" s="69">
        <v>1</v>
      </c>
      <c r="G426" s="69">
        <v>3</v>
      </c>
      <c r="H426" s="69">
        <v>53121</v>
      </c>
      <c r="I426" s="69">
        <v>9700</v>
      </c>
      <c r="J426" s="69" t="s">
        <v>2516</v>
      </c>
      <c r="K426" s="69"/>
      <c r="L426" s="69" t="s">
        <v>2459</v>
      </c>
      <c r="M426" s="71">
        <v>43787</v>
      </c>
      <c r="N426" s="69" t="s">
        <v>84</v>
      </c>
      <c r="O426" s="69"/>
      <c r="P426" s="69"/>
      <c r="Q426" s="69" t="s">
        <v>77</v>
      </c>
      <c r="R426" s="73" t="s">
        <v>2460</v>
      </c>
      <c r="S426" s="69">
        <v>973093</v>
      </c>
      <c r="T426" s="69"/>
      <c r="U426" s="69" t="s">
        <v>2520</v>
      </c>
      <c r="V426" s="69" t="s">
        <v>55</v>
      </c>
      <c r="W426" s="70">
        <f>IFERROR(VLOOKUP(factures[[#This Row],[DT Prestation Amiante 1]],presta_amiante1[#Data],2,0),0)</f>
        <v>55.49</v>
      </c>
      <c r="X426" s="69" t="s">
        <v>53</v>
      </c>
      <c r="Y426" s="70">
        <f>IFERROR(VLOOKUP(factures[[#This Row],[DT Prestation Amiante 2]],presta_amiante2[#Data],2,0),0)</f>
        <v>60.11</v>
      </c>
      <c r="Z426" s="69" t="s">
        <v>61</v>
      </c>
      <c r="AA426" s="70">
        <f>IFERROR(VLOOKUP(factures[[#This Row],[DT Prestation Gaz]],presta_gaz[#Data],2,0),0)</f>
        <v>41.62</v>
      </c>
      <c r="AB426" s="69">
        <v>10</v>
      </c>
      <c r="AC426" s="69" t="s">
        <v>73</v>
      </c>
      <c r="AD426" s="70">
        <f>IFERROR(VLOOKUP(factures[[#This Row],[DT Analyses]],DT_analyses[#Data],2,0),0)</f>
        <v>36.99</v>
      </c>
      <c r="AE426" s="70">
        <f>IFERROR(factures[[#This Row],[Plvts ]]*factures[[#This Row],[Prix Analyses]],0)</f>
        <v>369.90000000000003</v>
      </c>
      <c r="AF426" s="70">
        <f>factures[[#This Row],[Prix Prestation Amiante 1]]+factures[[#This Row],[Prix Prestation Amiante 2]]+factures[[#This Row],[Prix Prestation Gaz]]+factures[[#This Row],[Prix analyses HT]]</f>
        <v>527.12</v>
      </c>
      <c r="AG426" s="69" t="s">
        <v>2584</v>
      </c>
      <c r="AH426" s="86" t="s">
        <v>2582</v>
      </c>
      <c r="AI426" s="69"/>
    </row>
    <row r="427" spans="1:35" ht="36" x14ac:dyDescent="0.3">
      <c r="A427" s="92" t="s">
        <v>2476</v>
      </c>
      <c r="B427" s="72">
        <v>92140</v>
      </c>
      <c r="C427" s="69" t="s">
        <v>2292</v>
      </c>
      <c r="D427" s="69" t="s">
        <v>2293</v>
      </c>
      <c r="E427" s="69">
        <v>1</v>
      </c>
      <c r="F427" s="69" t="s">
        <v>816</v>
      </c>
      <c r="G427" s="69">
        <v>4</v>
      </c>
      <c r="H427" s="69">
        <v>1120</v>
      </c>
      <c r="I427" s="69">
        <v>35</v>
      </c>
      <c r="J427" s="69" t="s">
        <v>1859</v>
      </c>
      <c r="K427" s="69"/>
      <c r="L427" s="69" t="s">
        <v>2477</v>
      </c>
      <c r="M427" s="71">
        <v>43788</v>
      </c>
      <c r="N427" s="69" t="s">
        <v>70</v>
      </c>
      <c r="O427" s="71">
        <v>43791</v>
      </c>
      <c r="P427" s="69" t="s">
        <v>2499</v>
      </c>
      <c r="Q427" s="69" t="s">
        <v>77</v>
      </c>
      <c r="R427" s="73" t="s">
        <v>2498</v>
      </c>
      <c r="S427" s="69">
        <v>973500</v>
      </c>
      <c r="T427" s="69"/>
      <c r="U427" s="69" t="s">
        <v>2515</v>
      </c>
      <c r="V427" s="69" t="s">
        <v>54</v>
      </c>
      <c r="W427" s="70">
        <f>IFERROR(VLOOKUP(factures[[#This Row],[DT Prestation Amiante 1]],presta_amiante1[#Data],2,0),0)</f>
        <v>69.36</v>
      </c>
      <c r="X427" s="69"/>
      <c r="Y427" s="70">
        <f>IFERROR(VLOOKUP(factures[[#This Row],[DT Prestation Amiante 2]],presta_amiante2[#Data],2,0),0)</f>
        <v>0</v>
      </c>
      <c r="Z427" s="69"/>
      <c r="AA427" s="70">
        <f>IFERROR(VLOOKUP(factures[[#This Row],[DT Prestation Gaz]],presta_gaz[#Data],2,0),0)</f>
        <v>0</v>
      </c>
      <c r="AB427" s="69">
        <v>4</v>
      </c>
      <c r="AC427" s="69" t="s">
        <v>73</v>
      </c>
      <c r="AD427" s="70">
        <f>IFERROR(VLOOKUP(factures[[#This Row],[DT Analyses]],DT_analyses[#Data],2,0),0)</f>
        <v>36.99</v>
      </c>
      <c r="AE427" s="70">
        <f>IFERROR(factures[[#This Row],[Plvts ]]*factures[[#This Row],[Prix Analyses]],0)</f>
        <v>147.96</v>
      </c>
      <c r="AF427" s="70">
        <f>factures[[#This Row],[Prix Prestation Amiante 1]]+factures[[#This Row],[Prix Prestation Amiante 2]]+factures[[#This Row],[Prix Prestation Gaz]]+factures[[#This Row],[Prix analyses HT]]</f>
        <v>217.32</v>
      </c>
      <c r="AG427" s="69" t="s">
        <v>2585</v>
      </c>
      <c r="AH427" s="86" t="s">
        <v>2582</v>
      </c>
      <c r="AI427" s="69"/>
    </row>
    <row r="428" spans="1:35" ht="84" x14ac:dyDescent="0.3">
      <c r="A428" s="92" t="s">
        <v>2479</v>
      </c>
      <c r="B428" s="72">
        <v>78540</v>
      </c>
      <c r="C428" s="69" t="s">
        <v>351</v>
      </c>
      <c r="D428" s="69" t="s">
        <v>460</v>
      </c>
      <c r="E428" s="69">
        <v>101</v>
      </c>
      <c r="F428" s="69">
        <v>1</v>
      </c>
      <c r="G428" s="69">
        <v>3</v>
      </c>
      <c r="H428" s="69">
        <v>53050</v>
      </c>
      <c r="I428" s="69">
        <v>9700</v>
      </c>
      <c r="J428" s="69" t="s">
        <v>2516</v>
      </c>
      <c r="K428" s="69"/>
      <c r="L428" s="69" t="s">
        <v>2480</v>
      </c>
      <c r="M428" s="71">
        <v>43789</v>
      </c>
      <c r="N428" s="69" t="s">
        <v>84</v>
      </c>
      <c r="O428" s="71">
        <v>43801</v>
      </c>
      <c r="P428" s="69" t="s">
        <v>131</v>
      </c>
      <c r="Q428" s="69" t="s">
        <v>77</v>
      </c>
      <c r="R428" s="73" t="s">
        <v>2481</v>
      </c>
      <c r="S428" s="69">
        <v>973590</v>
      </c>
      <c r="T428" s="69"/>
      <c r="U428" s="69" t="s">
        <v>2556</v>
      </c>
      <c r="V428" s="69" t="s">
        <v>55</v>
      </c>
      <c r="W428" s="70">
        <f>IFERROR(VLOOKUP(factures[[#This Row],[DT Prestation Amiante 1]],presta_amiante1[#Data],2,0),0)</f>
        <v>55.49</v>
      </c>
      <c r="X428" s="69" t="s">
        <v>53</v>
      </c>
      <c r="Y428" s="70">
        <f>IFERROR(VLOOKUP(factures[[#This Row],[DT Prestation Amiante 2]],presta_amiante2[#Data],2,0),0)</f>
        <v>60.11</v>
      </c>
      <c r="Z428" s="69" t="s">
        <v>61</v>
      </c>
      <c r="AA428" s="70">
        <f>IFERROR(VLOOKUP(factures[[#This Row],[DT Prestation Gaz]],presta_gaz[#Data],2,0),0)</f>
        <v>41.62</v>
      </c>
      <c r="AB428" s="69">
        <v>10</v>
      </c>
      <c r="AC428" s="69" t="s">
        <v>73</v>
      </c>
      <c r="AD428" s="70">
        <f>IFERROR(VLOOKUP(factures[[#This Row],[DT Analyses]],DT_analyses[#Data],2,0),0)</f>
        <v>36.99</v>
      </c>
      <c r="AE428" s="70">
        <f>IFERROR(factures[[#This Row],[Plvts ]]*factures[[#This Row],[Prix Analyses]],0)</f>
        <v>369.90000000000003</v>
      </c>
      <c r="AF428" s="70">
        <f>factures[[#This Row],[Prix Prestation Amiante 1]]+factures[[#This Row],[Prix Prestation Amiante 2]]+factures[[#This Row],[Prix Prestation Gaz]]+factures[[#This Row],[Prix analyses HT]]</f>
        <v>527.12</v>
      </c>
      <c r="AG428" s="69" t="s">
        <v>2598</v>
      </c>
      <c r="AH428" s="86" t="s">
        <v>2593</v>
      </c>
      <c r="AI428" s="69"/>
    </row>
    <row r="429" spans="1:35" ht="72" x14ac:dyDescent="0.3">
      <c r="A429" s="92" t="s">
        <v>132</v>
      </c>
      <c r="B429" s="72">
        <v>92100</v>
      </c>
      <c r="C429" s="69" t="s">
        <v>133</v>
      </c>
      <c r="D429" s="69" t="s">
        <v>134</v>
      </c>
      <c r="E429" s="69">
        <v>15</v>
      </c>
      <c r="F429" s="69">
        <v>1</v>
      </c>
      <c r="G429" s="69">
        <v>3</v>
      </c>
      <c r="H429" s="69">
        <v>60807</v>
      </c>
      <c r="I429" s="69">
        <v>753</v>
      </c>
      <c r="J429" s="69" t="s">
        <v>2503</v>
      </c>
      <c r="K429" s="69"/>
      <c r="L429" s="69" t="s">
        <v>2509</v>
      </c>
      <c r="M429" s="71">
        <v>43790</v>
      </c>
      <c r="N429" s="69" t="s">
        <v>86</v>
      </c>
      <c r="O429" s="71">
        <v>43796</v>
      </c>
      <c r="P429" s="69"/>
      <c r="Q429" s="69" t="s">
        <v>77</v>
      </c>
      <c r="R429" s="73" t="s">
        <v>2502</v>
      </c>
      <c r="S429" s="69">
        <v>973929</v>
      </c>
      <c r="T429" s="69"/>
      <c r="U429" s="69" t="s">
        <v>2533</v>
      </c>
      <c r="V429" s="69" t="s">
        <v>52</v>
      </c>
      <c r="W429" s="70">
        <f>IFERROR(VLOOKUP(factures[[#This Row],[DT Prestation Amiante 1]],presta_amiante1[#Data],2,0),0)</f>
        <v>76.760000000000005</v>
      </c>
      <c r="X429" s="69"/>
      <c r="Y429" s="70">
        <f>IFERROR(VLOOKUP(factures[[#This Row],[DT Prestation Amiante 2]],presta_amiante2[#Data],2,0),0)</f>
        <v>0</v>
      </c>
      <c r="Z429" s="69"/>
      <c r="AA429" s="70">
        <f>IFERROR(VLOOKUP(factures[[#This Row],[DT Prestation Gaz]],presta_gaz[#Data],2,0),0)</f>
        <v>0</v>
      </c>
      <c r="AB429" s="69">
        <v>1</v>
      </c>
      <c r="AC429" s="69" t="s">
        <v>73</v>
      </c>
      <c r="AD429" s="70">
        <f>IFERROR(VLOOKUP(factures[[#This Row],[DT Analyses]],DT_analyses[#Data],2,0),0)</f>
        <v>36.99</v>
      </c>
      <c r="AE429" s="70">
        <f>IFERROR(factures[[#This Row],[Plvts ]]*factures[[#This Row],[Prix Analyses]],0)</f>
        <v>36.99</v>
      </c>
      <c r="AF429" s="70">
        <f>factures[[#This Row],[Prix Prestation Amiante 1]]+factures[[#This Row],[Prix Prestation Amiante 2]]+factures[[#This Row],[Prix Prestation Gaz]]+factures[[#This Row],[Prix analyses HT]]</f>
        <v>113.75</v>
      </c>
      <c r="AG429" s="69" t="s">
        <v>2586</v>
      </c>
      <c r="AH429" s="86" t="s">
        <v>2582</v>
      </c>
      <c r="AI429" s="69"/>
    </row>
    <row r="430" spans="1:35" ht="72" x14ac:dyDescent="0.3">
      <c r="A430" s="92" t="s">
        <v>1470</v>
      </c>
      <c r="B430" s="72">
        <v>92100</v>
      </c>
      <c r="C430" s="69" t="s">
        <v>133</v>
      </c>
      <c r="D430" s="69" t="s">
        <v>134</v>
      </c>
      <c r="E430" s="69">
        <v>16</v>
      </c>
      <c r="F430" s="69">
        <v>1</v>
      </c>
      <c r="G430" s="69">
        <v>1</v>
      </c>
      <c r="H430" s="69">
        <v>60734</v>
      </c>
      <c r="I430" s="69"/>
      <c r="J430" s="69" t="s">
        <v>2503</v>
      </c>
      <c r="K430" s="69"/>
      <c r="L430" s="69" t="s">
        <v>2507</v>
      </c>
      <c r="M430" s="71">
        <v>43790</v>
      </c>
      <c r="N430" s="69" t="s">
        <v>86</v>
      </c>
      <c r="O430" s="71">
        <v>43796</v>
      </c>
      <c r="P430" s="69"/>
      <c r="Q430" s="69" t="s">
        <v>77</v>
      </c>
      <c r="R430" s="73" t="s">
        <v>2508</v>
      </c>
      <c r="S430" s="69">
        <v>973918</v>
      </c>
      <c r="T430" s="69"/>
      <c r="U430" s="69" t="s">
        <v>2534</v>
      </c>
      <c r="V430" s="69" t="s">
        <v>52</v>
      </c>
      <c r="W430" s="70">
        <f>IFERROR(VLOOKUP(factures[[#This Row],[DT Prestation Amiante 1]],presta_amiante1[#Data],2,0),0)</f>
        <v>76.760000000000005</v>
      </c>
      <c r="X430" s="69"/>
      <c r="Y430" s="70">
        <f>IFERROR(VLOOKUP(factures[[#This Row],[DT Prestation Amiante 2]],presta_amiante2[#Data],2,0),0)</f>
        <v>0</v>
      </c>
      <c r="Z430" s="69"/>
      <c r="AA430" s="70">
        <f>IFERROR(VLOOKUP(factures[[#This Row],[DT Prestation Gaz]],presta_gaz[#Data],2,0),0)</f>
        <v>0</v>
      </c>
      <c r="AB430" s="69">
        <v>1</v>
      </c>
      <c r="AC430" s="69" t="s">
        <v>73</v>
      </c>
      <c r="AD430" s="70">
        <f>IFERROR(VLOOKUP(factures[[#This Row],[DT Analyses]],DT_analyses[#Data],2,0),0)</f>
        <v>36.99</v>
      </c>
      <c r="AE430" s="70">
        <f>IFERROR(factures[[#This Row],[Plvts ]]*factures[[#This Row],[Prix Analyses]],0)</f>
        <v>36.99</v>
      </c>
      <c r="AF430" s="70">
        <f>factures[[#This Row],[Prix Prestation Amiante 1]]+factures[[#This Row],[Prix Prestation Amiante 2]]+factures[[#This Row],[Prix Prestation Gaz]]+factures[[#This Row],[Prix analyses HT]]</f>
        <v>113.75</v>
      </c>
      <c r="AG430" s="69" t="s">
        <v>2587</v>
      </c>
      <c r="AH430" s="86" t="s">
        <v>2582</v>
      </c>
      <c r="AI430" s="69"/>
    </row>
    <row r="431" spans="1:35" ht="40.799999999999997" x14ac:dyDescent="0.3">
      <c r="A431" s="92" t="s">
        <v>2504</v>
      </c>
      <c r="B431" s="72">
        <v>92500</v>
      </c>
      <c r="C431" s="69" t="s">
        <v>265</v>
      </c>
      <c r="D431" s="69" t="s">
        <v>2505</v>
      </c>
      <c r="E431" s="69">
        <v>1</v>
      </c>
      <c r="F431" s="69" t="s">
        <v>102</v>
      </c>
      <c r="G431" s="69">
        <v>3</v>
      </c>
      <c r="H431" s="69">
        <v>64397</v>
      </c>
      <c r="I431" s="69">
        <v>9211</v>
      </c>
      <c r="J431" s="69" t="s">
        <v>2543</v>
      </c>
      <c r="K431" s="69"/>
      <c r="L431" s="69" t="s">
        <v>2506</v>
      </c>
      <c r="M431" s="71">
        <v>43790</v>
      </c>
      <c r="N431" s="69" t="s">
        <v>86</v>
      </c>
      <c r="O431" s="69"/>
      <c r="P431" s="69"/>
      <c r="Q431" s="69" t="s">
        <v>67</v>
      </c>
      <c r="R431" s="73" t="s">
        <v>2502</v>
      </c>
      <c r="S431" s="69">
        <v>973934</v>
      </c>
      <c r="T431" s="69"/>
      <c r="U431" s="69"/>
      <c r="V431" s="69" t="s">
        <v>52</v>
      </c>
      <c r="W431" s="70">
        <f>IFERROR(VLOOKUP(factures[[#This Row],[DT Prestation Amiante 1]],presta_amiante1[#Data],2,0),0)</f>
        <v>76.760000000000005</v>
      </c>
      <c r="X431" s="69"/>
      <c r="Y431" s="70">
        <f>IFERROR(VLOOKUP(factures[[#This Row],[DT Prestation Amiante 2]],presta_amiante2[#Data],2,0),0)</f>
        <v>0</v>
      </c>
      <c r="Z431" s="69"/>
      <c r="AA431" s="70">
        <f>IFERROR(VLOOKUP(factures[[#This Row],[DT Prestation Gaz]],presta_gaz[#Data],2,0),0)</f>
        <v>0</v>
      </c>
      <c r="AB431" s="69"/>
      <c r="AC431" s="69" t="s">
        <v>73</v>
      </c>
      <c r="AD431" s="70">
        <f>IFERROR(VLOOKUP(factures[[#This Row],[DT Analyses]],DT_analyses[#Data],2,0),0)</f>
        <v>36.99</v>
      </c>
      <c r="AE431" s="70">
        <f>IFERROR(factures[[#This Row],[Plvts ]]*factures[[#This Row],[Prix Analyses]],0)</f>
        <v>0</v>
      </c>
      <c r="AF431" s="70">
        <f>factures[[#This Row],[Prix Prestation Amiante 1]]+factures[[#This Row],[Prix Prestation Amiante 2]]+factures[[#This Row],[Prix Prestation Gaz]]+factures[[#This Row],[Prix analyses HT]]</f>
        <v>76.760000000000005</v>
      </c>
      <c r="AG431" s="69"/>
      <c r="AH431" s="86"/>
      <c r="AI431" s="69"/>
    </row>
    <row r="432" spans="1:35" ht="36" x14ac:dyDescent="0.3">
      <c r="A432" s="92" t="s">
        <v>250</v>
      </c>
      <c r="B432" s="72">
        <v>94130</v>
      </c>
      <c r="C432" s="69" t="s">
        <v>251</v>
      </c>
      <c r="D432" s="69" t="s">
        <v>252</v>
      </c>
      <c r="E432" s="69">
        <v>501</v>
      </c>
      <c r="F432" s="69">
        <v>5</v>
      </c>
      <c r="G432" s="69">
        <v>3</v>
      </c>
      <c r="H432" s="69">
        <v>44091</v>
      </c>
      <c r="I432" s="69">
        <v>870</v>
      </c>
      <c r="J432" s="69" t="s">
        <v>1621</v>
      </c>
      <c r="K432" s="69"/>
      <c r="L432" s="69" t="s">
        <v>2510</v>
      </c>
      <c r="M432" s="71">
        <v>43790</v>
      </c>
      <c r="N432" s="69" t="s">
        <v>71</v>
      </c>
      <c r="O432" s="71">
        <v>43803</v>
      </c>
      <c r="P432" s="69"/>
      <c r="Q432" s="69" t="s">
        <v>68</v>
      </c>
      <c r="R432" s="73" t="s">
        <v>2511</v>
      </c>
      <c r="S432" s="69" t="s">
        <v>2643</v>
      </c>
      <c r="T432" s="69"/>
      <c r="U432" s="69" t="s">
        <v>2554</v>
      </c>
      <c r="V432" s="69" t="s">
        <v>53</v>
      </c>
      <c r="W432" s="70">
        <f>IFERROR(VLOOKUP(factures[[#This Row],[DT Prestation Amiante 1]],presta_amiante1[#Data],2,0),0)</f>
        <v>60.11</v>
      </c>
      <c r="X432" s="69"/>
      <c r="Y432" s="70">
        <f>IFERROR(VLOOKUP(factures[[#This Row],[DT Prestation Amiante 2]],presta_amiante2[#Data],2,0),0)</f>
        <v>0</v>
      </c>
      <c r="Z432" s="69" t="s">
        <v>61</v>
      </c>
      <c r="AA432" s="70">
        <f>IFERROR(VLOOKUP(factures[[#This Row],[DT Prestation Gaz]],presta_gaz[#Data],2,0),0)</f>
        <v>41.62</v>
      </c>
      <c r="AB432" s="69">
        <v>3</v>
      </c>
      <c r="AC432" s="69" t="s">
        <v>73</v>
      </c>
      <c r="AD432" s="70">
        <f>IFERROR(VLOOKUP(factures[[#This Row],[DT Analyses]],DT_analyses[#Data],2,0),0)</f>
        <v>36.99</v>
      </c>
      <c r="AE432" s="70">
        <f>IFERROR(factures[[#This Row],[Plvts ]]*factures[[#This Row],[Prix Analyses]],0)</f>
        <v>110.97</v>
      </c>
      <c r="AF432" s="70">
        <f>factures[[#This Row],[Prix Prestation Amiante 1]]+factures[[#This Row],[Prix Prestation Amiante 2]]+factures[[#This Row],[Prix Prestation Gaz]]+factures[[#This Row],[Prix analyses HT]]</f>
        <v>212.7</v>
      </c>
      <c r="AG432" s="69" t="s">
        <v>2649</v>
      </c>
      <c r="AH432" s="86" t="s">
        <v>2654</v>
      </c>
      <c r="AI432" s="69"/>
    </row>
    <row r="433" spans="1:35" ht="84" x14ac:dyDescent="0.3">
      <c r="A433" s="92" t="s">
        <v>356</v>
      </c>
      <c r="B433" s="123">
        <v>78540</v>
      </c>
      <c r="C433" s="92" t="s">
        <v>351</v>
      </c>
      <c r="D433" s="92" t="s">
        <v>460</v>
      </c>
      <c r="E433" s="92">
        <v>106</v>
      </c>
      <c r="F433" s="92">
        <v>1</v>
      </c>
      <c r="G433" s="69">
        <v>3</v>
      </c>
      <c r="H433" s="69">
        <v>53429</v>
      </c>
      <c r="I433" s="69">
        <v>9700</v>
      </c>
      <c r="J433" s="69" t="s">
        <v>2516</v>
      </c>
      <c r="K433" s="69"/>
      <c r="L433" s="69" t="s">
        <v>2526</v>
      </c>
      <c r="M433" s="71">
        <v>43795</v>
      </c>
      <c r="N433" s="69" t="s">
        <v>84</v>
      </c>
      <c r="O433" s="71">
        <v>43796</v>
      </c>
      <c r="P433" s="69"/>
      <c r="Q433" s="69" t="s">
        <v>77</v>
      </c>
      <c r="R433" s="73" t="s">
        <v>2527</v>
      </c>
      <c r="S433" s="69">
        <v>974050</v>
      </c>
      <c r="T433" s="69"/>
      <c r="U433" s="69" t="s">
        <v>2535</v>
      </c>
      <c r="V433" s="69" t="s">
        <v>55</v>
      </c>
      <c r="W433" s="70">
        <f>IFERROR(VLOOKUP(factures[[#This Row],[DT Prestation Amiante 1]],presta_amiante1[#Data],2,0),0)</f>
        <v>55.49</v>
      </c>
      <c r="X433" s="69" t="s">
        <v>53</v>
      </c>
      <c r="Y433" s="70">
        <f>IFERROR(VLOOKUP(factures[[#This Row],[DT Prestation Amiante 2]],presta_amiante2[#Data],2,0),0)</f>
        <v>60.11</v>
      </c>
      <c r="Z433" s="69" t="s">
        <v>61</v>
      </c>
      <c r="AA433" s="70">
        <f>IFERROR(VLOOKUP(factures[[#This Row],[DT Prestation Gaz]],presta_gaz[#Data],2,0),0)</f>
        <v>41.62</v>
      </c>
      <c r="AB433" s="69">
        <v>4</v>
      </c>
      <c r="AC433" s="69" t="s">
        <v>73</v>
      </c>
      <c r="AD433" s="70">
        <f>IFERROR(VLOOKUP(factures[[#This Row],[DT Analyses]],DT_analyses[#Data],2,0),0)</f>
        <v>36.99</v>
      </c>
      <c r="AE433" s="70">
        <f>IFERROR(factures[[#This Row],[Plvts ]]*factures[[#This Row],[Prix Analyses]],0)</f>
        <v>147.96</v>
      </c>
      <c r="AF433" s="70">
        <f>factures[[#This Row],[Prix Prestation Amiante 1]]+factures[[#This Row],[Prix Prestation Amiante 2]]+factures[[#This Row],[Prix Prestation Gaz]]+factures[[#This Row],[Prix analyses HT]]</f>
        <v>305.18</v>
      </c>
      <c r="AG433" s="69" t="s">
        <v>2588</v>
      </c>
      <c r="AH433" s="86" t="s">
        <v>2582</v>
      </c>
      <c r="AI433" s="69"/>
    </row>
    <row r="434" spans="1:35" ht="84" x14ac:dyDescent="0.3">
      <c r="A434" s="92" t="s">
        <v>1656</v>
      </c>
      <c r="B434" s="72">
        <v>92500</v>
      </c>
      <c r="C434" s="69" t="s">
        <v>265</v>
      </c>
      <c r="D434" s="69" t="s">
        <v>266</v>
      </c>
      <c r="E434" s="69">
        <v>402</v>
      </c>
      <c r="F434" s="69">
        <v>4</v>
      </c>
      <c r="G434" s="69">
        <v>4</v>
      </c>
      <c r="H434" s="69">
        <v>62982</v>
      </c>
      <c r="I434" s="69">
        <v>9210</v>
      </c>
      <c r="J434" s="69" t="s">
        <v>2542</v>
      </c>
      <c r="K434" s="69"/>
      <c r="L434" s="69" t="s">
        <v>2528</v>
      </c>
      <c r="M434" s="71">
        <v>43795</v>
      </c>
      <c r="N434" s="69" t="s">
        <v>71</v>
      </c>
      <c r="O434" s="71">
        <v>43801</v>
      </c>
      <c r="P434" s="69" t="s">
        <v>131</v>
      </c>
      <c r="Q434" s="69" t="s">
        <v>77</v>
      </c>
      <c r="R434" s="73" t="s">
        <v>2529</v>
      </c>
      <c r="S434" s="69">
        <v>974463</v>
      </c>
      <c r="T434" s="69"/>
      <c r="U434" s="69" t="s">
        <v>2555</v>
      </c>
      <c r="V434" s="69" t="s">
        <v>54</v>
      </c>
      <c r="W434" s="70">
        <f>IFERROR(VLOOKUP(factures[[#This Row],[DT Prestation Amiante 1]],presta_amiante1[#Data],2,0),0)</f>
        <v>69.36</v>
      </c>
      <c r="X434" s="69"/>
      <c r="Y434" s="70">
        <f>IFERROR(VLOOKUP(factures[[#This Row],[DT Prestation Amiante 2]],presta_amiante2[#Data],2,0),0)</f>
        <v>0</v>
      </c>
      <c r="Z434" s="69" t="s">
        <v>62</v>
      </c>
      <c r="AA434" s="70">
        <f>IFERROR(VLOOKUP(factures[[#This Row],[DT Prestation Gaz]],presta_gaz[#Data],2,0),0)</f>
        <v>49.01</v>
      </c>
      <c r="AB434" s="69">
        <v>1</v>
      </c>
      <c r="AC434" s="69" t="s">
        <v>73</v>
      </c>
      <c r="AD434" s="70">
        <f>IFERROR(VLOOKUP(factures[[#This Row],[DT Analyses]],DT_analyses[#Data],2,0),0)</f>
        <v>36.99</v>
      </c>
      <c r="AE434" s="70">
        <f>IFERROR(factures[[#This Row],[Plvts ]]*factures[[#This Row],[Prix Analyses]],0)</f>
        <v>36.99</v>
      </c>
      <c r="AF434" s="70">
        <f>factures[[#This Row],[Prix Prestation Amiante 1]]+factures[[#This Row],[Prix Prestation Amiante 2]]+factures[[#This Row],[Prix Prestation Gaz]]+factures[[#This Row],[Prix analyses HT]]</f>
        <v>155.36000000000001</v>
      </c>
      <c r="AG434" s="69" t="s">
        <v>2590</v>
      </c>
      <c r="AH434" s="86" t="s">
        <v>2582</v>
      </c>
      <c r="AI434" s="69"/>
    </row>
    <row r="435" spans="1:35" ht="36" x14ac:dyDescent="0.3">
      <c r="A435" s="92" t="s">
        <v>2530</v>
      </c>
      <c r="B435" s="72">
        <v>92220</v>
      </c>
      <c r="C435" s="69" t="s">
        <v>418</v>
      </c>
      <c r="D435" s="69" t="s">
        <v>1941</v>
      </c>
      <c r="E435" s="69">
        <v>201</v>
      </c>
      <c r="F435" s="69">
        <v>2</v>
      </c>
      <c r="G435" s="69">
        <v>2</v>
      </c>
      <c r="H435" s="69">
        <v>40919</v>
      </c>
      <c r="I435" s="69">
        <v>831</v>
      </c>
      <c r="J435" s="69" t="s">
        <v>2541</v>
      </c>
      <c r="K435" s="69"/>
      <c r="L435" s="69" t="s">
        <v>2531</v>
      </c>
      <c r="M435" s="71">
        <v>43796</v>
      </c>
      <c r="N435" s="69" t="s">
        <v>71</v>
      </c>
      <c r="O435" s="71">
        <v>43798</v>
      </c>
      <c r="P435" s="69">
        <v>8</v>
      </c>
      <c r="Q435" s="69" t="s">
        <v>77</v>
      </c>
      <c r="R435" s="73" t="s">
        <v>2532</v>
      </c>
      <c r="S435" s="69">
        <v>974811</v>
      </c>
      <c r="T435" s="69"/>
      <c r="U435" s="69" t="s">
        <v>2544</v>
      </c>
      <c r="V435" s="69" t="s">
        <v>53</v>
      </c>
      <c r="W435" s="70">
        <f>IFERROR(VLOOKUP(factures[[#This Row],[DT Prestation Amiante 1]],presta_amiante1[#Data],2,0),0)</f>
        <v>60.11</v>
      </c>
      <c r="X435" s="69"/>
      <c r="Y435" s="70">
        <f>IFERROR(VLOOKUP(factures[[#This Row],[DT Prestation Amiante 2]],presta_amiante2[#Data],2,0),0)</f>
        <v>0</v>
      </c>
      <c r="Z435" s="69" t="s">
        <v>61</v>
      </c>
      <c r="AA435" s="70">
        <f>IFERROR(VLOOKUP(factures[[#This Row],[DT Prestation Gaz]],presta_gaz[#Data],2,0),0)</f>
        <v>41.62</v>
      </c>
      <c r="AB435" s="69">
        <v>1</v>
      </c>
      <c r="AC435" s="69" t="s">
        <v>73</v>
      </c>
      <c r="AD435" s="70">
        <f>IFERROR(VLOOKUP(factures[[#This Row],[DT Analyses]],DT_analyses[#Data],2,0),0)</f>
        <v>36.99</v>
      </c>
      <c r="AE435" s="70">
        <f>IFERROR(factures[[#This Row],[Plvts ]]*factures[[#This Row],[Prix Analyses]],0)</f>
        <v>36.99</v>
      </c>
      <c r="AF435" s="70">
        <f>factures[[#This Row],[Prix Prestation Amiante 1]]+factures[[#This Row],[Prix Prestation Amiante 2]]+factures[[#This Row],[Prix Prestation Gaz]]+factures[[#This Row],[Prix analyses HT]]</f>
        <v>138.72</v>
      </c>
      <c r="AG435" s="69" t="s">
        <v>2589</v>
      </c>
      <c r="AH435" s="86" t="s">
        <v>2582</v>
      </c>
      <c r="AI435" s="69"/>
    </row>
    <row r="436" spans="1:35" ht="48" x14ac:dyDescent="0.3">
      <c r="A436" s="92" t="s">
        <v>2389</v>
      </c>
      <c r="B436" s="72">
        <v>92600</v>
      </c>
      <c r="C436" s="69" t="s">
        <v>609</v>
      </c>
      <c r="D436" s="69" t="s">
        <v>549</v>
      </c>
      <c r="E436" s="69">
        <v>301</v>
      </c>
      <c r="F436" s="69">
        <v>3</v>
      </c>
      <c r="G436" s="69">
        <v>3</v>
      </c>
      <c r="H436" s="69">
        <v>31359</v>
      </c>
      <c r="I436" s="69">
        <v>440</v>
      </c>
      <c r="J436" s="69" t="s">
        <v>1848</v>
      </c>
      <c r="K436" s="69"/>
      <c r="L436" s="69" t="s">
        <v>2558</v>
      </c>
      <c r="M436" s="71">
        <v>43798</v>
      </c>
      <c r="N436" s="69" t="s">
        <v>2545</v>
      </c>
      <c r="O436" s="71">
        <v>43804</v>
      </c>
      <c r="P436" s="69"/>
      <c r="Q436" s="69" t="s">
        <v>68</v>
      </c>
      <c r="R436" s="73" t="s">
        <v>2546</v>
      </c>
      <c r="S436" s="69" t="s">
        <v>2645</v>
      </c>
      <c r="T436" s="69"/>
      <c r="U436" s="69" t="s">
        <v>2575</v>
      </c>
      <c r="V436" s="69" t="s">
        <v>53</v>
      </c>
      <c r="W436" s="70">
        <f>IFERROR(VLOOKUP(factures[[#This Row],[DT Prestation Amiante 1]],presta_amiante1[#Data],2,0),0)</f>
        <v>60.11</v>
      </c>
      <c r="X436" s="69" t="s">
        <v>93</v>
      </c>
      <c r="Y436" s="70">
        <f>IFERROR(VLOOKUP(factures[[#This Row],[DT Prestation Amiante 2]],presta_amiante2[#Data],2,0),0)</f>
        <v>80.459999999999994</v>
      </c>
      <c r="Z436" s="69" t="s">
        <v>61</v>
      </c>
      <c r="AA436" s="70">
        <f>IFERROR(VLOOKUP(factures[[#This Row],[DT Prestation Gaz]],presta_gaz[#Data],2,0),0)</f>
        <v>41.62</v>
      </c>
      <c r="AB436" s="69">
        <v>4</v>
      </c>
      <c r="AC436" s="69" t="s">
        <v>73</v>
      </c>
      <c r="AD436" s="70">
        <f>IFERROR(VLOOKUP(factures[[#This Row],[DT Analyses]],DT_analyses[#Data],2,0),0)</f>
        <v>36.99</v>
      </c>
      <c r="AE436" s="70">
        <f>IFERROR(factures[[#This Row],[Plvts ]]*factures[[#This Row],[Prix Analyses]],0)</f>
        <v>147.96</v>
      </c>
      <c r="AF436" s="70">
        <f>factures[[#This Row],[Prix Prestation Amiante 1]]+factures[[#This Row],[Prix Prestation Amiante 2]]+factures[[#This Row],[Prix Prestation Gaz]]+factures[[#This Row],[Prix analyses HT]]</f>
        <v>330.15</v>
      </c>
      <c r="AG436" s="69" t="s">
        <v>2653</v>
      </c>
      <c r="AH436" s="86" t="s">
        <v>2654</v>
      </c>
      <c r="AI436" s="69"/>
    </row>
    <row r="437" spans="1:35" ht="40.799999999999997" x14ac:dyDescent="0.3">
      <c r="A437" s="92" t="s">
        <v>2557</v>
      </c>
      <c r="B437" s="72">
        <v>92220</v>
      </c>
      <c r="C437" s="69" t="s">
        <v>418</v>
      </c>
      <c r="D437" s="69" t="s">
        <v>1941</v>
      </c>
      <c r="E437" s="69">
        <v>102</v>
      </c>
      <c r="F437" s="69">
        <v>1</v>
      </c>
      <c r="G437" s="69">
        <v>3</v>
      </c>
      <c r="H437" s="69">
        <v>40936</v>
      </c>
      <c r="I437" s="69">
        <v>831</v>
      </c>
      <c r="J437" s="69" t="s">
        <v>2561</v>
      </c>
      <c r="K437" s="69"/>
      <c r="L437" s="69" t="s">
        <v>2559</v>
      </c>
      <c r="M437" s="71">
        <v>43803</v>
      </c>
      <c r="N437" s="69" t="s">
        <v>70</v>
      </c>
      <c r="O437" s="71">
        <v>43805</v>
      </c>
      <c r="P437" s="69"/>
      <c r="Q437" s="69" t="s">
        <v>68</v>
      </c>
      <c r="R437" s="73" t="s">
        <v>2560</v>
      </c>
      <c r="S437" s="69" t="s">
        <v>2647</v>
      </c>
      <c r="T437" s="69"/>
      <c r="U437" s="69" t="s">
        <v>2579</v>
      </c>
      <c r="V437" s="69" t="s">
        <v>53</v>
      </c>
      <c r="W437" s="70">
        <v>58.5</v>
      </c>
      <c r="X437" s="69"/>
      <c r="Y437" s="70">
        <f>IFERROR(VLOOKUP(factures[[#This Row],[DT Prestation Amiante 2]],presta_amiante2[#Data],2,0),0)</f>
        <v>0</v>
      </c>
      <c r="Z437" s="69"/>
      <c r="AA437" s="70">
        <f>IFERROR(VLOOKUP(factures[[#This Row],[DT Prestation Gaz]],presta_gaz[#Data],2,0),0)</f>
        <v>0</v>
      </c>
      <c r="AB437" s="69">
        <v>5</v>
      </c>
      <c r="AC437" s="69" t="s">
        <v>73</v>
      </c>
      <c r="AD437" s="70">
        <v>36</v>
      </c>
      <c r="AE437" s="70">
        <f>IFERROR(factures[[#This Row],[Plvts ]]*factures[[#This Row],[Prix Analyses]],0)</f>
        <v>180</v>
      </c>
      <c r="AF437" s="70">
        <f>factures[[#This Row],[Prix Prestation Amiante 1]]+factures[[#This Row],[Prix Prestation Amiante 2]]+factures[[#This Row],[Prix Prestation Gaz]]+factures[[#This Row],[Prix analyses HT]]</f>
        <v>238.5</v>
      </c>
      <c r="AG437" s="69" t="s">
        <v>2655</v>
      </c>
      <c r="AH437" s="86" t="s">
        <v>2654</v>
      </c>
      <c r="AI437" s="69"/>
    </row>
    <row r="438" spans="1:35" ht="60" x14ac:dyDescent="0.3">
      <c r="A438" s="92" t="s">
        <v>151</v>
      </c>
      <c r="B438" s="72">
        <v>92390</v>
      </c>
      <c r="C438" s="69" t="s">
        <v>152</v>
      </c>
      <c r="D438" s="69" t="s">
        <v>153</v>
      </c>
      <c r="E438" s="69">
        <v>68</v>
      </c>
      <c r="F438" s="69">
        <v>15</v>
      </c>
      <c r="G438" s="69">
        <v>2</v>
      </c>
      <c r="H438" s="69">
        <v>85057</v>
      </c>
      <c r="I438" s="69">
        <v>9213</v>
      </c>
      <c r="J438" s="69" t="s">
        <v>2562</v>
      </c>
      <c r="K438" s="69"/>
      <c r="L438" s="69" t="s">
        <v>2563</v>
      </c>
      <c r="M438" s="71"/>
      <c r="N438" s="69" t="s">
        <v>70</v>
      </c>
      <c r="O438" s="69"/>
      <c r="P438" s="69"/>
      <c r="Q438" s="69" t="s">
        <v>26</v>
      </c>
      <c r="R438" s="73"/>
      <c r="S438" s="69">
        <v>976431</v>
      </c>
      <c r="T438" s="69"/>
      <c r="U438" s="69"/>
      <c r="V438" s="69" t="s">
        <v>53</v>
      </c>
      <c r="W438" s="70">
        <f>IFERROR(VLOOKUP(factures[[#This Row],[DT Prestation Amiante 1]],presta_amiante1[#Data],2,0),0)</f>
        <v>60.11</v>
      </c>
      <c r="X438" s="69"/>
      <c r="Y438" s="70">
        <f>IFERROR(VLOOKUP(factures[[#This Row],[DT Prestation Amiante 2]],presta_amiante2[#Data],2,0),0)</f>
        <v>0</v>
      </c>
      <c r="Z438" s="69"/>
      <c r="AA438" s="70">
        <f>IFERROR(VLOOKUP(factures[[#This Row],[DT Prestation Gaz]],presta_gaz[#Data],2,0),0)</f>
        <v>0</v>
      </c>
      <c r="AB438" s="69"/>
      <c r="AC438" s="69" t="s">
        <v>73</v>
      </c>
      <c r="AD438" s="70">
        <f>IFERROR(VLOOKUP(factures[[#This Row],[DT Analyses]],DT_analyses[#Data],2,0),0)</f>
        <v>36.99</v>
      </c>
      <c r="AE438" s="70">
        <f>IFERROR(factures[[#This Row],[Plvts ]]*factures[[#This Row],[Prix Analyses]],0)</f>
        <v>0</v>
      </c>
      <c r="AF438" s="70">
        <f>factures[[#This Row],[Prix Prestation Amiante 1]]+factures[[#This Row],[Prix Prestation Amiante 2]]+factures[[#This Row],[Prix Prestation Gaz]]+factures[[#This Row],[Prix analyses HT]]</f>
        <v>60.11</v>
      </c>
      <c r="AG438" s="69"/>
      <c r="AH438" s="86"/>
      <c r="AI438" s="69"/>
    </row>
    <row r="439" spans="1:35" ht="36" x14ac:dyDescent="0.3">
      <c r="A439" s="92" t="s">
        <v>1581</v>
      </c>
      <c r="B439" s="72">
        <v>92600</v>
      </c>
      <c r="C439" s="69" t="s">
        <v>609</v>
      </c>
      <c r="D439" s="69" t="s">
        <v>1582</v>
      </c>
      <c r="E439" s="69">
        <v>3</v>
      </c>
      <c r="F439" s="69" t="s">
        <v>816</v>
      </c>
      <c r="G439" s="69">
        <v>4</v>
      </c>
      <c r="H439" s="69">
        <v>42095</v>
      </c>
      <c r="I439" s="69">
        <v>842</v>
      </c>
      <c r="J439" s="69" t="s">
        <v>785</v>
      </c>
      <c r="K439" s="69"/>
      <c r="L439" s="69" t="s">
        <v>2564</v>
      </c>
      <c r="M439" s="71"/>
      <c r="N439" s="69" t="s">
        <v>71</v>
      </c>
      <c r="O439" s="69"/>
      <c r="P439" s="69"/>
      <c r="Q439" s="69" t="s">
        <v>67</v>
      </c>
      <c r="R439" s="73"/>
      <c r="S439" s="69">
        <v>976529</v>
      </c>
      <c r="T439" s="69"/>
      <c r="U439" s="69"/>
      <c r="V439" s="69" t="s">
        <v>54</v>
      </c>
      <c r="W439" s="70">
        <f>IFERROR(VLOOKUP(factures[[#This Row],[DT Prestation Amiante 1]],presta_amiante1[#Data],2,0),0)</f>
        <v>69.36</v>
      </c>
      <c r="X439" s="69"/>
      <c r="Y439" s="70">
        <f>IFERROR(VLOOKUP(factures[[#This Row],[DT Prestation Amiante 2]],presta_amiante2[#Data],2,0),0)</f>
        <v>0</v>
      </c>
      <c r="Z439" s="69" t="s">
        <v>62</v>
      </c>
      <c r="AA439" s="70">
        <f>IFERROR(VLOOKUP(factures[[#This Row],[DT Prestation Gaz]],presta_gaz[#Data],2,0),0)</f>
        <v>49.01</v>
      </c>
      <c r="AB439" s="69"/>
      <c r="AC439" s="69" t="s">
        <v>73</v>
      </c>
      <c r="AD439" s="70">
        <f>IFERROR(VLOOKUP(factures[[#This Row],[DT Analyses]],DT_analyses[#Data],2,0),0)</f>
        <v>36.99</v>
      </c>
      <c r="AE439" s="70">
        <f>IFERROR(factures[[#This Row],[Plvts ]]*factures[[#This Row],[Prix Analyses]],0)</f>
        <v>0</v>
      </c>
      <c r="AF439" s="70">
        <f>factures[[#This Row],[Prix Prestation Amiante 1]]+factures[[#This Row],[Prix Prestation Amiante 2]]+factures[[#This Row],[Prix Prestation Gaz]]+factures[[#This Row],[Prix analyses HT]]</f>
        <v>118.37</v>
      </c>
      <c r="AG439" s="69"/>
      <c r="AH439" s="86"/>
      <c r="AI439" s="69"/>
    </row>
    <row r="440" spans="1:35" ht="61.2" x14ac:dyDescent="0.3">
      <c r="A440" s="92" t="s">
        <v>297</v>
      </c>
      <c r="B440" s="72">
        <v>94000</v>
      </c>
      <c r="C440" s="69" t="s">
        <v>2031</v>
      </c>
      <c r="D440" s="69" t="s">
        <v>299</v>
      </c>
      <c r="E440" s="69">
        <v>102</v>
      </c>
      <c r="F440" s="69">
        <v>1</v>
      </c>
      <c r="G440" s="69">
        <v>4</v>
      </c>
      <c r="H440" s="69">
        <v>40754</v>
      </c>
      <c r="I440" s="69">
        <v>830</v>
      </c>
      <c r="J440" s="69" t="s">
        <v>300</v>
      </c>
      <c r="K440" s="69" t="s">
        <v>2006</v>
      </c>
      <c r="L440" s="69" t="s">
        <v>2565</v>
      </c>
      <c r="M440" s="71"/>
      <c r="N440" s="69" t="s">
        <v>71</v>
      </c>
      <c r="O440" s="71">
        <v>43826</v>
      </c>
      <c r="P440" s="69"/>
      <c r="Q440" s="69" t="s">
        <v>68</v>
      </c>
      <c r="R440" s="73" t="s">
        <v>2626</v>
      </c>
      <c r="S440" s="69" t="s">
        <v>2646</v>
      </c>
      <c r="T440" s="69"/>
      <c r="U440" s="69" t="s">
        <v>2629</v>
      </c>
      <c r="V440" s="69" t="s">
        <v>54</v>
      </c>
      <c r="W440" s="70">
        <v>67.5</v>
      </c>
      <c r="X440" s="69"/>
      <c r="Y440" s="70">
        <f>IFERROR(VLOOKUP(factures[[#This Row],[DT Prestation Amiante 2]],presta_amiante2[#Data],2,0),0)</f>
        <v>0</v>
      </c>
      <c r="Z440" s="69" t="s">
        <v>62</v>
      </c>
      <c r="AA440" s="70">
        <v>47.7</v>
      </c>
      <c r="AB440" s="69">
        <v>4</v>
      </c>
      <c r="AC440" s="69" t="s">
        <v>73</v>
      </c>
      <c r="AD440" s="70">
        <v>36</v>
      </c>
      <c r="AE440" s="70">
        <f>IFERROR(factures[[#This Row],[Plvts ]]*factures[[#This Row],[Prix Analyses]],0)</f>
        <v>144</v>
      </c>
      <c r="AF440" s="70">
        <f>factures[[#This Row],[Prix Prestation Amiante 1]]+factures[[#This Row],[Prix Prestation Amiante 2]]+factures[[#This Row],[Prix Prestation Gaz]]+factures[[#This Row],[Prix analyses HT]]</f>
        <v>259.2</v>
      </c>
      <c r="AG440" s="69" t="s">
        <v>2652</v>
      </c>
      <c r="AH440" s="86" t="s">
        <v>2654</v>
      </c>
      <c r="AI440" s="69"/>
    </row>
    <row r="441" spans="1:35" ht="36" x14ac:dyDescent="0.3">
      <c r="A441" s="92" t="s">
        <v>1525</v>
      </c>
      <c r="B441" s="72">
        <v>94200</v>
      </c>
      <c r="C441" s="69" t="s">
        <v>379</v>
      </c>
      <c r="D441" s="69" t="s">
        <v>209</v>
      </c>
      <c r="E441" s="69">
        <v>101</v>
      </c>
      <c r="F441" s="69">
        <v>1</v>
      </c>
      <c r="G441" s="69">
        <v>2</v>
      </c>
      <c r="H441" s="69">
        <v>9000</v>
      </c>
      <c r="I441" s="69">
        <v>130</v>
      </c>
      <c r="J441" s="69" t="s">
        <v>1660</v>
      </c>
      <c r="K441" s="69"/>
      <c r="L441" s="69" t="s">
        <v>2566</v>
      </c>
      <c r="M441" s="71"/>
      <c r="N441" s="69" t="s">
        <v>70</v>
      </c>
      <c r="O441" s="69"/>
      <c r="P441" s="69"/>
      <c r="Q441" s="69" t="s">
        <v>67</v>
      </c>
      <c r="R441" s="73"/>
      <c r="S441" s="69">
        <v>976562</v>
      </c>
      <c r="T441" s="69"/>
      <c r="U441" s="69"/>
      <c r="V441" s="69" t="s">
        <v>53</v>
      </c>
      <c r="W441" s="70">
        <f>IFERROR(VLOOKUP(factures[[#This Row],[DT Prestation Amiante 1]],presta_amiante1[#Data],2,0),0)</f>
        <v>60.11</v>
      </c>
      <c r="X441" s="69"/>
      <c r="Y441" s="70">
        <f>IFERROR(VLOOKUP(factures[[#This Row],[DT Prestation Amiante 2]],presta_amiante2[#Data],2,0),0)</f>
        <v>0</v>
      </c>
      <c r="Z441" s="69"/>
      <c r="AA441" s="70">
        <f>IFERROR(VLOOKUP(factures[[#This Row],[DT Prestation Gaz]],presta_gaz[#Data],2,0),0)</f>
        <v>0</v>
      </c>
      <c r="AB441" s="69"/>
      <c r="AC441" s="69" t="s">
        <v>73</v>
      </c>
      <c r="AD441" s="70">
        <f>IFERROR(VLOOKUP(factures[[#This Row],[DT Analyses]],DT_analyses[#Data],2,0),0)</f>
        <v>36.99</v>
      </c>
      <c r="AE441" s="70">
        <f>IFERROR(factures[[#This Row],[Plvts ]]*factures[[#This Row],[Prix Analyses]],0)</f>
        <v>0</v>
      </c>
      <c r="AF441" s="70">
        <f>factures[[#This Row],[Prix Prestation Amiante 1]]+factures[[#This Row],[Prix Prestation Amiante 2]]+factures[[#This Row],[Prix Prestation Gaz]]+factures[[#This Row],[Prix analyses HT]]</f>
        <v>60.11</v>
      </c>
      <c r="AG441" s="69"/>
      <c r="AH441" s="86"/>
      <c r="AI441" s="69"/>
    </row>
    <row r="442" spans="1:35" ht="36" x14ac:dyDescent="0.3">
      <c r="A442" s="92" t="s">
        <v>1647</v>
      </c>
      <c r="B442" s="72">
        <v>92260</v>
      </c>
      <c r="C442" s="69" t="s">
        <v>500</v>
      </c>
      <c r="D442" s="69" t="s">
        <v>584</v>
      </c>
      <c r="E442" s="69">
        <v>602</v>
      </c>
      <c r="F442" s="69">
        <v>6</v>
      </c>
      <c r="G442" s="69">
        <v>5</v>
      </c>
      <c r="H442" s="69">
        <v>63345</v>
      </c>
      <c r="I442" s="69">
        <v>9216</v>
      </c>
      <c r="J442" s="69" t="s">
        <v>512</v>
      </c>
      <c r="K442" s="69"/>
      <c r="L442" s="69" t="s">
        <v>2567</v>
      </c>
      <c r="M442" s="71"/>
      <c r="N442" s="69" t="s">
        <v>71</v>
      </c>
      <c r="O442" s="69"/>
      <c r="P442" s="69"/>
      <c r="Q442" s="69" t="s">
        <v>68</v>
      </c>
      <c r="R442" s="73" t="s">
        <v>2630</v>
      </c>
      <c r="S442" s="69" t="s">
        <v>2644</v>
      </c>
      <c r="T442" s="69"/>
      <c r="U442" s="69" t="s">
        <v>2632</v>
      </c>
      <c r="V442" s="69" t="s">
        <v>54</v>
      </c>
      <c r="W442" s="70">
        <v>67.5</v>
      </c>
      <c r="X442" s="69"/>
      <c r="Y442" s="70">
        <f>IFERROR(VLOOKUP(factures[[#This Row],[DT Prestation Amiante 2]],presta_amiante2[#Data],2,0),0)</f>
        <v>0</v>
      </c>
      <c r="Z442" s="69" t="s">
        <v>62</v>
      </c>
      <c r="AA442" s="70">
        <v>47.7</v>
      </c>
      <c r="AB442" s="69">
        <v>2</v>
      </c>
      <c r="AC442" s="69" t="s">
        <v>73</v>
      </c>
      <c r="AD442" s="70">
        <v>36</v>
      </c>
      <c r="AE442" s="70">
        <f>IFERROR(factures[[#This Row],[Plvts ]]*factures[[#This Row],[Prix Analyses]],0)</f>
        <v>72</v>
      </c>
      <c r="AF442" s="70">
        <f>factures[[#This Row],[Prix Prestation Amiante 1]]+factures[[#This Row],[Prix Prestation Amiante 2]]+factures[[#This Row],[Prix Prestation Gaz]]+factures[[#This Row],[Prix analyses HT]]</f>
        <v>187.2</v>
      </c>
      <c r="AG442" s="69" t="s">
        <v>2656</v>
      </c>
      <c r="AH442" s="86" t="s">
        <v>2654</v>
      </c>
      <c r="AI442" s="69"/>
    </row>
    <row r="443" spans="1:35" ht="72" x14ac:dyDescent="0.3">
      <c r="A443" s="92" t="s">
        <v>2569</v>
      </c>
      <c r="B443" s="72">
        <v>92400</v>
      </c>
      <c r="C443" s="69" t="s">
        <v>104</v>
      </c>
      <c r="D443" s="69" t="s">
        <v>578</v>
      </c>
      <c r="E443" s="69">
        <v>313</v>
      </c>
      <c r="F443" s="69">
        <v>3</v>
      </c>
      <c r="G443" s="69">
        <v>3</v>
      </c>
      <c r="H443" s="69">
        <v>44227</v>
      </c>
      <c r="I443" s="69">
        <v>871</v>
      </c>
      <c r="J443" s="69" t="s">
        <v>2570</v>
      </c>
      <c r="K443" s="69"/>
      <c r="L443" s="69" t="s">
        <v>2568</v>
      </c>
      <c r="M443" s="71"/>
      <c r="N443" s="69" t="s">
        <v>70</v>
      </c>
      <c r="O443" s="69"/>
      <c r="P443" s="69"/>
      <c r="Q443" s="69" t="s">
        <v>68</v>
      </c>
      <c r="R443" s="73" t="s">
        <v>2631</v>
      </c>
      <c r="S443" s="69" t="s">
        <v>2642</v>
      </c>
      <c r="T443" s="69"/>
      <c r="U443" s="69" t="s">
        <v>2633</v>
      </c>
      <c r="V443" s="69" t="s">
        <v>53</v>
      </c>
      <c r="W443" s="70">
        <v>58.5</v>
      </c>
      <c r="X443" s="69"/>
      <c r="Y443" s="70">
        <f>IFERROR(VLOOKUP(factures[[#This Row],[DT Prestation Amiante 2]],presta_amiante2[#Data],2,0),0)</f>
        <v>0</v>
      </c>
      <c r="Z443" s="69"/>
      <c r="AA443" s="70">
        <f>IFERROR(VLOOKUP(factures[[#This Row],[DT Prestation Gaz]],presta_gaz[#Data],2,0),0)</f>
        <v>0</v>
      </c>
      <c r="AB443" s="69">
        <v>2</v>
      </c>
      <c r="AC443" s="69" t="s">
        <v>73</v>
      </c>
      <c r="AD443" s="70">
        <v>36</v>
      </c>
      <c r="AE443" s="70">
        <f>IFERROR(factures[[#This Row],[Plvts ]]*factures[[#This Row],[Prix Analyses]],0)</f>
        <v>72</v>
      </c>
      <c r="AF443" s="70">
        <f>factures[[#This Row],[Prix Prestation Amiante 1]]+factures[[#This Row],[Prix Prestation Amiante 2]]+factures[[#This Row],[Prix Prestation Gaz]]+factures[[#This Row],[Prix analyses HT]]</f>
        <v>130.5</v>
      </c>
      <c r="AG443" s="69" t="s">
        <v>2648</v>
      </c>
      <c r="AH443" s="86" t="s">
        <v>2654</v>
      </c>
      <c r="AI443" s="69"/>
    </row>
    <row r="444" spans="1:35" ht="36" x14ac:dyDescent="0.3">
      <c r="A444" s="92" t="s">
        <v>2571</v>
      </c>
      <c r="B444" s="72">
        <v>92110</v>
      </c>
      <c r="C444" s="69" t="s">
        <v>764</v>
      </c>
      <c r="D444" s="69" t="s">
        <v>765</v>
      </c>
      <c r="E444" s="69">
        <v>601</v>
      </c>
      <c r="F444" s="69">
        <v>6</v>
      </c>
      <c r="G444" s="69">
        <v>2</v>
      </c>
      <c r="H444" s="69">
        <v>41634</v>
      </c>
      <c r="I444" s="69">
        <v>838</v>
      </c>
      <c r="J444" s="69" t="s">
        <v>1697</v>
      </c>
      <c r="K444" s="69"/>
      <c r="L444" s="69" t="s">
        <v>2572</v>
      </c>
      <c r="M444" s="71"/>
      <c r="N444" s="69" t="s">
        <v>70</v>
      </c>
      <c r="O444" s="69"/>
      <c r="P444" s="69"/>
      <c r="Q444" s="69" t="s">
        <v>67</v>
      </c>
      <c r="R444" s="73"/>
      <c r="S444" s="69">
        <v>976670</v>
      </c>
      <c r="T444" s="69"/>
      <c r="U444" s="69"/>
      <c r="V444" s="69" t="s">
        <v>53</v>
      </c>
      <c r="W444" s="70">
        <f>IFERROR(VLOOKUP(factures[[#This Row],[DT Prestation Amiante 1]],presta_amiante1[#Data],2,0),0)</f>
        <v>60.11</v>
      </c>
      <c r="X444" s="69"/>
      <c r="Y444" s="70">
        <f>IFERROR(VLOOKUP(factures[[#This Row],[DT Prestation Amiante 2]],presta_amiante2[#Data],2,0),0)</f>
        <v>0</v>
      </c>
      <c r="Z444" s="69"/>
      <c r="AA444" s="70">
        <f>IFERROR(VLOOKUP(factures[[#This Row],[DT Prestation Gaz]],presta_gaz[#Data],2,0),0)</f>
        <v>0</v>
      </c>
      <c r="AB444" s="69"/>
      <c r="AC444" s="69" t="s">
        <v>73</v>
      </c>
      <c r="AD444" s="70">
        <f>IFERROR(VLOOKUP(factures[[#This Row],[DT Analyses]],DT_analyses[#Data],2,0),0)</f>
        <v>36.99</v>
      </c>
      <c r="AE444" s="70">
        <f>IFERROR(factures[[#This Row],[Plvts ]]*factures[[#This Row],[Prix Analyses]],0)</f>
        <v>0</v>
      </c>
      <c r="AF444" s="70">
        <f>factures[[#This Row],[Prix Prestation Amiante 1]]+factures[[#This Row],[Prix Prestation Amiante 2]]+factures[[#This Row],[Prix Prestation Gaz]]+factures[[#This Row],[Prix analyses HT]]</f>
        <v>60.11</v>
      </c>
      <c r="AG444" s="69"/>
      <c r="AH444" s="86"/>
      <c r="AI444" s="69"/>
    </row>
    <row r="445" spans="1:35" ht="36" x14ac:dyDescent="0.3">
      <c r="A445" s="92" t="s">
        <v>2530</v>
      </c>
      <c r="B445" s="72">
        <v>92220</v>
      </c>
      <c r="C445" s="69" t="s">
        <v>418</v>
      </c>
      <c r="D445" s="69" t="s">
        <v>1941</v>
      </c>
      <c r="E445" s="69">
        <v>303</v>
      </c>
      <c r="F445" s="69">
        <v>3</v>
      </c>
      <c r="G445" s="69">
        <v>3</v>
      </c>
      <c r="H445" s="69">
        <v>40945</v>
      </c>
      <c r="I445" s="69">
        <v>831</v>
      </c>
      <c r="J445" s="69" t="s">
        <v>2573</v>
      </c>
      <c r="K445" s="69"/>
      <c r="L445" s="69" t="s">
        <v>2574</v>
      </c>
      <c r="M445" s="71"/>
      <c r="N445" s="69" t="s">
        <v>71</v>
      </c>
      <c r="O445" s="69"/>
      <c r="P445" s="69"/>
      <c r="Q445" s="69" t="s">
        <v>67</v>
      </c>
      <c r="R445" s="73"/>
      <c r="S445" s="69">
        <v>976664</v>
      </c>
      <c r="T445" s="69"/>
      <c r="U445" s="69"/>
      <c r="V445" s="69" t="s">
        <v>53</v>
      </c>
      <c r="W445" s="70">
        <f>IFERROR(VLOOKUP(factures[[#This Row],[DT Prestation Amiante 1]],presta_amiante1[#Data],2,0),0)</f>
        <v>60.11</v>
      </c>
      <c r="X445" s="69"/>
      <c r="Y445" s="70">
        <f>IFERROR(VLOOKUP(factures[[#This Row],[DT Prestation Amiante 2]],presta_amiante2[#Data],2,0),0)</f>
        <v>0</v>
      </c>
      <c r="Z445" s="69" t="s">
        <v>61</v>
      </c>
      <c r="AA445" s="70">
        <f>IFERROR(VLOOKUP(factures[[#This Row],[DT Prestation Gaz]],presta_gaz[#Data],2,0),0)</f>
        <v>41.62</v>
      </c>
      <c r="AB445" s="69"/>
      <c r="AC445" s="69" t="s">
        <v>73</v>
      </c>
      <c r="AD445" s="70">
        <f>IFERROR(VLOOKUP(factures[[#This Row],[DT Analyses]],DT_analyses[#Data],2,0),0)</f>
        <v>36.99</v>
      </c>
      <c r="AE445" s="70">
        <f>IFERROR(factures[[#This Row],[Plvts ]]*factures[[#This Row],[Prix Analyses]],0)</f>
        <v>0</v>
      </c>
      <c r="AF445" s="70">
        <f>factures[[#This Row],[Prix Prestation Amiante 1]]+factures[[#This Row],[Prix Prestation Amiante 2]]+factures[[#This Row],[Prix Prestation Gaz]]+factures[[#This Row],[Prix analyses HT]]</f>
        <v>101.72999999999999</v>
      </c>
      <c r="AG445" s="69"/>
      <c r="AH445" s="86"/>
      <c r="AI445" s="69"/>
    </row>
    <row r="446" spans="1:35" ht="36" x14ac:dyDescent="0.3">
      <c r="A446" s="92" t="s">
        <v>2576</v>
      </c>
      <c r="B446" s="72">
        <v>78200</v>
      </c>
      <c r="C446" s="69" t="s">
        <v>189</v>
      </c>
      <c r="D446" s="69" t="s">
        <v>2577</v>
      </c>
      <c r="E446" s="69">
        <v>102</v>
      </c>
      <c r="F446" s="69">
        <v>1</v>
      </c>
      <c r="G446" s="69">
        <v>4</v>
      </c>
      <c r="H446" s="69">
        <v>10750</v>
      </c>
      <c r="I446" s="69">
        <v>161</v>
      </c>
      <c r="J446" s="69" t="s">
        <v>2628</v>
      </c>
      <c r="K446" s="69"/>
      <c r="L446" s="69" t="s">
        <v>2578</v>
      </c>
      <c r="M446" s="71">
        <v>43805</v>
      </c>
      <c r="N446" s="69" t="s">
        <v>84</v>
      </c>
      <c r="O446" s="71">
        <v>43808</v>
      </c>
      <c r="P446" s="69" t="s">
        <v>2591</v>
      </c>
      <c r="Q446" s="69" t="s">
        <v>92</v>
      </c>
      <c r="R446" s="73" t="s">
        <v>2580</v>
      </c>
      <c r="S446" s="69">
        <v>973884</v>
      </c>
      <c r="T446" s="69"/>
      <c r="U446" s="69" t="s">
        <v>2599</v>
      </c>
      <c r="V446" s="69" t="s">
        <v>55</v>
      </c>
      <c r="W446" s="70">
        <f>IFERROR(VLOOKUP(factures[[#This Row],[DT Prestation Amiante 1]],presta_amiante1[#Data],2,0),0)</f>
        <v>55.49</v>
      </c>
      <c r="X446" s="69" t="s">
        <v>54</v>
      </c>
      <c r="Y446" s="70">
        <f>IFERROR(VLOOKUP(factures[[#This Row],[DT Prestation Amiante 2]],presta_amiante2[#Data],2,0),0)</f>
        <v>69.36</v>
      </c>
      <c r="Z446" s="69" t="s">
        <v>62</v>
      </c>
      <c r="AA446" s="70">
        <f>IFERROR(VLOOKUP(factures[[#This Row],[DT Prestation Gaz]],presta_gaz[#Data],2,0),0)</f>
        <v>49.01</v>
      </c>
      <c r="AB446" s="69">
        <v>7</v>
      </c>
      <c r="AC446" s="69" t="s">
        <v>73</v>
      </c>
      <c r="AD446" s="70">
        <f>IFERROR(VLOOKUP(factures[[#This Row],[DT Analyses]],DT_analyses[#Data],2,0),0)</f>
        <v>36.99</v>
      </c>
      <c r="AE446" s="70">
        <f>IFERROR(factures[[#This Row],[Plvts ]]*factures[[#This Row],[Prix Analyses]],0)</f>
        <v>258.93</v>
      </c>
      <c r="AF446" s="70">
        <f>factures[[#This Row],[Prix Prestation Amiante 1]]+factures[[#This Row],[Prix Prestation Amiante 2]]+factures[[#This Row],[Prix Prestation Gaz]]+factures[[#This Row],[Prix analyses HT]]</f>
        <v>432.78999999999996</v>
      </c>
      <c r="AG446" s="69"/>
      <c r="AH446" s="86"/>
      <c r="AI446" s="69"/>
    </row>
    <row r="447" spans="1:35" ht="24" x14ac:dyDescent="0.3">
      <c r="A447" s="92" t="s">
        <v>2600</v>
      </c>
      <c r="B447" s="72">
        <v>78260</v>
      </c>
      <c r="C447" s="69" t="s">
        <v>1082</v>
      </c>
      <c r="D447" s="69" t="s">
        <v>2601</v>
      </c>
      <c r="E447" s="69" t="s">
        <v>2602</v>
      </c>
      <c r="F447" s="69">
        <v>3</v>
      </c>
      <c r="G447" s="69">
        <v>3</v>
      </c>
      <c r="H447" s="69">
        <v>74984</v>
      </c>
      <c r="I447" s="69">
        <v>5029</v>
      </c>
      <c r="J447" s="69" t="s">
        <v>2454</v>
      </c>
      <c r="K447" s="69"/>
      <c r="L447" s="69" t="s">
        <v>2603</v>
      </c>
      <c r="M447" s="71">
        <v>43809</v>
      </c>
      <c r="N447" s="69" t="s">
        <v>72</v>
      </c>
      <c r="O447" s="69"/>
      <c r="P447" s="69"/>
      <c r="Q447" s="69" t="s">
        <v>67</v>
      </c>
      <c r="R447" s="73"/>
      <c r="S447" s="69">
        <v>977992</v>
      </c>
      <c r="T447" s="69"/>
      <c r="U447" s="69"/>
      <c r="V447" s="69"/>
      <c r="W447" s="70">
        <f>IFERROR(VLOOKUP(factures[[#This Row],[DT Prestation Amiante 1]],presta_amiante1[#Data],2,0),0)</f>
        <v>0</v>
      </c>
      <c r="X447" s="69"/>
      <c r="Y447" s="70">
        <f>IFERROR(VLOOKUP(factures[[#This Row],[DT Prestation Amiante 2]],presta_amiante2[#Data],2,0),0)</f>
        <v>0</v>
      </c>
      <c r="Z447" s="69" t="s">
        <v>61</v>
      </c>
      <c r="AA447" s="70">
        <f>IFERROR(VLOOKUP(factures[[#This Row],[DT Prestation Gaz]],presta_gaz[#Data],2,0),0)</f>
        <v>41.62</v>
      </c>
      <c r="AB447" s="69"/>
      <c r="AC447" s="69"/>
      <c r="AD447" s="70">
        <f>IFERROR(VLOOKUP(factures[[#This Row],[DT Analyses]],DT_analyses[#Data],2,0),0)</f>
        <v>0</v>
      </c>
      <c r="AE447" s="70">
        <f>IFERROR(factures[[#This Row],[Plvts ]]*factures[[#This Row],[Prix Analyses]],0)</f>
        <v>0</v>
      </c>
      <c r="AF447" s="70">
        <f>factures[[#This Row],[Prix Prestation Amiante 1]]+factures[[#This Row],[Prix Prestation Amiante 2]]+factures[[#This Row],[Prix Prestation Gaz]]+factures[[#This Row],[Prix analyses HT]]</f>
        <v>41.62</v>
      </c>
      <c r="AG447" s="69"/>
      <c r="AH447" s="86"/>
      <c r="AI447" s="69"/>
    </row>
    <row r="448" spans="1:35" ht="24" x14ac:dyDescent="0.3">
      <c r="A448" s="69" t="s">
        <v>1926</v>
      </c>
      <c r="B448" s="72">
        <v>78260</v>
      </c>
      <c r="C448" s="69" t="s">
        <v>1082</v>
      </c>
      <c r="D448" s="69" t="s">
        <v>1083</v>
      </c>
      <c r="E448" s="69" t="s">
        <v>2604</v>
      </c>
      <c r="F448" s="69">
        <v>3</v>
      </c>
      <c r="G448" s="69">
        <v>3</v>
      </c>
      <c r="H448" s="69">
        <v>62303</v>
      </c>
      <c r="I448" s="69">
        <v>108</v>
      </c>
      <c r="J448" s="69" t="s">
        <v>2454</v>
      </c>
      <c r="K448" s="69"/>
      <c r="L448" s="69" t="s">
        <v>2605</v>
      </c>
      <c r="M448" s="71">
        <v>43809</v>
      </c>
      <c r="N448" s="69" t="s">
        <v>72</v>
      </c>
      <c r="O448" s="71">
        <v>43815</v>
      </c>
      <c r="P448" s="69"/>
      <c r="Q448" s="69" t="s">
        <v>67</v>
      </c>
      <c r="R448" s="73"/>
      <c r="S448" s="69">
        <v>977986</v>
      </c>
      <c r="T448" s="69"/>
      <c r="U448" s="69"/>
      <c r="V448" s="69"/>
      <c r="W448" s="70">
        <f>IFERROR(VLOOKUP(factures[[#This Row],[DT Prestation Amiante 1]],presta_amiante1[#Data],2,0),0)</f>
        <v>0</v>
      </c>
      <c r="X448" s="69"/>
      <c r="Y448" s="70">
        <f>IFERROR(VLOOKUP(factures[[#This Row],[DT Prestation Amiante 2]],presta_amiante2[#Data],2,0),0)</f>
        <v>0</v>
      </c>
      <c r="Z448" s="69" t="s">
        <v>61</v>
      </c>
      <c r="AA448" s="70">
        <f>IFERROR(VLOOKUP(factures[[#This Row],[DT Prestation Gaz]],presta_gaz[#Data],2,0),0)</f>
        <v>41.62</v>
      </c>
      <c r="AB448" s="69"/>
      <c r="AC448" s="69"/>
      <c r="AD448" s="70">
        <f>IFERROR(VLOOKUP(factures[[#This Row],[DT Analyses]],DT_analyses[#Data],2,0),0)</f>
        <v>0</v>
      </c>
      <c r="AE448" s="70">
        <f>IFERROR(factures[[#This Row],[Plvts ]]*factures[[#This Row],[Prix Analyses]],0)</f>
        <v>0</v>
      </c>
      <c r="AF448" s="70">
        <f>factures[[#This Row],[Prix Prestation Amiante 1]]+factures[[#This Row],[Prix Prestation Amiante 2]]+factures[[#This Row],[Prix Prestation Gaz]]+factures[[#This Row],[Prix analyses HT]]</f>
        <v>41.62</v>
      </c>
      <c r="AG448" s="69"/>
      <c r="AH448" s="86"/>
      <c r="AI448" s="69"/>
    </row>
    <row r="449" spans="1:35" ht="24" x14ac:dyDescent="0.3">
      <c r="A449" s="69" t="s">
        <v>1926</v>
      </c>
      <c r="B449" s="72">
        <v>78260</v>
      </c>
      <c r="C449" s="69" t="s">
        <v>1082</v>
      </c>
      <c r="D449" s="69" t="s">
        <v>1083</v>
      </c>
      <c r="E449" s="69" t="s">
        <v>2606</v>
      </c>
      <c r="F449" s="69">
        <v>4</v>
      </c>
      <c r="G449" s="69">
        <v>2</v>
      </c>
      <c r="H449" s="69">
        <v>62307</v>
      </c>
      <c r="I449" s="69">
        <v>108</v>
      </c>
      <c r="J449" s="69" t="s">
        <v>2454</v>
      </c>
      <c r="K449" s="69"/>
      <c r="L449" s="69" t="s">
        <v>2607</v>
      </c>
      <c r="M449" s="71">
        <v>43809</v>
      </c>
      <c r="N449" s="69" t="s">
        <v>72</v>
      </c>
      <c r="O449" s="71">
        <v>43815</v>
      </c>
      <c r="P449" s="69"/>
      <c r="Q449" s="69" t="s">
        <v>67</v>
      </c>
      <c r="R449" s="73"/>
      <c r="S449" s="69">
        <v>977978</v>
      </c>
      <c r="T449" s="69"/>
      <c r="U449" s="69"/>
      <c r="V449" s="69"/>
      <c r="W449" s="70">
        <f>IFERROR(VLOOKUP(factures[[#This Row],[DT Prestation Amiante 1]],presta_amiante1[#Data],2,0),0)</f>
        <v>0</v>
      </c>
      <c r="X449" s="69"/>
      <c r="Y449" s="70">
        <f>IFERROR(VLOOKUP(factures[[#This Row],[DT Prestation Amiante 2]],presta_amiante2[#Data],2,0),0)</f>
        <v>0</v>
      </c>
      <c r="Z449" s="69" t="s">
        <v>61</v>
      </c>
      <c r="AA449" s="70">
        <f>IFERROR(VLOOKUP(factures[[#This Row],[DT Prestation Gaz]],presta_gaz[#Data],2,0),0)</f>
        <v>41.62</v>
      </c>
      <c r="AB449" s="69"/>
      <c r="AC449" s="69"/>
      <c r="AD449" s="70">
        <f>IFERROR(VLOOKUP(factures[[#This Row],[DT Analyses]],DT_analyses[#Data],2,0),0)</f>
        <v>0</v>
      </c>
      <c r="AE449" s="70">
        <f>IFERROR(factures[[#This Row],[Plvts ]]*factures[[#This Row],[Prix Analyses]],0)</f>
        <v>0</v>
      </c>
      <c r="AF449" s="70">
        <f>factures[[#This Row],[Prix Prestation Amiante 1]]+factures[[#This Row],[Prix Prestation Amiante 2]]+factures[[#This Row],[Prix Prestation Gaz]]+factures[[#This Row],[Prix analyses HT]]</f>
        <v>41.62</v>
      </c>
      <c r="AG449" s="69"/>
      <c r="AH449" s="86"/>
      <c r="AI449" s="69"/>
    </row>
    <row r="450" spans="1:35" ht="36" x14ac:dyDescent="0.3">
      <c r="A450" s="92" t="s">
        <v>2452</v>
      </c>
      <c r="B450" s="72">
        <v>78260</v>
      </c>
      <c r="C450" s="69" t="s">
        <v>1082</v>
      </c>
      <c r="D450" s="69" t="s">
        <v>2453</v>
      </c>
      <c r="E450" s="69">
        <v>1</v>
      </c>
      <c r="F450" s="69" t="s">
        <v>102</v>
      </c>
      <c r="G450" s="69">
        <v>3</v>
      </c>
      <c r="H450" s="69">
        <v>46025</v>
      </c>
      <c r="I450" s="69">
        <v>942</v>
      </c>
      <c r="J450" s="69" t="s">
        <v>2454</v>
      </c>
      <c r="K450" s="69"/>
      <c r="L450" s="69" t="s">
        <v>2608</v>
      </c>
      <c r="M450" s="71">
        <v>43809</v>
      </c>
      <c r="N450" s="69" t="s">
        <v>84</v>
      </c>
      <c r="O450" s="71">
        <v>43815</v>
      </c>
      <c r="P450" s="69"/>
      <c r="Q450" s="69" t="s">
        <v>68</v>
      </c>
      <c r="R450" s="73" t="s">
        <v>2609</v>
      </c>
      <c r="S450" s="69" t="s">
        <v>2664</v>
      </c>
      <c r="T450" s="69"/>
      <c r="U450" s="69" t="s">
        <v>2621</v>
      </c>
      <c r="V450" s="69" t="s">
        <v>55</v>
      </c>
      <c r="W450" s="70">
        <v>56.27</v>
      </c>
      <c r="X450" s="69" t="s">
        <v>53</v>
      </c>
      <c r="Y450" s="70">
        <v>60.96</v>
      </c>
      <c r="Z450" s="69" t="s">
        <v>61</v>
      </c>
      <c r="AA450" s="70">
        <v>42.2</v>
      </c>
      <c r="AB450" s="69">
        <v>8</v>
      </c>
      <c r="AC450" s="69" t="s">
        <v>73</v>
      </c>
      <c r="AD450" s="70">
        <v>37.520000000000003</v>
      </c>
      <c r="AE450" s="70">
        <f>IFERROR(factures[[#This Row],[Plvts ]]*factures[[#This Row],[Prix Analyses]],0)</f>
        <v>300.16000000000003</v>
      </c>
      <c r="AF450" s="70">
        <f>factures[[#This Row],[Prix Prestation Amiante 1]]+factures[[#This Row],[Prix Prestation Amiante 2]]+factures[[#This Row],[Prix Prestation Gaz]]+factures[[#This Row],[Prix analyses HT]]</f>
        <v>459.59000000000003</v>
      </c>
      <c r="AG450" s="69" t="s">
        <v>2665</v>
      </c>
      <c r="AH450" s="86" t="s">
        <v>2666</v>
      </c>
      <c r="AI450" s="69"/>
    </row>
    <row r="451" spans="1:35" ht="36" x14ac:dyDescent="0.3">
      <c r="A451" s="92" t="s">
        <v>2610</v>
      </c>
      <c r="B451" s="72">
        <v>78260</v>
      </c>
      <c r="C451" s="69" t="s">
        <v>1082</v>
      </c>
      <c r="D451" s="69" t="s">
        <v>2453</v>
      </c>
      <c r="E451" s="69">
        <v>202</v>
      </c>
      <c r="F451" s="69">
        <v>2</v>
      </c>
      <c r="G451" s="69">
        <v>3</v>
      </c>
      <c r="H451" s="130">
        <v>200077</v>
      </c>
      <c r="I451" s="69">
        <v>942</v>
      </c>
      <c r="J451" s="69" t="s">
        <v>2454</v>
      </c>
      <c r="K451" s="69"/>
      <c r="L451" s="69" t="s">
        <v>2611</v>
      </c>
      <c r="M451" s="71">
        <v>43809</v>
      </c>
      <c r="N451" s="69" t="s">
        <v>84</v>
      </c>
      <c r="O451" s="71">
        <v>43815</v>
      </c>
      <c r="P451" s="69"/>
      <c r="Q451" s="69" t="s">
        <v>68</v>
      </c>
      <c r="R451" s="73" t="s">
        <v>2609</v>
      </c>
      <c r="S451" s="69" t="s">
        <v>2658</v>
      </c>
      <c r="T451" s="69"/>
      <c r="U451" s="69" t="s">
        <v>2620</v>
      </c>
      <c r="V451" s="69" t="s">
        <v>53</v>
      </c>
      <c r="W451" s="70">
        <v>58.5</v>
      </c>
      <c r="X451" s="69" t="s">
        <v>55</v>
      </c>
      <c r="Y451" s="70">
        <v>54</v>
      </c>
      <c r="Z451" s="69" t="s">
        <v>61</v>
      </c>
      <c r="AA451" s="70">
        <v>42.2</v>
      </c>
      <c r="AB451" s="69">
        <v>8</v>
      </c>
      <c r="AC451" s="69" t="s">
        <v>73</v>
      </c>
      <c r="AD451" s="70">
        <v>36</v>
      </c>
      <c r="AE451" s="70">
        <f>IFERROR(factures[[#This Row],[Plvts ]]*factures[[#This Row],[Prix Analyses]],0)</f>
        <v>288</v>
      </c>
      <c r="AF451" s="70">
        <f>factures[[#This Row],[Prix Prestation Amiante 1]]+factures[[#This Row],[Prix Prestation Amiante 2]]+factures[[#This Row],[Prix Prestation Gaz]]+factures[[#This Row],[Prix analyses HT]]</f>
        <v>442.7</v>
      </c>
      <c r="AG451" s="69" t="s">
        <v>2660</v>
      </c>
      <c r="AH451" s="86" t="s">
        <v>2659</v>
      </c>
      <c r="AI451" s="69"/>
    </row>
    <row r="452" spans="1:35" ht="84" x14ac:dyDescent="0.3">
      <c r="A452" s="92" t="s">
        <v>1462</v>
      </c>
      <c r="B452" s="72">
        <v>78540</v>
      </c>
      <c r="C452" s="69" t="s">
        <v>351</v>
      </c>
      <c r="D452" s="69" t="s">
        <v>1693</v>
      </c>
      <c r="E452" s="69">
        <v>202</v>
      </c>
      <c r="F452" s="69">
        <v>2</v>
      </c>
      <c r="G452" s="69">
        <v>4</v>
      </c>
      <c r="H452" s="69">
        <v>53183</v>
      </c>
      <c r="I452" s="69">
        <v>9700</v>
      </c>
      <c r="J452" s="69" t="s">
        <v>2516</v>
      </c>
      <c r="K452" s="69"/>
      <c r="L452" s="69" t="s">
        <v>2612</v>
      </c>
      <c r="M452" s="71">
        <v>43809</v>
      </c>
      <c r="N452" s="69" t="s">
        <v>84</v>
      </c>
      <c r="O452" s="71">
        <v>43471</v>
      </c>
      <c r="P452" s="69"/>
      <c r="Q452" s="69" t="s">
        <v>68</v>
      </c>
      <c r="R452" s="73" t="s">
        <v>2613</v>
      </c>
      <c r="S452" s="69" t="s">
        <v>2661</v>
      </c>
      <c r="T452" s="69" t="s">
        <v>2623</v>
      </c>
      <c r="U452" s="69" t="s">
        <v>2638</v>
      </c>
      <c r="V452" s="69" t="s">
        <v>55</v>
      </c>
      <c r="W452" s="70">
        <v>54</v>
      </c>
      <c r="X452" s="69" t="s">
        <v>54</v>
      </c>
      <c r="Y452" s="70">
        <v>67.5</v>
      </c>
      <c r="Z452" s="69" t="s">
        <v>62</v>
      </c>
      <c r="AA452" s="70">
        <v>47.7</v>
      </c>
      <c r="AB452" s="69">
        <v>10</v>
      </c>
      <c r="AC452" s="69" t="s">
        <v>73</v>
      </c>
      <c r="AD452" s="70">
        <v>36</v>
      </c>
      <c r="AE452" s="70">
        <f>IFERROR(factures[[#This Row],[Plvts ]]*factures[[#This Row],[Prix Analyses]],0)</f>
        <v>360</v>
      </c>
      <c r="AF452" s="70">
        <f>factures[[#This Row],[Prix Prestation Amiante 1]]+factures[[#This Row],[Prix Prestation Amiante 2]]+factures[[#This Row],[Prix Prestation Gaz]]+factures[[#This Row],[Prix analyses HT]]</f>
        <v>529.20000000000005</v>
      </c>
      <c r="AG452" s="69" t="s">
        <v>2663</v>
      </c>
      <c r="AH452" s="86" t="s">
        <v>2662</v>
      </c>
      <c r="AI452" s="69"/>
    </row>
    <row r="453" spans="1:35" ht="36" x14ac:dyDescent="0.3">
      <c r="A453" s="92" t="s">
        <v>2615</v>
      </c>
      <c r="B453" s="72">
        <v>92220</v>
      </c>
      <c r="C453" s="69" t="s">
        <v>418</v>
      </c>
      <c r="D453" s="69" t="s">
        <v>142</v>
      </c>
      <c r="E453" s="69">
        <v>2</v>
      </c>
      <c r="F453" s="69" t="s">
        <v>816</v>
      </c>
      <c r="G453" s="69">
        <v>3</v>
      </c>
      <c r="H453" s="69">
        <v>51864</v>
      </c>
      <c r="I453" s="69">
        <v>9152</v>
      </c>
      <c r="J453" s="69" t="s">
        <v>2573</v>
      </c>
      <c r="K453" s="69"/>
      <c r="L453" s="69" t="s">
        <v>2616</v>
      </c>
      <c r="M453" s="71">
        <v>43810</v>
      </c>
      <c r="N453" s="69" t="s">
        <v>70</v>
      </c>
      <c r="O453" s="71">
        <v>43812</v>
      </c>
      <c r="P453" s="69" t="s">
        <v>2618</v>
      </c>
      <c r="Q453" s="69" t="s">
        <v>68</v>
      </c>
      <c r="R453" s="73" t="s">
        <v>2617</v>
      </c>
      <c r="S453" s="69" t="s">
        <v>2641</v>
      </c>
      <c r="T453" s="69"/>
      <c r="U453" s="69" t="s">
        <v>2619</v>
      </c>
      <c r="V453" s="69" t="s">
        <v>53</v>
      </c>
      <c r="W453" s="70">
        <v>58.5</v>
      </c>
      <c r="X453" s="69"/>
      <c r="Y453" s="70">
        <f>IFERROR(VLOOKUP(factures[[#This Row],[DT Prestation Amiante 2]],presta_amiante2[#Data],2,0),0)</f>
        <v>0</v>
      </c>
      <c r="Z453" s="69"/>
      <c r="AA453" s="70">
        <f>IFERROR(VLOOKUP(factures[[#This Row],[DT Prestation Gaz]],presta_gaz[#Data],2,0),0)</f>
        <v>0</v>
      </c>
      <c r="AB453" s="69">
        <v>2</v>
      </c>
      <c r="AC453" s="69" t="s">
        <v>73</v>
      </c>
      <c r="AD453" s="70">
        <v>36</v>
      </c>
      <c r="AE453" s="70">
        <f>IFERROR(factures[[#This Row],[Plvts ]]*factures[[#This Row],[Prix Analyses]],0)</f>
        <v>72</v>
      </c>
      <c r="AF453" s="70">
        <f>factures[[#This Row],[Prix Prestation Amiante 1]]+factures[[#This Row],[Prix Prestation Amiante 2]]+factures[[#This Row],[Prix Prestation Gaz]]+factures[[#This Row],[Prix analyses HT]]</f>
        <v>130.5</v>
      </c>
      <c r="AG453" s="69" t="s">
        <v>2651</v>
      </c>
      <c r="AH453" s="86" t="s">
        <v>2654</v>
      </c>
      <c r="AI453" s="69"/>
    </row>
    <row r="454" spans="1:35" ht="60" x14ac:dyDescent="0.3">
      <c r="A454" s="92" t="s">
        <v>1030</v>
      </c>
      <c r="B454" s="72">
        <v>92170</v>
      </c>
      <c r="C454" s="69" t="s">
        <v>1031</v>
      </c>
      <c r="D454" s="69" t="s">
        <v>436</v>
      </c>
      <c r="E454" s="69">
        <v>203</v>
      </c>
      <c r="F454" s="69">
        <v>2</v>
      </c>
      <c r="G454" s="69">
        <v>2</v>
      </c>
      <c r="H454" s="69">
        <v>22424</v>
      </c>
      <c r="I454" s="69">
        <v>315</v>
      </c>
      <c r="J454" s="69" t="s">
        <v>1070</v>
      </c>
      <c r="K454" s="69"/>
      <c r="L454" s="69" t="s">
        <v>2624</v>
      </c>
      <c r="M454" s="71">
        <v>43815</v>
      </c>
      <c r="N454" s="69" t="s">
        <v>2667</v>
      </c>
      <c r="O454" s="71">
        <v>43819</v>
      </c>
      <c r="P454" s="69" t="s">
        <v>2625</v>
      </c>
      <c r="Q454" s="69" t="s">
        <v>68</v>
      </c>
      <c r="R454" s="73" t="s">
        <v>2622</v>
      </c>
      <c r="S454" s="69" t="s">
        <v>2640</v>
      </c>
      <c r="T454" s="69"/>
      <c r="U454" s="69" t="s">
        <v>2627</v>
      </c>
      <c r="V454" s="69" t="s">
        <v>53</v>
      </c>
      <c r="W454" s="70">
        <v>58.5</v>
      </c>
      <c r="X454" s="69" t="s">
        <v>93</v>
      </c>
      <c r="Y454" s="70">
        <v>78.3</v>
      </c>
      <c r="Z454" s="69"/>
      <c r="AA454" s="70">
        <f>IFERROR(VLOOKUP(factures[[#This Row],[DT Prestation Gaz]],presta_gaz[#Data],2,0),0)</f>
        <v>0</v>
      </c>
      <c r="AB454" s="69">
        <v>4</v>
      </c>
      <c r="AC454" s="69" t="s">
        <v>73</v>
      </c>
      <c r="AD454" s="70">
        <v>36</v>
      </c>
      <c r="AE454" s="70">
        <f>IFERROR(factures[[#This Row],[Plvts ]]*factures[[#This Row],[Prix Analyses]],0)</f>
        <v>144</v>
      </c>
      <c r="AF454" s="70">
        <f>factures[[#This Row],[Prix Prestation Amiante 1]]+factures[[#This Row],[Prix Prestation Amiante 2]]+factures[[#This Row],[Prix Prestation Gaz]]+factures[[#This Row],[Prix analyses HT]]</f>
        <v>280.8</v>
      </c>
      <c r="AG454" s="69" t="s">
        <v>2650</v>
      </c>
      <c r="AH454" s="86" t="s">
        <v>2654</v>
      </c>
      <c r="AI454" s="69" t="s">
        <v>2668</v>
      </c>
    </row>
    <row r="455" spans="1:35" x14ac:dyDescent="0.3">
      <c r="A455" s="146"/>
      <c r="B455" s="147"/>
      <c r="C455" s="148"/>
      <c r="D455" s="101"/>
      <c r="E455" s="101"/>
      <c r="F455" s="101"/>
      <c r="G455" s="101"/>
      <c r="H455" s="101"/>
      <c r="I455" s="101"/>
      <c r="J455" s="88"/>
      <c r="K455" s="101"/>
      <c r="L455" s="101"/>
      <c r="M455" s="101"/>
      <c r="N455" s="101"/>
      <c r="O455" s="101"/>
      <c r="P455" s="101"/>
      <c r="Q455" s="134"/>
      <c r="R455" s="149"/>
      <c r="S455" s="101" t="s">
        <v>2671</v>
      </c>
      <c r="T455" s="134"/>
      <c r="U455" s="134"/>
      <c r="V455" s="134"/>
      <c r="W455" s="137"/>
      <c r="X455" s="144"/>
      <c r="Y455" s="145"/>
      <c r="Z455" s="134"/>
      <c r="AA455" s="137"/>
      <c r="AB455" s="134"/>
      <c r="AC455" s="134"/>
      <c r="AD455" s="137"/>
      <c r="AE455" s="137"/>
      <c r="AF455" s="137">
        <v>435</v>
      </c>
      <c r="AG455" s="134"/>
      <c r="AH455" s="150" t="s">
        <v>2670</v>
      </c>
      <c r="AI455" s="139" t="s">
        <v>2669</v>
      </c>
    </row>
    <row r="456" spans="1:35" x14ac:dyDescent="0.3">
      <c r="A456" s="143"/>
      <c r="B456" s="132"/>
      <c r="C456" s="133"/>
      <c r="D456" s="134"/>
      <c r="E456" s="134"/>
      <c r="F456" s="134"/>
      <c r="G456" s="134"/>
      <c r="H456" s="134"/>
      <c r="I456" s="134"/>
      <c r="J456" s="135"/>
      <c r="K456" s="134"/>
      <c r="L456" s="134"/>
      <c r="M456" s="134"/>
      <c r="N456" s="101"/>
      <c r="O456" s="134"/>
      <c r="P456" s="134"/>
      <c r="Q456" s="134"/>
      <c r="R456" s="136"/>
      <c r="S456" s="101"/>
      <c r="T456" s="134"/>
      <c r="U456" s="134"/>
      <c r="V456" s="134"/>
      <c r="W456" s="137"/>
      <c r="X456" s="144"/>
      <c r="Y456" s="145"/>
      <c r="Z456" s="134"/>
      <c r="AA456" s="137"/>
      <c r="AB456" s="134"/>
      <c r="AC456" s="134"/>
      <c r="AD456" s="137"/>
      <c r="AE456" s="137"/>
      <c r="AF456" s="137"/>
      <c r="AG456" s="134"/>
      <c r="AH456" s="150"/>
      <c r="AI456" s="139"/>
    </row>
    <row r="457" spans="1:35" x14ac:dyDescent="0.3">
      <c r="A457" s="143"/>
      <c r="B457" s="132"/>
      <c r="C457" s="133"/>
      <c r="D457" s="134"/>
      <c r="E457" s="134"/>
      <c r="F457" s="134"/>
      <c r="G457" s="134"/>
      <c r="H457" s="134"/>
      <c r="I457" s="134"/>
      <c r="J457" s="135"/>
      <c r="K457" s="134"/>
      <c r="L457" s="134"/>
      <c r="M457" s="134"/>
      <c r="N457" s="134"/>
      <c r="O457" s="134"/>
      <c r="P457" s="134"/>
      <c r="Q457" s="134"/>
      <c r="R457" s="136"/>
      <c r="S457" s="134"/>
      <c r="T457" s="134"/>
      <c r="U457" s="134"/>
      <c r="V457" s="134"/>
      <c r="W457" s="137"/>
      <c r="X457" s="144"/>
      <c r="Y457" s="145"/>
      <c r="Z457" s="134"/>
      <c r="AA457" s="137"/>
      <c r="AB457" s="134"/>
      <c r="AC457" s="134"/>
      <c r="AD457" s="137"/>
      <c r="AE457" s="137"/>
      <c r="AF457" s="137"/>
      <c r="AG457" s="134"/>
      <c r="AH457" s="138"/>
      <c r="AI457" s="139"/>
    </row>
    <row r="458" spans="1:35" x14ac:dyDescent="0.3">
      <c r="A458" s="143"/>
      <c r="B458" s="132"/>
      <c r="C458" s="133"/>
      <c r="D458" s="134"/>
      <c r="E458" s="134"/>
      <c r="F458" s="134"/>
      <c r="G458" s="134"/>
      <c r="H458" s="134"/>
      <c r="I458" s="134"/>
      <c r="J458" s="135"/>
      <c r="K458" s="134"/>
      <c r="L458" s="134"/>
      <c r="M458" s="134"/>
      <c r="N458" s="134"/>
      <c r="O458" s="134"/>
      <c r="P458" s="134"/>
      <c r="Q458" s="134"/>
      <c r="R458" s="136"/>
      <c r="S458" s="134"/>
      <c r="T458" s="134"/>
      <c r="U458" s="134"/>
      <c r="V458" s="134"/>
      <c r="W458" s="137"/>
      <c r="X458" s="144"/>
      <c r="Y458" s="145"/>
      <c r="Z458" s="134"/>
      <c r="AA458" s="137"/>
      <c r="AB458" s="134"/>
      <c r="AC458" s="134"/>
      <c r="AD458" s="137"/>
      <c r="AE458" s="137"/>
      <c r="AF458" s="137"/>
      <c r="AG458" s="134"/>
      <c r="AH458" s="138"/>
      <c r="AI458" s="139"/>
    </row>
    <row r="459" spans="1:35" x14ac:dyDescent="0.3">
      <c r="A459" s="143"/>
      <c r="B459" s="132"/>
      <c r="C459" s="133"/>
      <c r="D459" s="134"/>
      <c r="E459" s="134"/>
      <c r="F459" s="134"/>
      <c r="G459" s="134"/>
      <c r="H459" s="134"/>
      <c r="I459" s="134"/>
      <c r="J459" s="135"/>
      <c r="K459" s="134"/>
      <c r="L459" s="134"/>
      <c r="M459" s="134"/>
      <c r="N459" s="134"/>
      <c r="O459" s="134"/>
      <c r="P459" s="134"/>
      <c r="Q459" s="134"/>
      <c r="R459" s="136"/>
      <c r="S459" s="134"/>
      <c r="T459" s="134"/>
      <c r="U459" s="134"/>
      <c r="V459" s="134"/>
      <c r="W459" s="137"/>
      <c r="X459" s="144"/>
      <c r="Y459" s="145"/>
      <c r="Z459" s="134"/>
      <c r="AA459" s="137"/>
      <c r="AB459" s="134"/>
      <c r="AC459" s="134"/>
      <c r="AD459" s="137"/>
      <c r="AE459" s="137"/>
      <c r="AF459" s="137"/>
      <c r="AG459" s="134"/>
      <c r="AH459" s="138"/>
      <c r="AI459" s="139"/>
    </row>
    <row r="460" spans="1:35" x14ac:dyDescent="0.3">
      <c r="A460" s="143"/>
      <c r="B460" s="132"/>
      <c r="C460" s="133"/>
      <c r="D460" s="134"/>
      <c r="E460" s="134"/>
      <c r="F460" s="134"/>
      <c r="G460" s="134"/>
      <c r="H460" s="134"/>
      <c r="I460" s="134"/>
      <c r="J460" s="135"/>
      <c r="K460" s="134"/>
      <c r="L460" s="134"/>
      <c r="M460" s="134"/>
      <c r="N460" s="134"/>
      <c r="O460" s="134"/>
      <c r="P460" s="134"/>
      <c r="Q460" s="134"/>
      <c r="R460" s="136"/>
      <c r="S460" s="134"/>
      <c r="T460" s="134"/>
      <c r="U460" s="134"/>
      <c r="V460" s="134"/>
      <c r="W460" s="137"/>
      <c r="X460" s="144"/>
      <c r="Y460" s="145"/>
      <c r="Z460" s="134"/>
      <c r="AA460" s="137"/>
      <c r="AB460" s="134"/>
      <c r="AC460" s="134"/>
      <c r="AD460" s="137"/>
      <c r="AE460" s="137"/>
      <c r="AF460" s="137"/>
      <c r="AG460" s="134"/>
      <c r="AH460" s="138"/>
      <c r="AI460" s="139"/>
    </row>
    <row r="461" spans="1:35" x14ac:dyDescent="0.3">
      <c r="A461" s="143"/>
      <c r="B461" s="132"/>
      <c r="C461" s="133"/>
      <c r="D461" s="134"/>
      <c r="E461" s="134"/>
      <c r="F461" s="134"/>
      <c r="G461" s="134"/>
      <c r="H461" s="134"/>
      <c r="I461" s="134"/>
      <c r="J461" s="135"/>
      <c r="K461" s="134"/>
      <c r="L461" s="134"/>
      <c r="M461" s="134"/>
      <c r="N461" s="134"/>
      <c r="O461" s="134"/>
      <c r="P461" s="134"/>
      <c r="Q461" s="134"/>
      <c r="R461" s="136"/>
      <c r="S461" s="134"/>
      <c r="T461" s="134"/>
      <c r="U461" s="134"/>
      <c r="V461" s="134"/>
      <c r="W461" s="137"/>
      <c r="X461" s="144"/>
      <c r="Y461" s="145"/>
      <c r="Z461" s="134"/>
      <c r="AA461" s="137"/>
      <c r="AB461" s="134"/>
      <c r="AC461" s="134"/>
      <c r="AD461" s="137"/>
      <c r="AE461" s="137"/>
      <c r="AF461" s="137"/>
      <c r="AG461" s="134"/>
      <c r="AH461" s="138"/>
      <c r="AI461" s="139"/>
    </row>
    <row r="462" spans="1:35" x14ac:dyDescent="0.3">
      <c r="A462" s="143"/>
      <c r="B462" s="132"/>
      <c r="C462" s="133"/>
      <c r="D462" s="134"/>
      <c r="E462" s="134"/>
      <c r="F462" s="134"/>
      <c r="G462" s="134"/>
      <c r="H462" s="134"/>
      <c r="I462" s="134"/>
      <c r="J462" s="135"/>
      <c r="K462" s="134"/>
      <c r="L462" s="134"/>
      <c r="M462" s="134"/>
      <c r="N462" s="134"/>
      <c r="O462" s="134"/>
      <c r="P462" s="134"/>
      <c r="Q462" s="134"/>
      <c r="R462" s="136"/>
      <c r="S462" s="134"/>
      <c r="T462" s="134"/>
      <c r="U462" s="134"/>
      <c r="V462" s="134"/>
      <c r="W462" s="137"/>
      <c r="X462" s="144"/>
      <c r="Y462" s="145"/>
      <c r="Z462" s="134"/>
      <c r="AA462" s="137"/>
      <c r="AB462" s="134"/>
      <c r="AC462" s="134"/>
      <c r="AD462" s="137"/>
      <c r="AE462" s="137"/>
      <c r="AF462" s="137"/>
      <c r="AG462" s="134"/>
      <c r="AH462" s="138"/>
      <c r="AI462" s="139"/>
    </row>
    <row r="463" spans="1:35" x14ac:dyDescent="0.3">
      <c r="A463" s="143"/>
      <c r="B463" s="132"/>
      <c r="C463" s="133"/>
      <c r="D463" s="134"/>
      <c r="E463" s="134"/>
      <c r="F463" s="134"/>
      <c r="G463" s="134"/>
      <c r="H463" s="134"/>
      <c r="I463" s="134"/>
      <c r="J463" s="135"/>
      <c r="K463" s="134"/>
      <c r="L463" s="134"/>
      <c r="M463" s="134"/>
      <c r="N463" s="134"/>
      <c r="O463" s="134"/>
      <c r="P463" s="134"/>
      <c r="Q463" s="134"/>
      <c r="R463" s="136"/>
      <c r="S463" s="134"/>
      <c r="T463" s="134"/>
      <c r="U463" s="134"/>
      <c r="V463" s="134"/>
      <c r="W463" s="137"/>
      <c r="X463" s="144"/>
      <c r="Y463" s="145"/>
      <c r="Z463" s="134"/>
      <c r="AA463" s="137"/>
      <c r="AB463" s="134"/>
      <c r="AC463" s="134"/>
      <c r="AD463" s="137"/>
      <c r="AE463" s="137"/>
      <c r="AF463" s="137"/>
      <c r="AG463" s="134"/>
      <c r="AH463" s="138"/>
      <c r="AI463" s="139"/>
    </row>
    <row r="464" spans="1:35" x14ac:dyDescent="0.3">
      <c r="A464" s="143"/>
      <c r="B464" s="132"/>
      <c r="C464" s="133"/>
      <c r="D464" s="134"/>
      <c r="E464" s="134"/>
      <c r="F464" s="134"/>
      <c r="G464" s="134"/>
      <c r="H464" s="134"/>
      <c r="I464" s="134"/>
      <c r="J464" s="135"/>
      <c r="K464" s="134"/>
      <c r="L464" s="134"/>
      <c r="M464" s="134"/>
      <c r="N464" s="134"/>
      <c r="O464" s="134"/>
      <c r="P464" s="134"/>
      <c r="Q464" s="134"/>
      <c r="R464" s="136"/>
      <c r="S464" s="134"/>
      <c r="T464" s="134"/>
      <c r="U464" s="134"/>
      <c r="V464" s="134"/>
      <c r="W464" s="137"/>
      <c r="X464" s="144"/>
      <c r="Y464" s="145"/>
      <c r="Z464" s="134"/>
      <c r="AA464" s="137"/>
      <c r="AB464" s="134"/>
      <c r="AC464" s="134"/>
      <c r="AD464" s="137"/>
      <c r="AE464" s="137"/>
      <c r="AF464" s="137"/>
      <c r="AG464" s="134"/>
      <c r="AH464" s="138"/>
      <c r="AI464" s="139"/>
    </row>
    <row r="465" spans="1:35" x14ac:dyDescent="0.3">
      <c r="A465" s="143"/>
      <c r="B465" s="132"/>
      <c r="C465" s="133"/>
      <c r="D465" s="134"/>
      <c r="E465" s="134"/>
      <c r="F465" s="134"/>
      <c r="G465" s="134"/>
      <c r="H465" s="134"/>
      <c r="I465" s="134"/>
      <c r="J465" s="135"/>
      <c r="K465" s="134"/>
      <c r="L465" s="134"/>
      <c r="M465" s="134"/>
      <c r="N465" s="134"/>
      <c r="O465" s="134"/>
      <c r="P465" s="134"/>
      <c r="Q465" s="134"/>
      <c r="R465" s="136"/>
      <c r="S465" s="134"/>
      <c r="T465" s="134"/>
      <c r="U465" s="134"/>
      <c r="V465" s="134"/>
      <c r="W465" s="137"/>
      <c r="X465" s="144"/>
      <c r="Y465" s="145"/>
      <c r="Z465" s="134"/>
      <c r="AA465" s="137"/>
      <c r="AB465" s="134"/>
      <c r="AC465" s="134"/>
      <c r="AD465" s="137"/>
      <c r="AE465" s="137"/>
      <c r="AF465" s="137"/>
      <c r="AG465" s="134"/>
      <c r="AH465" s="138"/>
      <c r="AI465" s="139"/>
    </row>
    <row r="466" spans="1:35" x14ac:dyDescent="0.3">
      <c r="A466" s="143"/>
      <c r="B466" s="132"/>
      <c r="C466" s="133"/>
      <c r="D466" s="134"/>
      <c r="E466" s="134"/>
      <c r="F466" s="134"/>
      <c r="G466" s="134"/>
      <c r="H466" s="134"/>
      <c r="I466" s="134"/>
      <c r="J466" s="135"/>
      <c r="K466" s="134"/>
      <c r="L466" s="134"/>
      <c r="M466" s="134"/>
      <c r="N466" s="134"/>
      <c r="O466" s="134"/>
      <c r="P466" s="134"/>
      <c r="Q466" s="134"/>
      <c r="R466" s="136"/>
      <c r="S466" s="134"/>
      <c r="T466" s="134"/>
      <c r="U466" s="134"/>
      <c r="V466" s="134"/>
      <c r="W466" s="137"/>
      <c r="X466" s="144"/>
      <c r="Y466" s="145"/>
      <c r="Z466" s="134"/>
      <c r="AA466" s="137"/>
      <c r="AB466" s="134"/>
      <c r="AC466" s="134"/>
      <c r="AD466" s="137"/>
      <c r="AE466" s="137"/>
      <c r="AF466" s="137"/>
      <c r="AG466" s="134"/>
      <c r="AH466" s="138"/>
      <c r="AI466" s="139"/>
    </row>
    <row r="467" spans="1:35" x14ac:dyDescent="0.3">
      <c r="A467" s="143"/>
      <c r="B467" s="132"/>
      <c r="C467" s="133"/>
      <c r="D467" s="134"/>
      <c r="E467" s="134"/>
      <c r="F467" s="134"/>
      <c r="G467" s="134"/>
      <c r="H467" s="134"/>
      <c r="I467" s="134"/>
      <c r="J467" s="135"/>
      <c r="K467" s="134"/>
      <c r="L467" s="134"/>
      <c r="M467" s="134"/>
      <c r="N467" s="134"/>
      <c r="O467" s="134"/>
      <c r="P467" s="134"/>
      <c r="Q467" s="134"/>
      <c r="R467" s="136"/>
      <c r="S467" s="134"/>
      <c r="T467" s="134"/>
      <c r="U467" s="134"/>
      <c r="V467" s="134"/>
      <c r="W467" s="137"/>
      <c r="X467" s="144"/>
      <c r="Y467" s="145"/>
      <c r="Z467" s="134"/>
      <c r="AA467" s="137"/>
      <c r="AB467" s="134"/>
      <c r="AC467" s="134"/>
      <c r="AD467" s="137"/>
      <c r="AE467" s="137"/>
      <c r="AF467" s="137"/>
      <c r="AG467" s="134"/>
      <c r="AH467" s="138"/>
      <c r="AI467" s="139"/>
    </row>
    <row r="468" spans="1:35" x14ac:dyDescent="0.3">
      <c r="A468" s="143"/>
      <c r="B468" s="132"/>
      <c r="C468" s="133"/>
      <c r="D468" s="134"/>
      <c r="E468" s="134"/>
      <c r="F468" s="134"/>
      <c r="G468" s="134"/>
      <c r="H468" s="134"/>
      <c r="I468" s="134"/>
      <c r="J468" s="135"/>
      <c r="K468" s="134"/>
      <c r="L468" s="134"/>
      <c r="M468" s="134"/>
      <c r="N468" s="134"/>
      <c r="O468" s="134"/>
      <c r="P468" s="134"/>
      <c r="Q468" s="134"/>
      <c r="R468" s="136"/>
      <c r="S468" s="134"/>
      <c r="T468" s="134"/>
      <c r="U468" s="134"/>
      <c r="V468" s="134"/>
      <c r="W468" s="137"/>
      <c r="X468" s="144"/>
      <c r="Y468" s="145"/>
      <c r="Z468" s="134"/>
      <c r="AA468" s="137"/>
      <c r="AB468" s="134"/>
      <c r="AC468" s="134"/>
      <c r="AD468" s="137"/>
      <c r="AE468" s="137"/>
      <c r="AF468" s="137"/>
      <c r="AG468" s="134"/>
      <c r="AH468" s="138"/>
      <c r="AI468" s="139"/>
    </row>
    <row r="469" spans="1:35" x14ac:dyDescent="0.3">
      <c r="A469" s="143"/>
      <c r="B469" s="132"/>
      <c r="C469" s="133"/>
      <c r="D469" s="134"/>
      <c r="E469" s="134"/>
      <c r="F469" s="134"/>
      <c r="G469" s="134"/>
      <c r="H469" s="134"/>
      <c r="I469" s="134"/>
      <c r="J469" s="135"/>
      <c r="K469" s="134"/>
      <c r="L469" s="134"/>
      <c r="M469" s="134"/>
      <c r="N469" s="134"/>
      <c r="O469" s="134"/>
      <c r="P469" s="134"/>
      <c r="Q469" s="134"/>
      <c r="R469" s="136"/>
      <c r="S469" s="134"/>
      <c r="T469" s="134"/>
      <c r="U469" s="134"/>
      <c r="V469" s="134"/>
      <c r="W469" s="137"/>
      <c r="X469" s="144"/>
      <c r="Y469" s="145"/>
      <c r="Z469" s="134"/>
      <c r="AA469" s="137"/>
      <c r="AB469" s="134"/>
      <c r="AC469" s="134"/>
      <c r="AD469" s="137"/>
      <c r="AE469" s="137"/>
      <c r="AF469" s="137"/>
      <c r="AG469" s="134"/>
      <c r="AH469" s="138"/>
      <c r="AI469" s="139"/>
    </row>
    <row r="470" spans="1:35" x14ac:dyDescent="0.3">
      <c r="A470" s="143"/>
      <c r="B470" s="132"/>
      <c r="C470" s="133"/>
      <c r="D470" s="134"/>
      <c r="E470" s="134"/>
      <c r="F470" s="134"/>
      <c r="G470" s="134"/>
      <c r="H470" s="134"/>
      <c r="I470" s="134"/>
      <c r="J470" s="135"/>
      <c r="K470" s="134"/>
      <c r="L470" s="134"/>
      <c r="M470" s="134"/>
      <c r="N470" s="134"/>
      <c r="O470" s="134"/>
      <c r="P470" s="134"/>
      <c r="Q470" s="134"/>
      <c r="R470" s="136"/>
      <c r="S470" s="134"/>
      <c r="T470" s="134"/>
      <c r="U470" s="134"/>
      <c r="V470" s="134"/>
      <c r="W470" s="137"/>
      <c r="X470" s="144"/>
      <c r="Y470" s="145"/>
      <c r="Z470" s="134"/>
      <c r="AA470" s="137"/>
      <c r="AB470" s="134"/>
      <c r="AC470" s="134"/>
      <c r="AD470" s="137"/>
      <c r="AE470" s="137"/>
      <c r="AF470" s="137"/>
      <c r="AG470" s="134"/>
      <c r="AH470" s="138"/>
      <c r="AI470" s="139"/>
    </row>
    <row r="471" spans="1:35" x14ac:dyDescent="0.3">
      <c r="A471" s="143"/>
      <c r="B471" s="132"/>
      <c r="C471" s="133"/>
      <c r="D471" s="134"/>
      <c r="E471" s="134"/>
      <c r="F471" s="134"/>
      <c r="G471" s="134"/>
      <c r="H471" s="134"/>
      <c r="I471" s="134"/>
      <c r="J471" s="135"/>
      <c r="K471" s="134"/>
      <c r="L471" s="134"/>
      <c r="M471" s="134"/>
      <c r="N471" s="134"/>
      <c r="O471" s="134"/>
      <c r="P471" s="134"/>
      <c r="Q471" s="134"/>
      <c r="R471" s="136"/>
      <c r="S471" s="134"/>
      <c r="T471" s="134"/>
      <c r="U471" s="134"/>
      <c r="V471" s="134"/>
      <c r="W471" s="137"/>
      <c r="X471" s="144"/>
      <c r="Y471" s="145"/>
      <c r="Z471" s="134"/>
      <c r="AA471" s="137"/>
      <c r="AB471" s="134"/>
      <c r="AC471" s="134"/>
      <c r="AD471" s="137"/>
      <c r="AE471" s="137"/>
      <c r="AF471" s="137"/>
      <c r="AG471" s="134"/>
      <c r="AH471" s="138"/>
      <c r="AI471" s="139"/>
    </row>
    <row r="472" spans="1:35" x14ac:dyDescent="0.3">
      <c r="A472" s="140"/>
      <c r="B472" s="132"/>
      <c r="C472" s="133"/>
      <c r="D472" s="134"/>
      <c r="E472" s="134"/>
      <c r="F472" s="134"/>
      <c r="G472" s="134"/>
      <c r="H472" s="134"/>
      <c r="I472" s="134"/>
      <c r="J472" s="135"/>
      <c r="K472" s="134"/>
      <c r="L472" s="134"/>
      <c r="M472" s="134"/>
      <c r="N472" s="134"/>
      <c r="O472" s="134"/>
      <c r="P472" s="134"/>
      <c r="Q472" s="134"/>
      <c r="R472" s="136"/>
      <c r="S472" s="134"/>
      <c r="T472" s="134"/>
      <c r="U472" s="134"/>
      <c r="V472" s="134"/>
      <c r="W472" s="137"/>
      <c r="X472" s="141"/>
      <c r="Y472" s="142"/>
      <c r="Z472" s="134"/>
      <c r="AA472" s="137"/>
      <c r="AB472" s="134"/>
      <c r="AC472" s="134"/>
      <c r="AD472" s="137"/>
      <c r="AE472" s="137"/>
      <c r="AF472" s="137"/>
      <c r="AG472" s="134"/>
      <c r="AH472" s="138"/>
      <c r="AI472" s="139"/>
    </row>
  </sheetData>
  <sheetProtection sort="0" autoFilter="0" pivotTables="0"/>
  <protectedRanges>
    <protectedRange algorithmName="SHA-512" hashValue="wJf1wJwnRirdWyQGRvSzB43RWDLtr7/LkO9mHApMmbTeomrprjomYn/ifOq8+/x4aZoCCOCK2LfoMD4iRXgbrA==" saltValue="0xEkdcQiKVye8Q7pCIKTQQ==" spinCount="100000" sqref="W2:W268 Y2:Y268 AA271:AA454 AA2:AA268 AD2:AF454 W271:W454 Y271:Y454" name="Prix"/>
  </protectedRanges>
  <phoneticPr fontId="33" type="noConversion"/>
  <conditionalFormatting sqref="Q93:Q97 Q111 Q113:Q116 Q118 Q127 Q135:Q172 Q174:Q177 Q179:Q182 Q184:Q192 Q194:Q196 Q199:Q201 Q203:Q206 Q209:Q212 Q214:Q216 Q218:Q225 Q231 Q235:Q241 Q244:Q249 Q251:Q254 Q256:Q258 Q260 Q262 Q264:Q275 Q279 Q282:Q287 Q291:Q292 Q294:Q297 Q299:Q300 Q302:Q303 Q305:Q306 Q309:Q310 Q312:Q315 Q317 Q320 Q326:Q328 Q335:Q337 Q350:Q351 Q365 Q331:Q333 Q353:Q354 Q356:Q357 Q359:Q363 Q368 Q339:Q344 Q377 Q379 Q373:Q375 Q381:Q383 Q385:Q454">
    <cfRule type="containsText" dxfId="6" priority="36" operator="containsText" text="Annulé">
      <formula>NOT(ISERROR(SEARCH("Annulé",Q93)))</formula>
    </cfRule>
    <cfRule type="containsText" dxfId="5" priority="37" operator="containsText" text="Blocage">
      <formula>NOT(ISERROR(SEARCH("Blocage",Q93)))</formula>
    </cfRule>
    <cfRule type="containsText" dxfId="4" priority="38" operator="containsText" text="A programmer">
      <formula>NOT(ISERROR(SEARCH("A programmer",Q93)))</formula>
    </cfRule>
    <cfRule type="containsText" dxfId="3" priority="40" operator="containsText" text="Attente résultats">
      <formula>NOT(ISERROR(SEARCH("Attente résultats",Q93)))</formula>
    </cfRule>
    <cfRule type="containsText" dxfId="2" priority="41" operator="containsText" text="Intervention">
      <formula>NOT(ISERROR(SEARCH("Intervention",Q93)))</formula>
    </cfRule>
    <cfRule type="containsText" dxfId="1" priority="42" operator="containsText" text="Facturé">
      <formula>NOT(ISERROR(SEARCH("Facturé",Q93)))</formula>
    </cfRule>
    <cfRule type="containsText" dxfId="0" priority="43" operator="containsText" text="Envoyé">
      <formula>NOT(ISERROR(SEARCH("Envoyé",Q93)))</formula>
    </cfRule>
  </conditionalFormatting>
  <conditionalFormatting sqref="Q2:Q44 Q112 Q117 Q46:Q92 Q98:Q110 Q119:Q126 Q128:Q134 Q173 Q178 Q183 Q193 Q197:Q198 Q202 Q207:Q208 Q213 Q217 Q226:Q230 Q232:Q234 Q242:Q243 Q250 Q255 Q259 Q261 Q263 Q276:Q278 Q288:Q290 Q293 Q298 Q301 Q304 Q307:Q308 Q311 Q316 Q334 Q352 Q355 Q358 Q364 Q280:Q281 Q318:Q319 Q321:Q325 Q329:Q330 Q338 Q345:Q349 Q366:Q367 Q369:Q372 Q376 Q378 Q380 Q384">
    <cfRule type="containsText" dxfId="77" priority="22" operator="containsText" text="Annulé">
      <formula>NOT(ISERROR(SEARCH("Annulé",Q2)))</formula>
    </cfRule>
    <cfRule type="containsText" dxfId="76" priority="23" operator="containsText" text="Blocage">
      <formula>NOT(ISERROR(SEARCH("Blocage",Q2)))</formula>
    </cfRule>
    <cfRule type="containsText" dxfId="75" priority="24" operator="containsText" text="A programmer">
      <formula>NOT(ISERROR(SEARCH("A programmer",Q2)))</formula>
    </cfRule>
    <cfRule type="containsText" dxfId="74" priority="25" operator="containsText" text="Attente résultats">
      <formula>NOT(ISERROR(SEARCH("Attente résultats",Q2)))</formula>
    </cfRule>
    <cfRule type="containsText" dxfId="73" priority="26" operator="containsText" text="Intervention">
      <formula>NOT(ISERROR(SEARCH("Intervention",Q2)))</formula>
    </cfRule>
    <cfRule type="containsText" dxfId="72" priority="27" operator="containsText" text="Facturé">
      <formula>NOT(ISERROR(SEARCH("Facturé",Q2)))</formula>
    </cfRule>
    <cfRule type="containsText" dxfId="71" priority="28" operator="containsText" text="Envoyé">
      <formula>NOT(ISERROR(SEARCH("Envoyé",Q2)))</formula>
    </cfRule>
  </conditionalFormatting>
  <conditionalFormatting sqref="Q45">
    <cfRule type="containsText" dxfId="70" priority="15" operator="containsText" text="Annulé">
      <formula>NOT(ISERROR(SEARCH("Annulé",Q45)))</formula>
    </cfRule>
    <cfRule type="containsText" dxfId="69" priority="16" operator="containsText" text="Blocage">
      <formula>NOT(ISERROR(SEARCH("Blocage",Q45)))</formula>
    </cfRule>
    <cfRule type="containsText" dxfId="68" priority="17" operator="containsText" text="A programmer">
      <formula>NOT(ISERROR(SEARCH("A programmer",Q45)))</formula>
    </cfRule>
    <cfRule type="containsText" dxfId="67" priority="18" operator="containsText" text="Attente résultats">
      <formula>NOT(ISERROR(SEARCH("Attente résultats",Q45)))</formula>
    </cfRule>
    <cfRule type="containsText" dxfId="66" priority="19" operator="containsText" text="Intervention">
      <formula>NOT(ISERROR(SEARCH("Intervention",Q45)))</formula>
    </cfRule>
    <cfRule type="containsText" dxfId="65" priority="20" operator="containsText" text="Facturé">
      <formula>NOT(ISERROR(SEARCH("Facturé",Q45)))</formula>
    </cfRule>
    <cfRule type="containsText" dxfId="64" priority="21" operator="containsText" text="Envoyé">
      <formula>NOT(ISERROR(SEARCH("Envoyé",Q45)))</formula>
    </cfRule>
  </conditionalFormatting>
  <dataValidations count="12">
    <dataValidation type="date" operator="greaterThan" allowBlank="1" showInputMessage="1" showErrorMessage="1" errorTitle="Erreur sur le format de la date" error="Merci de renseigner une date au format jj/mm/aaaa" sqref="M15:M16 O15:O16 M39:M454 O37:O454" xr:uid="{00000000-0002-0000-0000-000000000000}">
      <formula1>25569</formula1>
    </dataValidation>
    <dataValidation type="list" allowBlank="1" showInputMessage="1" showErrorMessage="1" sqref="N2 N4:N7 N9:N16" xr:uid="{00000000-0002-0000-0000-000001000000}">
      <formula1>mission</formula1>
    </dataValidation>
    <dataValidation type="list" errorStyle="information" allowBlank="1" showInputMessage="1" sqref="N3" xr:uid="{00000000-0002-0000-0000-000002000000}">
      <formula1>"RRA, RRA+DAT, RRA+DAT+GAZ, DAT, DAT+GAZ, GAZ"</formula1>
    </dataValidation>
    <dataValidation type="list" allowBlank="1" showInputMessage="1" showErrorMessage="1" sqref="AB283:AB454 AB2:AB281" xr:uid="{00000000-0002-0000-0000-000008000000}">
      <formula1>"1,2,3,4,5,6,7,8,9,10,11,12,13,14,15,16,17,18,19,20,21,22,23,24,25"</formula1>
    </dataValidation>
    <dataValidation type="list" errorStyle="information" allowBlank="1" showInputMessage="1" showErrorMessage="1" sqref="AB282" xr:uid="{23679D70-BC58-460F-8B79-DC89E94F12FF}">
      <formula1>"1,2,3,4,5,6,7,8,9,10,11,12,13,14,15,16,17,18,19,20,21,22,23,24,25"</formula1>
    </dataValidation>
    <dataValidation type="list" errorStyle="information" allowBlank="1" showInputMessage="1" showErrorMessage="1" sqref="N8 N17:N454" xr:uid="{D09E1746-C66C-4AA8-8F77-64A049554147}">
      <formula1>mission</formula1>
    </dataValidation>
    <dataValidation type="list" allowBlank="1" showInputMessage="1" showErrorMessage="1" sqref="V287 AC2:AC472" xr:uid="{00000000-0002-0000-0000-000005000000}">
      <formula1>analyses</formula1>
    </dataValidation>
    <dataValidation type="list" allowBlank="1" showInputMessage="1" showErrorMessage="1" sqref="V2:V286 V288:V454" xr:uid="{00000000-0002-0000-0000-000003000000}">
      <formula1>prestation_amiante_1</formula1>
    </dataValidation>
    <dataValidation type="list" allowBlank="1" showInputMessage="1" showErrorMessage="1" sqref="AI2:AI472" xr:uid="{00000000-0002-0000-0000-000006000000}">
      <formula1>"Oui,Non"</formula1>
    </dataValidation>
    <dataValidation type="list" allowBlank="1" showInputMessage="1" showErrorMessage="1" sqref="Z2:Z472" xr:uid="{00000000-0002-0000-0000-000004000000}">
      <formula1>prestation_gaz</formula1>
    </dataValidation>
    <dataValidation type="list" allowBlank="1" showInputMessage="1" showErrorMessage="1" sqref="Q2:Q472" xr:uid="{00000000-0002-0000-0000-000007000000}">
      <formula1>etat</formula1>
    </dataValidation>
    <dataValidation type="list" allowBlank="1" showInputMessage="1" showErrorMessage="1" sqref="X2:X472" xr:uid="{00000000-0002-0000-0000-000009000000}">
      <formula1>prestation_amiante_2</formula1>
    </dataValidation>
  </dataValidations>
  <pageMargins left="0.7" right="0.7" top="0.75" bottom="0.75" header="0.3" footer="0.3"/>
  <pageSetup paperSize="9" orientation="portrait" r:id="rId1"/>
  <tableParts count="1">
    <tablePart r:id="rId2"/>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Feuil4">
    <tabColor rgb="FF0070C0"/>
  </sheetPr>
  <dimension ref="A2"/>
  <sheetViews>
    <sheetView showGridLines="0" showRowColHeaders="0" workbookViewId="0">
      <selection activeCell="I24" sqref="I24"/>
    </sheetView>
  </sheetViews>
  <sheetFormatPr baseColWidth="10" defaultRowHeight="14.4" x14ac:dyDescent="0.3"/>
  <sheetData>
    <row r="2" spans="1:1" ht="17.399999999999999" x14ac:dyDescent="0.3">
      <c r="A2" s="35"/>
    </row>
  </sheetData>
  <pageMargins left="0.7" right="0.7" top="0.75" bottom="0.75" header="0.3" footer="0.3"/>
  <drawing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Feuil1">
    <tabColor theme="0" tint="-0.499984740745262"/>
    <pageSetUpPr fitToPage="1"/>
  </sheetPr>
  <dimension ref="A3:M75"/>
  <sheetViews>
    <sheetView view="pageBreakPreview" zoomScaleNormal="115" zoomScaleSheetLayoutView="100" zoomScalePageLayoutView="130" workbookViewId="0">
      <selection activeCell="H9" sqref="H9:L19"/>
    </sheetView>
  </sheetViews>
  <sheetFormatPr baseColWidth="10" defaultColWidth="8.88671875" defaultRowHeight="14.4" x14ac:dyDescent="0.3"/>
  <cols>
    <col min="1" max="1" width="3.88671875" style="1" customWidth="1"/>
    <col min="2" max="2" width="8.88671875" style="1"/>
    <col min="3" max="3" width="18.88671875" style="1" bestFit="1" customWidth="1"/>
    <col min="4" max="4" width="12.44140625" style="1" bestFit="1" customWidth="1"/>
    <col min="5" max="5" width="8.88671875" style="1"/>
    <col min="6" max="6" width="5" style="1" customWidth="1"/>
    <col min="7" max="7" width="8.6640625" style="1" customWidth="1"/>
    <col min="8" max="8" width="14.33203125" style="1" customWidth="1"/>
    <col min="9" max="10" width="8.88671875" style="1"/>
    <col min="11" max="12" width="9.88671875" style="1" customWidth="1"/>
    <col min="13" max="13" width="3.88671875" style="1" customWidth="1"/>
    <col min="14" max="16384" width="8.88671875" style="1"/>
  </cols>
  <sheetData>
    <row r="3" spans="2:12" ht="18.75" customHeight="1" x14ac:dyDescent="0.3"/>
    <row r="5" spans="2:12" s="2" customFormat="1" ht="15" customHeight="1" x14ac:dyDescent="0.3">
      <c r="B5" s="179"/>
      <c r="C5" s="179"/>
      <c r="D5" s="179"/>
      <c r="G5" s="3"/>
      <c r="H5" s="3"/>
      <c r="I5" s="3"/>
      <c r="J5" s="3"/>
      <c r="K5" s="3"/>
      <c r="L5" s="3"/>
    </row>
    <row r="6" spans="2:12" s="2" customFormat="1" ht="15" customHeight="1" x14ac:dyDescent="0.3">
      <c r="B6" s="4"/>
      <c r="C6" s="4"/>
      <c r="D6" s="4"/>
      <c r="G6" s="3"/>
      <c r="H6" s="3"/>
      <c r="I6" s="3"/>
      <c r="J6" s="3"/>
      <c r="K6" s="3"/>
      <c r="L6" s="3"/>
    </row>
    <row r="7" spans="2:12" ht="15" customHeight="1" x14ac:dyDescent="0.3">
      <c r="B7" s="176"/>
      <c r="C7" s="176"/>
      <c r="D7" s="176"/>
      <c r="G7" s="3"/>
      <c r="H7" s="3"/>
      <c r="I7" s="3"/>
      <c r="J7" s="3"/>
      <c r="K7" s="3"/>
      <c r="L7" s="3"/>
    </row>
    <row r="8" spans="2:12" ht="15" customHeight="1" x14ac:dyDescent="0.3">
      <c r="B8" s="176"/>
      <c r="C8" s="176"/>
      <c r="D8" s="176"/>
      <c r="G8" s="3"/>
      <c r="H8" s="3"/>
      <c r="I8" s="3"/>
      <c r="J8" s="3"/>
      <c r="K8" s="3"/>
      <c r="L8" s="3"/>
    </row>
    <row r="9" spans="2:12" ht="15" customHeight="1" x14ac:dyDescent="0.3">
      <c r="B9" s="176"/>
      <c r="C9" s="176"/>
      <c r="D9" s="176"/>
      <c r="G9" s="3"/>
      <c r="H9" s="58" t="s">
        <v>29</v>
      </c>
      <c r="I9" s="59"/>
      <c r="J9" s="59"/>
      <c r="K9" s="59"/>
      <c r="L9" s="60"/>
    </row>
    <row r="10" spans="2:12" ht="15" customHeight="1" x14ac:dyDescent="0.3">
      <c r="B10" s="5"/>
      <c r="C10" s="6"/>
      <c r="D10" s="6"/>
      <c r="G10" s="3"/>
      <c r="H10" s="61"/>
      <c r="I10" s="38"/>
      <c r="J10" s="38"/>
      <c r="K10" s="38"/>
      <c r="L10" s="39"/>
    </row>
    <row r="11" spans="2:12" ht="35.25" customHeight="1" x14ac:dyDescent="0.3">
      <c r="B11" s="180" t="s">
        <v>30</v>
      </c>
      <c r="C11" s="180"/>
      <c r="D11" s="180"/>
      <c r="E11" s="180"/>
      <c r="F11" s="180"/>
      <c r="G11" s="3"/>
      <c r="H11" s="62" t="s">
        <v>414</v>
      </c>
      <c r="I11" s="63"/>
      <c r="J11" s="63"/>
      <c r="K11" s="63"/>
      <c r="L11" s="39"/>
    </row>
    <row r="12" spans="2:12" ht="15" customHeight="1" x14ac:dyDescent="0.3">
      <c r="B12" s="180"/>
      <c r="C12" s="180"/>
      <c r="D12" s="180"/>
      <c r="E12" s="180"/>
      <c r="F12" s="180"/>
      <c r="G12" s="3"/>
      <c r="H12" s="62" t="s">
        <v>2635</v>
      </c>
      <c r="I12" s="63"/>
      <c r="J12" s="63"/>
      <c r="K12" s="63"/>
      <c r="L12" s="39"/>
    </row>
    <row r="13" spans="2:12" ht="15" customHeight="1" x14ac:dyDescent="0.3">
      <c r="B13" s="180"/>
      <c r="C13" s="180"/>
      <c r="D13" s="180"/>
      <c r="E13" s="180"/>
      <c r="F13" s="180"/>
      <c r="G13" s="3"/>
      <c r="H13" s="62"/>
      <c r="I13" s="63"/>
      <c r="J13" s="63"/>
      <c r="K13" s="63"/>
      <c r="L13" s="39"/>
    </row>
    <row r="14" spans="2:12" ht="15" customHeight="1" x14ac:dyDescent="0.3">
      <c r="B14" s="180"/>
      <c r="C14" s="180"/>
      <c r="D14" s="180"/>
      <c r="E14" s="180"/>
      <c r="F14" s="180"/>
      <c r="G14" s="3"/>
      <c r="H14" s="62" t="s">
        <v>415</v>
      </c>
      <c r="I14" s="63"/>
      <c r="J14" s="63"/>
      <c r="K14" s="63"/>
      <c r="L14" s="39"/>
    </row>
    <row r="15" spans="2:12" ht="15" customHeight="1" x14ac:dyDescent="0.3">
      <c r="B15" s="180"/>
      <c r="C15" s="180"/>
      <c r="D15" s="180"/>
      <c r="E15" s="180"/>
      <c r="F15" s="180"/>
      <c r="G15" s="3"/>
      <c r="H15" s="62" t="s">
        <v>2636</v>
      </c>
      <c r="I15" s="63"/>
      <c r="J15" s="63"/>
      <c r="K15" s="63"/>
      <c r="L15" s="39"/>
    </row>
    <row r="16" spans="2:12" ht="15" customHeight="1" x14ac:dyDescent="0.3">
      <c r="B16" s="180"/>
      <c r="C16" s="180"/>
      <c r="D16" s="180"/>
      <c r="E16" s="180"/>
      <c r="F16" s="180"/>
      <c r="G16" s="3"/>
      <c r="H16" s="62" t="s">
        <v>2634</v>
      </c>
      <c r="I16" s="63"/>
      <c r="J16" s="63"/>
      <c r="K16" s="63"/>
      <c r="L16" s="39"/>
    </row>
    <row r="17" spans="2:12" ht="15" customHeight="1" x14ac:dyDescent="0.3">
      <c r="C17" s="7"/>
      <c r="G17" s="3"/>
      <c r="H17" s="61"/>
      <c r="I17" s="38"/>
      <c r="J17" s="38"/>
      <c r="K17" s="38"/>
      <c r="L17" s="39"/>
    </row>
    <row r="18" spans="2:12" ht="15" customHeight="1" x14ac:dyDescent="0.3">
      <c r="C18" s="178" t="s">
        <v>31</v>
      </c>
      <c r="D18" s="178"/>
      <c r="G18" s="3"/>
      <c r="H18" s="8"/>
      <c r="I18" s="9"/>
      <c r="J18" s="9"/>
      <c r="K18" s="9"/>
      <c r="L18" s="10"/>
    </row>
    <row r="19" spans="2:12" ht="15" customHeight="1" x14ac:dyDescent="0.3">
      <c r="G19" s="11"/>
      <c r="H19" s="12"/>
      <c r="I19" s="13"/>
      <c r="J19" s="13"/>
      <c r="K19" s="13"/>
      <c r="L19" s="14"/>
    </row>
    <row r="20" spans="2:12" x14ac:dyDescent="0.3">
      <c r="B20" s="172"/>
      <c r="C20" s="172"/>
      <c r="D20" s="172"/>
      <c r="E20" s="172"/>
      <c r="K20" s="173"/>
      <c r="L20" s="173"/>
    </row>
    <row r="21" spans="2:12" ht="15.6" x14ac:dyDescent="0.3">
      <c r="B21" s="174" t="s">
        <v>32</v>
      </c>
      <c r="C21" s="175"/>
      <c r="D21" s="51"/>
      <c r="E21" s="53"/>
      <c r="K21" s="173"/>
      <c r="L21" s="173"/>
    </row>
    <row r="22" spans="2:12" ht="15.6" x14ac:dyDescent="0.3">
      <c r="B22" s="174" t="s">
        <v>33</v>
      </c>
      <c r="C22" s="175"/>
      <c r="D22" s="52"/>
      <c r="E22" s="2"/>
      <c r="H22" s="176"/>
      <c r="I22" s="176"/>
      <c r="J22" s="176"/>
      <c r="K22" s="177"/>
      <c r="L22" s="177"/>
    </row>
    <row r="24" spans="2:12" x14ac:dyDescent="0.3">
      <c r="B24" s="169" t="s">
        <v>34</v>
      </c>
      <c r="C24" s="170"/>
      <c r="D24" s="170"/>
      <c r="E24" s="170"/>
      <c r="F24" s="170"/>
      <c r="G24" s="15" t="s">
        <v>35</v>
      </c>
      <c r="H24" s="16" t="s">
        <v>36</v>
      </c>
      <c r="I24" s="169" t="s">
        <v>37</v>
      </c>
      <c r="J24" s="171"/>
      <c r="K24" s="170" t="s">
        <v>38</v>
      </c>
      <c r="L24" s="171"/>
    </row>
    <row r="25" spans="2:12" ht="15.6" x14ac:dyDescent="0.3">
      <c r="B25" s="44"/>
      <c r="C25" s="45"/>
      <c r="D25" s="45"/>
      <c r="E25" s="45"/>
      <c r="F25" s="46"/>
      <c r="G25" s="17"/>
      <c r="H25" s="18"/>
      <c r="I25" s="157"/>
      <c r="J25" s="157"/>
      <c r="K25" s="158"/>
      <c r="L25" s="159"/>
    </row>
    <row r="26" spans="2:12" ht="15.6" x14ac:dyDescent="0.3">
      <c r="B26" s="47"/>
      <c r="C26" s="48"/>
      <c r="D26" s="49"/>
      <c r="E26" s="48"/>
      <c r="F26" s="50"/>
      <c r="G26" s="17"/>
      <c r="H26" s="18"/>
      <c r="I26" s="157"/>
      <c r="J26" s="157"/>
      <c r="K26" s="158"/>
      <c r="L26" s="159"/>
    </row>
    <row r="27" spans="2:12" ht="15.6" x14ac:dyDescent="0.3">
      <c r="B27" s="44"/>
      <c r="C27" s="45"/>
      <c r="D27" s="45"/>
      <c r="E27" s="45"/>
      <c r="F27" s="46"/>
      <c r="G27" s="17"/>
      <c r="H27" s="18"/>
      <c r="I27" s="157"/>
      <c r="J27" s="157"/>
      <c r="K27" s="158"/>
      <c r="L27" s="159"/>
    </row>
    <row r="28" spans="2:12" ht="15.6" x14ac:dyDescent="0.3">
      <c r="B28" s="44"/>
      <c r="C28" s="45"/>
      <c r="D28" s="45"/>
      <c r="E28" s="45"/>
      <c r="F28" s="46"/>
      <c r="G28" s="17"/>
      <c r="H28" s="18"/>
      <c r="I28" s="157"/>
      <c r="J28" s="157"/>
      <c r="K28" s="158"/>
      <c r="L28" s="159"/>
    </row>
    <row r="29" spans="2:12" ht="15.6" x14ac:dyDescent="0.3">
      <c r="B29" s="166" t="s">
        <v>39</v>
      </c>
      <c r="C29" s="167"/>
      <c r="D29" s="167"/>
      <c r="E29" s="167"/>
      <c r="F29" s="168"/>
      <c r="G29" s="17"/>
      <c r="H29" s="18"/>
      <c r="I29" s="157"/>
      <c r="J29" s="157"/>
      <c r="K29" s="158"/>
      <c r="L29" s="159"/>
    </row>
    <row r="30" spans="2:12" x14ac:dyDescent="0.3">
      <c r="B30" s="44"/>
      <c r="C30" s="36"/>
      <c r="D30" s="36"/>
      <c r="E30" s="36"/>
      <c r="F30" s="37"/>
      <c r="G30" s="40"/>
      <c r="H30" s="54"/>
      <c r="I30" s="41"/>
      <c r="J30" s="41"/>
      <c r="K30" s="42"/>
      <c r="L30" s="43">
        <f>G30*H30</f>
        <v>0</v>
      </c>
    </row>
    <row r="31" spans="2:12" x14ac:dyDescent="0.3">
      <c r="B31" s="44"/>
      <c r="C31" s="38"/>
      <c r="D31" s="38"/>
      <c r="E31" s="38"/>
      <c r="F31" s="39"/>
      <c r="G31" s="40"/>
      <c r="H31" s="54"/>
      <c r="I31" s="41"/>
      <c r="J31" s="41"/>
      <c r="K31" s="42"/>
      <c r="L31" s="43">
        <f>G31*H31</f>
        <v>0</v>
      </c>
    </row>
    <row r="32" spans="2:12" x14ac:dyDescent="0.3">
      <c r="B32" s="44"/>
      <c r="C32" s="38"/>
      <c r="D32" s="38"/>
      <c r="E32" s="38"/>
      <c r="F32" s="39"/>
      <c r="G32" s="40"/>
      <c r="H32" s="54"/>
      <c r="I32" s="41"/>
      <c r="J32" s="41"/>
      <c r="K32" s="42"/>
      <c r="L32" s="43">
        <f>G32*H32</f>
        <v>0</v>
      </c>
    </row>
    <row r="33" spans="2:12" x14ac:dyDescent="0.3">
      <c r="B33" s="44"/>
      <c r="C33" s="38"/>
      <c r="D33" s="38"/>
      <c r="E33" s="38"/>
      <c r="F33" s="39"/>
      <c r="G33" s="40"/>
      <c r="H33" s="54"/>
      <c r="I33" s="41"/>
      <c r="J33" s="41"/>
      <c r="K33" s="42"/>
      <c r="L33" s="43">
        <f>G33*H33</f>
        <v>0</v>
      </c>
    </row>
    <row r="34" spans="2:12" ht="15.6" x14ac:dyDescent="0.3">
      <c r="B34" s="166"/>
      <c r="C34" s="167"/>
      <c r="D34" s="167"/>
      <c r="E34" s="167"/>
      <c r="F34" s="168"/>
      <c r="G34" s="17"/>
      <c r="H34" s="18"/>
      <c r="I34" s="157"/>
      <c r="J34" s="157"/>
      <c r="K34" s="158"/>
      <c r="L34" s="159"/>
    </row>
    <row r="35" spans="2:12" x14ac:dyDescent="0.3">
      <c r="B35" s="160"/>
      <c r="C35" s="161"/>
      <c r="D35" s="161"/>
      <c r="E35" s="161"/>
      <c r="F35" s="162"/>
      <c r="G35" s="19"/>
      <c r="H35" s="20"/>
      <c r="I35" s="163"/>
      <c r="J35" s="163"/>
      <c r="K35" s="164"/>
      <c r="L35" s="165"/>
    </row>
    <row r="37" spans="2:12" s="21" customFormat="1" ht="24.9" customHeight="1" x14ac:dyDescent="0.3">
      <c r="B37" s="22"/>
      <c r="C37" s="23"/>
      <c r="D37" s="23"/>
      <c r="E37" s="23"/>
      <c r="F37" s="23"/>
      <c r="G37" s="24"/>
      <c r="H37" s="25"/>
      <c r="I37" s="153" t="s">
        <v>38</v>
      </c>
      <c r="J37" s="153"/>
      <c r="K37" s="154">
        <f>SUM(K30:L34)</f>
        <v>0</v>
      </c>
      <c r="L37" s="154"/>
    </row>
    <row r="38" spans="2:12" s="21" customFormat="1" ht="24.9" customHeight="1" x14ac:dyDescent="0.3">
      <c r="B38" s="22"/>
      <c r="C38" s="23"/>
      <c r="D38" s="23"/>
      <c r="E38" s="23"/>
      <c r="F38" s="23"/>
      <c r="G38" s="25"/>
      <c r="H38" s="25"/>
      <c r="I38" s="153" t="s">
        <v>40</v>
      </c>
      <c r="J38" s="153"/>
      <c r="K38" s="154">
        <f>SUM(K37*0.2)</f>
        <v>0</v>
      </c>
      <c r="L38" s="154"/>
    </row>
    <row r="39" spans="2:12" ht="24.9" customHeight="1" x14ac:dyDescent="0.3">
      <c r="B39" s="22"/>
      <c r="C39" s="23"/>
      <c r="D39" s="23"/>
      <c r="E39" s="23"/>
      <c r="F39" s="23"/>
      <c r="G39" s="26"/>
      <c r="H39" s="26"/>
      <c r="I39" s="155" t="s">
        <v>41</v>
      </c>
      <c r="J39" s="155"/>
      <c r="K39" s="156">
        <f>SUM(K37:L38)</f>
        <v>0</v>
      </c>
      <c r="L39" s="156"/>
    </row>
    <row r="62" spans="1:12" x14ac:dyDescent="0.3">
      <c r="A62" s="45"/>
      <c r="B62" s="64" t="s">
        <v>42</v>
      </c>
      <c r="C62" s="45"/>
      <c r="D62" s="45"/>
      <c r="E62" s="45"/>
      <c r="F62" s="45"/>
      <c r="G62" s="45"/>
      <c r="H62" s="45"/>
      <c r="I62" s="45"/>
      <c r="J62" s="45"/>
      <c r="K62" s="45"/>
      <c r="L62" s="45"/>
    </row>
    <row r="63" spans="1:12" x14ac:dyDescent="0.3">
      <c r="A63" s="45"/>
      <c r="B63" s="45" t="s">
        <v>43</v>
      </c>
      <c r="C63" s="45"/>
      <c r="D63" s="45"/>
      <c r="E63" s="45"/>
      <c r="F63" s="45"/>
      <c r="G63" s="45"/>
      <c r="H63" s="45"/>
      <c r="I63" s="45"/>
      <c r="J63" s="45"/>
      <c r="K63" s="45"/>
      <c r="L63" s="45"/>
    </row>
    <row r="64" spans="1:12" x14ac:dyDescent="0.3">
      <c r="A64" s="45"/>
      <c r="B64" s="45" t="s">
        <v>44</v>
      </c>
      <c r="C64" s="45"/>
      <c r="D64" s="45"/>
      <c r="E64" s="45"/>
      <c r="F64" s="45"/>
      <c r="G64" s="45"/>
      <c r="H64" s="45"/>
      <c r="I64" s="45"/>
      <c r="J64" s="45"/>
      <c r="K64" s="45"/>
      <c r="L64" s="45"/>
    </row>
    <row r="65" spans="1:13" x14ac:dyDescent="0.3">
      <c r="A65" s="45"/>
      <c r="B65" s="45"/>
      <c r="C65" s="45" t="s">
        <v>45</v>
      </c>
      <c r="D65" s="45"/>
      <c r="E65" s="45"/>
      <c r="F65" s="45"/>
      <c r="G65" s="45"/>
      <c r="H65" s="45"/>
      <c r="I65" s="45"/>
      <c r="J65" s="45"/>
      <c r="K65" s="45"/>
      <c r="L65" s="45"/>
    </row>
    <row r="66" spans="1:13" x14ac:dyDescent="0.3">
      <c r="A66" s="45"/>
      <c r="B66" s="45"/>
      <c r="C66" s="45" t="s">
        <v>46</v>
      </c>
      <c r="D66" s="45"/>
      <c r="E66" s="45"/>
      <c r="F66" s="45"/>
      <c r="G66" s="45"/>
      <c r="H66" s="45"/>
      <c r="I66" s="45"/>
      <c r="J66" s="45"/>
      <c r="K66" s="45"/>
      <c r="L66" s="45"/>
    </row>
    <row r="67" spans="1:13" x14ac:dyDescent="0.3">
      <c r="A67" s="45"/>
      <c r="B67" s="45"/>
      <c r="C67" s="45"/>
      <c r="D67" s="45"/>
      <c r="E67" s="45"/>
      <c r="F67" s="45"/>
      <c r="G67" s="45"/>
      <c r="H67" s="45"/>
      <c r="I67" s="45"/>
      <c r="J67" s="45"/>
      <c r="K67" s="45"/>
      <c r="L67" s="45"/>
    </row>
    <row r="68" spans="1:13" s="27" customFormat="1" ht="11.1" customHeight="1" x14ac:dyDescent="0.3">
      <c r="A68" s="65"/>
      <c r="B68" s="66" t="s">
        <v>47</v>
      </c>
      <c r="C68" s="67"/>
      <c r="D68" s="67"/>
      <c r="E68" s="67"/>
      <c r="F68" s="67"/>
      <c r="G68" s="67"/>
      <c r="H68" s="67"/>
      <c r="I68" s="67"/>
      <c r="J68" s="67"/>
      <c r="K68" s="67"/>
      <c r="L68" s="67"/>
    </row>
    <row r="69" spans="1:13" s="27" customFormat="1" ht="11.1" customHeight="1" x14ac:dyDescent="0.3">
      <c r="A69" s="65"/>
      <c r="B69" s="66" t="s">
        <v>48</v>
      </c>
      <c r="C69" s="67"/>
      <c r="D69" s="67"/>
      <c r="E69" s="67"/>
      <c r="F69" s="67"/>
      <c r="G69" s="67"/>
      <c r="H69" s="67"/>
      <c r="I69" s="67"/>
      <c r="J69" s="67"/>
      <c r="K69" s="67"/>
      <c r="L69" s="67"/>
    </row>
    <row r="70" spans="1:13" s="27" customFormat="1" ht="11.1" customHeight="1" x14ac:dyDescent="0.3">
      <c r="A70" s="65"/>
      <c r="B70" s="66" t="s">
        <v>49</v>
      </c>
      <c r="C70" s="65"/>
      <c r="D70" s="65"/>
      <c r="E70" s="65"/>
      <c r="F70" s="65"/>
      <c r="G70" s="65"/>
      <c r="H70" s="65"/>
      <c r="I70" s="65"/>
      <c r="J70" s="65"/>
      <c r="K70" s="65"/>
      <c r="L70" s="65"/>
    </row>
    <row r="71" spans="1:13" x14ac:dyDescent="0.3">
      <c r="A71" s="45"/>
      <c r="B71" s="45"/>
      <c r="C71" s="45"/>
      <c r="D71" s="45"/>
      <c r="E71" s="45"/>
      <c r="F71" s="45"/>
      <c r="G71" s="45"/>
      <c r="H71" s="45"/>
      <c r="I71" s="45"/>
      <c r="J71" s="45"/>
      <c r="K71" s="45"/>
      <c r="L71" s="45"/>
    </row>
    <row r="72" spans="1:13" ht="21" x14ac:dyDescent="0.3">
      <c r="A72" s="45"/>
      <c r="B72" s="151" t="s">
        <v>50</v>
      </c>
      <c r="C72" s="151"/>
      <c r="D72" s="151"/>
      <c r="E72" s="151"/>
      <c r="F72" s="151"/>
      <c r="G72" s="151"/>
      <c r="H72" s="151"/>
      <c r="I72" s="151"/>
      <c r="J72" s="151"/>
      <c r="K72" s="151"/>
      <c r="L72" s="151"/>
    </row>
    <row r="73" spans="1:13" ht="11.1" customHeight="1" x14ac:dyDescent="0.3">
      <c r="A73" s="45"/>
      <c r="B73" s="68"/>
      <c r="C73" s="45"/>
      <c r="D73" s="45"/>
      <c r="E73" s="45"/>
      <c r="F73" s="45"/>
      <c r="G73" s="45"/>
      <c r="H73" s="45"/>
      <c r="I73" s="45"/>
      <c r="J73" s="45"/>
      <c r="K73" s="45"/>
      <c r="L73" s="45"/>
    </row>
    <row r="74" spans="1:13" ht="15" customHeight="1" x14ac:dyDescent="0.3">
      <c r="A74" s="45"/>
      <c r="B74" s="152" t="s">
        <v>51</v>
      </c>
      <c r="C74" s="152"/>
      <c r="D74" s="152"/>
      <c r="E74" s="152"/>
      <c r="F74" s="152"/>
      <c r="G74" s="152"/>
      <c r="H74" s="152"/>
      <c r="I74" s="152"/>
      <c r="J74" s="152"/>
      <c r="K74" s="152"/>
      <c r="L74" s="152"/>
      <c r="M74" s="28"/>
    </row>
    <row r="75" spans="1:13" x14ac:dyDescent="0.3">
      <c r="A75" s="45"/>
      <c r="B75" s="152"/>
      <c r="C75" s="152"/>
      <c r="D75" s="152"/>
      <c r="E75" s="152"/>
      <c r="F75" s="152"/>
      <c r="G75" s="152"/>
      <c r="H75" s="152"/>
      <c r="I75" s="152"/>
      <c r="J75" s="152"/>
      <c r="K75" s="152"/>
      <c r="L75" s="152"/>
      <c r="M75" s="28"/>
    </row>
  </sheetData>
  <mergeCells count="40">
    <mergeCell ref="C18:D18"/>
    <mergeCell ref="B5:D5"/>
    <mergeCell ref="B7:D7"/>
    <mergeCell ref="B8:D8"/>
    <mergeCell ref="B9:D9"/>
    <mergeCell ref="B11:F16"/>
    <mergeCell ref="B20:E20"/>
    <mergeCell ref="K20:L21"/>
    <mergeCell ref="B21:C21"/>
    <mergeCell ref="B22:C22"/>
    <mergeCell ref="H22:J22"/>
    <mergeCell ref="K22:L22"/>
    <mergeCell ref="B24:F24"/>
    <mergeCell ref="I24:J24"/>
    <mergeCell ref="K24:L24"/>
    <mergeCell ref="I25:J25"/>
    <mergeCell ref="K25:L25"/>
    <mergeCell ref="B29:F29"/>
    <mergeCell ref="I29:J29"/>
    <mergeCell ref="K29:L29"/>
    <mergeCell ref="I26:J26"/>
    <mergeCell ref="K26:L26"/>
    <mergeCell ref="I27:J27"/>
    <mergeCell ref="K27:L27"/>
    <mergeCell ref="I28:J28"/>
    <mergeCell ref="K28:L28"/>
    <mergeCell ref="I34:J34"/>
    <mergeCell ref="K34:L34"/>
    <mergeCell ref="B35:F35"/>
    <mergeCell ref="I35:J35"/>
    <mergeCell ref="K35:L35"/>
    <mergeCell ref="B34:F34"/>
    <mergeCell ref="B72:L72"/>
    <mergeCell ref="B74:L75"/>
    <mergeCell ref="I37:J37"/>
    <mergeCell ref="K37:L37"/>
    <mergeCell ref="I38:J38"/>
    <mergeCell ref="K38:L38"/>
    <mergeCell ref="I39:J39"/>
    <mergeCell ref="K39:L39"/>
  </mergeCells>
  <printOptions horizontalCentered="1"/>
  <pageMargins left="0.39370078740157483" right="0.39370078740157483" top="0.39370078740157483" bottom="0.39370078740157483" header="0.39370078740157483" footer="0.39370078740157483"/>
  <pageSetup paperSize="9" scale="69" orientation="portrait" r:id="rId1"/>
  <drawing r:id="rId2"/>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Feuil5">
    <tabColor theme="0" tint="-0.499984740745262"/>
  </sheetPr>
  <dimension ref="A1:K28"/>
  <sheetViews>
    <sheetView showGridLines="0" workbookViewId="0">
      <selection activeCell="J14" sqref="J14"/>
    </sheetView>
  </sheetViews>
  <sheetFormatPr baseColWidth="10" defaultRowHeight="14.4" x14ac:dyDescent="0.3"/>
  <cols>
    <col min="1" max="1" width="27.44140625" customWidth="1"/>
    <col min="2" max="2" width="21.88671875" customWidth="1"/>
    <col min="4" max="4" width="23.6640625" customWidth="1"/>
    <col min="5" max="5" width="17.88671875" customWidth="1"/>
    <col min="6" max="6" width="12.88671875" bestFit="1" customWidth="1"/>
    <col min="7" max="7" width="25.33203125" bestFit="1" customWidth="1"/>
    <col min="8" max="8" width="13.33203125" customWidth="1"/>
    <col min="10" max="10" width="14.6640625" bestFit="1" customWidth="1"/>
    <col min="11" max="11" width="17.88671875" customWidth="1"/>
  </cols>
  <sheetData>
    <row r="1" spans="1:11" x14ac:dyDescent="0.3">
      <c r="A1" s="75" t="s">
        <v>79</v>
      </c>
      <c r="B1" s="75" t="s">
        <v>57</v>
      </c>
      <c r="D1" s="76" t="s">
        <v>58</v>
      </c>
      <c r="E1" s="76" t="s">
        <v>59</v>
      </c>
      <c r="G1" s="77" t="s">
        <v>19</v>
      </c>
      <c r="H1" s="77" t="s">
        <v>60</v>
      </c>
      <c r="J1" s="76" t="s">
        <v>63</v>
      </c>
      <c r="K1" s="76" t="s">
        <v>64</v>
      </c>
    </row>
    <row r="2" spans="1:11" x14ac:dyDescent="0.3">
      <c r="A2" s="34" t="s">
        <v>52</v>
      </c>
      <c r="B2" s="31">
        <v>76.760000000000005</v>
      </c>
      <c r="D2" s="29" t="s">
        <v>61</v>
      </c>
      <c r="E2" s="30">
        <v>41.62</v>
      </c>
      <c r="G2" s="32" t="s">
        <v>73</v>
      </c>
      <c r="H2" s="33">
        <v>36.99</v>
      </c>
      <c r="J2" s="29">
        <v>92</v>
      </c>
      <c r="K2" s="29" t="s">
        <v>74</v>
      </c>
    </row>
    <row r="3" spans="1:11" x14ac:dyDescent="0.3">
      <c r="A3" s="34" t="s">
        <v>53</v>
      </c>
      <c r="B3" s="31">
        <v>60.11</v>
      </c>
      <c r="D3" s="29" t="s">
        <v>62</v>
      </c>
      <c r="E3" s="30">
        <v>49.01</v>
      </c>
      <c r="J3" s="29">
        <v>78</v>
      </c>
      <c r="K3" s="29" t="s">
        <v>75</v>
      </c>
    </row>
    <row r="4" spans="1:11" x14ac:dyDescent="0.3">
      <c r="A4" s="34" t="s">
        <v>54</v>
      </c>
      <c r="B4" s="31">
        <v>69.36</v>
      </c>
      <c r="D4" s="29" t="s">
        <v>53</v>
      </c>
      <c r="E4" s="78">
        <v>60.11</v>
      </c>
      <c r="J4" s="29">
        <v>95</v>
      </c>
      <c r="K4" s="29" t="s">
        <v>78</v>
      </c>
    </row>
    <row r="5" spans="1:11" x14ac:dyDescent="0.3">
      <c r="A5" s="34" t="s">
        <v>55</v>
      </c>
      <c r="B5" s="31">
        <v>55.49</v>
      </c>
      <c r="D5" s="29" t="s">
        <v>54</v>
      </c>
      <c r="E5" s="78">
        <v>69.36</v>
      </c>
    </row>
    <row r="6" spans="1:11" x14ac:dyDescent="0.3">
      <c r="A6" s="34" t="s">
        <v>56</v>
      </c>
      <c r="B6" s="31">
        <v>45</v>
      </c>
    </row>
    <row r="7" spans="1:11" x14ac:dyDescent="0.3">
      <c r="A7" s="34" t="s">
        <v>85</v>
      </c>
      <c r="B7" s="31">
        <v>73.8</v>
      </c>
      <c r="G7" s="77" t="s">
        <v>11</v>
      </c>
    </row>
    <row r="8" spans="1:11" x14ac:dyDescent="0.3">
      <c r="A8" s="34" t="s">
        <v>93</v>
      </c>
      <c r="B8" s="94">
        <v>80.459999999999994</v>
      </c>
      <c r="G8" t="s">
        <v>86</v>
      </c>
    </row>
    <row r="9" spans="1:11" x14ac:dyDescent="0.3">
      <c r="A9" s="34" t="s">
        <v>177</v>
      </c>
      <c r="B9" s="94">
        <v>98.95</v>
      </c>
      <c r="G9" t="s">
        <v>87</v>
      </c>
    </row>
    <row r="10" spans="1:11" x14ac:dyDescent="0.3">
      <c r="G10" t="s">
        <v>84</v>
      </c>
    </row>
    <row r="11" spans="1:11" x14ac:dyDescent="0.3">
      <c r="G11" t="s">
        <v>70</v>
      </c>
    </row>
    <row r="12" spans="1:11" x14ac:dyDescent="0.3">
      <c r="A12" s="75" t="s">
        <v>80</v>
      </c>
      <c r="B12" s="75" t="s">
        <v>57</v>
      </c>
      <c r="G12" t="s">
        <v>71</v>
      </c>
    </row>
    <row r="13" spans="1:11" x14ac:dyDescent="0.3">
      <c r="A13" s="34" t="s">
        <v>52</v>
      </c>
      <c r="B13" s="31">
        <v>76.760000000000005</v>
      </c>
      <c r="G13" t="s">
        <v>72</v>
      </c>
    </row>
    <row r="14" spans="1:11" x14ac:dyDescent="0.3">
      <c r="A14" s="34" t="s">
        <v>53</v>
      </c>
      <c r="B14" s="31">
        <v>60.11</v>
      </c>
      <c r="G14" t="s">
        <v>83</v>
      </c>
    </row>
    <row r="15" spans="1:11" x14ac:dyDescent="0.3">
      <c r="A15" s="34" t="s">
        <v>54</v>
      </c>
      <c r="B15" s="31">
        <v>69.36</v>
      </c>
      <c r="G15" t="s">
        <v>88</v>
      </c>
    </row>
    <row r="16" spans="1:11" x14ac:dyDescent="0.3">
      <c r="A16" s="34" t="s">
        <v>55</v>
      </c>
      <c r="B16" s="31">
        <v>55.49</v>
      </c>
      <c r="G16" t="s">
        <v>89</v>
      </c>
    </row>
    <row r="17" spans="1:7" x14ac:dyDescent="0.3">
      <c r="A17" s="34" t="s">
        <v>56</v>
      </c>
      <c r="B17" s="31">
        <v>45</v>
      </c>
      <c r="G17" t="s">
        <v>90</v>
      </c>
    </row>
    <row r="18" spans="1:7" x14ac:dyDescent="0.3">
      <c r="A18" s="34" t="s">
        <v>93</v>
      </c>
      <c r="B18" s="31">
        <v>80.459999999999994</v>
      </c>
      <c r="G18" t="s">
        <v>91</v>
      </c>
    </row>
    <row r="19" spans="1:7" x14ac:dyDescent="0.3">
      <c r="A19" s="34" t="s">
        <v>177</v>
      </c>
      <c r="B19" s="31">
        <v>98.95</v>
      </c>
      <c r="G19" s="76" t="s">
        <v>13</v>
      </c>
    </row>
    <row r="20" spans="1:7" x14ac:dyDescent="0.3">
      <c r="G20" t="s">
        <v>26</v>
      </c>
    </row>
    <row r="21" spans="1:7" x14ac:dyDescent="0.3">
      <c r="G21" t="s">
        <v>66</v>
      </c>
    </row>
    <row r="22" spans="1:7" x14ac:dyDescent="0.3">
      <c r="G22" t="s">
        <v>92</v>
      </c>
    </row>
    <row r="23" spans="1:7" x14ac:dyDescent="0.3">
      <c r="G23" t="s">
        <v>69</v>
      </c>
    </row>
    <row r="24" spans="1:7" x14ac:dyDescent="0.3">
      <c r="G24" t="s">
        <v>67</v>
      </c>
    </row>
    <row r="25" spans="1:7" x14ac:dyDescent="0.3">
      <c r="G25" t="s">
        <v>68</v>
      </c>
    </row>
    <row r="26" spans="1:7" x14ac:dyDescent="0.3">
      <c r="G26" t="s">
        <v>76</v>
      </c>
    </row>
    <row r="27" spans="1:7" x14ac:dyDescent="0.3">
      <c r="A27" t="s">
        <v>65</v>
      </c>
      <c r="G27" t="s">
        <v>77</v>
      </c>
    </row>
    <row r="28" spans="1:7" x14ac:dyDescent="0.3">
      <c r="A28" t="s">
        <v>2637</v>
      </c>
    </row>
  </sheetData>
  <pageMargins left="0.7" right="0.7" top="0.75" bottom="0.75" header="0.3" footer="0.3"/>
  <drawing r:id="rId1"/>
  <legacyDrawing r:id="rId2"/>
  <tableParts count="8">
    <tablePart r:id="rId3"/>
    <tablePart r:id="rId4"/>
    <tablePart r:id="rId5"/>
    <tablePart r:id="rId6"/>
    <tablePart r:id="rId7"/>
    <tablePart r:id="rId8"/>
    <tablePart r:id="rId9"/>
    <tablePart r:id="rId10"/>
  </tableParts>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Feuilles de calcul</vt:lpstr>
      </vt:variant>
      <vt:variant>
        <vt:i4>4</vt:i4>
      </vt:variant>
      <vt:variant>
        <vt:lpstr>Plages nommées</vt:lpstr>
      </vt:variant>
      <vt:variant>
        <vt:i4>9</vt:i4>
      </vt:variant>
    </vt:vector>
  </HeadingPairs>
  <TitlesOfParts>
    <vt:vector size="13" baseType="lpstr">
      <vt:lpstr>Tableau de suivi</vt:lpstr>
      <vt:lpstr>Générer factures</vt:lpstr>
      <vt:lpstr>modele_facture</vt:lpstr>
      <vt:lpstr>Paramètres</vt:lpstr>
      <vt:lpstr>analyses</vt:lpstr>
      <vt:lpstr>DT_prestation_amiante</vt:lpstr>
      <vt:lpstr>etat</vt:lpstr>
      <vt:lpstr>mission</vt:lpstr>
      <vt:lpstr>prefix</vt:lpstr>
      <vt:lpstr>prestation_amiante_1</vt:lpstr>
      <vt:lpstr>prestation_amiante_2</vt:lpstr>
      <vt:lpstr>prestation_gaz</vt:lpstr>
      <vt:lpstr>modele_facture!Zone_d_impression</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pc-duo</dc:creator>
  <cp:lastModifiedBy>kevin</cp:lastModifiedBy>
  <cp:lastPrinted>2019-02-15T14:12:10Z</cp:lastPrinted>
  <dcterms:created xsi:type="dcterms:W3CDTF">2018-01-26T16:01:42Z</dcterms:created>
  <dcterms:modified xsi:type="dcterms:W3CDTF">2021-03-22T19:07:27Z</dcterms:modified>
</cp:coreProperties>
</file>